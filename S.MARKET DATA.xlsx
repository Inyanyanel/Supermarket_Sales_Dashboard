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hidePivotFieldList="1" defaultThemeVersion="202300"/>
  <mc:AlternateContent xmlns:mc="http://schemas.openxmlformats.org/markup-compatibility/2006">
    <mc:Choice Requires="x15">
      <x15ac:absPath xmlns:x15ac="http://schemas.microsoft.com/office/spreadsheetml/2010/11/ac" url="C:\Users\Nelson.mzungu\Documents\"/>
    </mc:Choice>
  </mc:AlternateContent>
  <xr:revisionPtr revIDLastSave="0" documentId="8_{D85CBF90-C206-478E-B9D0-B61C386B589F}" xr6:coauthVersionLast="47" xr6:coauthVersionMax="47" xr10:uidLastSave="{00000000-0000-0000-0000-000000000000}"/>
  <bookViews>
    <workbookView xWindow="-120" yWindow="-120" windowWidth="20730" windowHeight="11040" activeTab="3" xr2:uid="{C371DDB6-81FB-4423-A556-E29C2B6B08A6}"/>
  </bookViews>
  <sheets>
    <sheet name="SuperMarket Analysis" sheetId="2" r:id="rId1"/>
    <sheet name="Input data" sheetId="3" r:id="rId2"/>
    <sheet name="Analysis" sheetId="5" r:id="rId3"/>
    <sheet name="Dashboard" sheetId="6" r:id="rId4"/>
  </sheets>
  <definedNames>
    <definedName name="_xlchart.v1.0" hidden="1">Analysis!$AK$3:$AK$8</definedName>
    <definedName name="_xlchart.v1.1" hidden="1">Analysis!$AL$3:$AL$8</definedName>
    <definedName name="Category">OFFSET(Analysis!XFA1048576,1,0,COUNT(Analysis!XFB:XFB))</definedName>
    <definedName name="Categorysales">OFFSET(Analysis!XEZ1048576,1,1,COUNT(Analysis!XFA:XFA))</definedName>
    <definedName name="ExternalData_1" localSheetId="0" hidden="1">'SuperMarket Analysis'!$A$1:$Q$737</definedName>
    <definedName name="Slicer_CATEGORY_TYPE">#N/A</definedName>
    <definedName name="Slicer_MONTH">#N/A</definedName>
    <definedName name="Slicer_PAYMENT_MOD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9" i="5" l="1"/>
  <c r="AR9" i="5"/>
  <c r="AS8" i="5"/>
  <c r="AR8" i="5"/>
  <c r="AS7" i="5"/>
  <c r="AR7" i="5"/>
  <c r="AO8" i="5"/>
  <c r="AP8" i="5"/>
  <c r="AO9" i="5"/>
  <c r="AP9" i="5"/>
  <c r="AP7" i="5"/>
  <c r="AO7" i="5"/>
  <c r="AL3" i="5" l="1" a="1"/>
  <c r="AL3" i="5" s="1"/>
  <c r="AJ3" i="5" s="1" a="1"/>
  <c r="AJ3" i="5" s="1"/>
  <c r="AK3" i="5" a="1"/>
  <c r="AK3" i="5" s="1"/>
  <c r="AC3" i="5" a="1"/>
  <c r="AC3" i="5" s="1"/>
  <c r="AD1" i="5"/>
  <c r="AE1" i="5" s="1"/>
  <c r="AD3" i="5" a="1"/>
  <c r="AD3" i="5" s="1"/>
  <c r="Z3" i="5" a="1"/>
  <c r="Z3" i="5" s="1"/>
  <c r="Y3" i="5" a="1"/>
  <c r="X3" i="5" a="1"/>
  <c r="X3" i="5" s="1"/>
  <c r="P4" i="5"/>
  <c r="Q4" i="5" s="1"/>
  <c r="P5" i="5"/>
  <c r="Q5" i="5" s="1"/>
  <c r="P6" i="5"/>
  <c r="Q6" i="5" s="1"/>
  <c r="P7" i="5"/>
  <c r="Q7" i="5" s="1"/>
  <c r="P8" i="5"/>
  <c r="Q8" i="5" s="1"/>
  <c r="P9" i="5"/>
  <c r="Q9" i="5" s="1"/>
  <c r="P10" i="5"/>
  <c r="Q10" i="5" s="1"/>
  <c r="P11" i="5"/>
  <c r="Q11" i="5" s="1"/>
  <c r="P12" i="5"/>
  <c r="Q12" i="5" s="1"/>
  <c r="P13" i="5"/>
  <c r="Q13" i="5" s="1"/>
  <c r="P14" i="5"/>
  <c r="Q14" i="5" s="1"/>
  <c r="P3" i="5"/>
  <c r="Q3" i="5" s="1"/>
  <c r="O4" i="5"/>
  <c r="O5" i="5"/>
  <c r="O6" i="5"/>
  <c r="O7" i="5"/>
  <c r="O8" i="5"/>
  <c r="O9" i="5"/>
  <c r="O10" i="5"/>
  <c r="O11" i="5"/>
  <c r="O12" i="5"/>
  <c r="O13" i="5"/>
  <c r="O14" i="5"/>
  <c r="O3" i="5"/>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J2" i="3"/>
  <c r="F2" i="3" s="1"/>
  <c r="J3" i="3"/>
  <c r="F3" i="3" s="1"/>
  <c r="J4" i="3"/>
  <c r="F4" i="3" s="1"/>
  <c r="J5" i="3"/>
  <c r="F5" i="3" s="1"/>
  <c r="J6" i="3"/>
  <c r="F6" i="3" s="1"/>
  <c r="J7" i="3"/>
  <c r="F7" i="3" s="1"/>
  <c r="J8" i="3"/>
  <c r="F8" i="3" s="1"/>
  <c r="J9" i="3"/>
  <c r="F9" i="3" s="1"/>
  <c r="J10" i="3"/>
  <c r="F10" i="3" s="1"/>
  <c r="J11" i="3"/>
  <c r="F11" i="3" s="1"/>
  <c r="J12" i="3"/>
  <c r="F12" i="3" s="1"/>
  <c r="J13" i="3"/>
  <c r="F13" i="3" s="1"/>
  <c r="J14" i="3"/>
  <c r="F14" i="3" s="1"/>
  <c r="J15" i="3"/>
  <c r="F15" i="3" s="1"/>
  <c r="J16" i="3"/>
  <c r="F16" i="3" s="1"/>
  <c r="J17" i="3"/>
  <c r="F17" i="3" s="1"/>
  <c r="J18" i="3"/>
  <c r="F18" i="3" s="1"/>
  <c r="J19" i="3"/>
  <c r="F19" i="3" s="1"/>
  <c r="J20" i="3"/>
  <c r="F20" i="3" s="1"/>
  <c r="J21" i="3"/>
  <c r="F21" i="3" s="1"/>
  <c r="J22" i="3"/>
  <c r="F22" i="3" s="1"/>
  <c r="J23" i="3"/>
  <c r="F23" i="3" s="1"/>
  <c r="J24" i="3"/>
  <c r="F24" i="3" s="1"/>
  <c r="J25" i="3"/>
  <c r="F25" i="3" s="1"/>
  <c r="J26" i="3"/>
  <c r="F26" i="3" s="1"/>
  <c r="J27" i="3"/>
  <c r="F27" i="3" s="1"/>
  <c r="J28" i="3"/>
  <c r="F28" i="3" s="1"/>
  <c r="J29" i="3"/>
  <c r="F29" i="3" s="1"/>
  <c r="J30" i="3"/>
  <c r="F30" i="3" s="1"/>
  <c r="J31" i="3"/>
  <c r="F31" i="3" s="1"/>
  <c r="J32" i="3"/>
  <c r="F32" i="3" s="1"/>
  <c r="J33" i="3"/>
  <c r="F33" i="3" s="1"/>
  <c r="J34" i="3"/>
  <c r="F34" i="3" s="1"/>
  <c r="J35" i="3"/>
  <c r="F35" i="3" s="1"/>
  <c r="J36" i="3"/>
  <c r="F36" i="3" s="1"/>
  <c r="J37" i="3"/>
  <c r="F37" i="3" s="1"/>
  <c r="J38" i="3"/>
  <c r="F38" i="3" s="1"/>
  <c r="J39" i="3"/>
  <c r="F39" i="3" s="1"/>
  <c r="J40" i="3"/>
  <c r="F40" i="3" s="1"/>
  <c r="J41" i="3"/>
  <c r="F41" i="3" s="1"/>
  <c r="J42" i="3"/>
  <c r="F42" i="3" s="1"/>
  <c r="J43" i="3"/>
  <c r="F43" i="3" s="1"/>
  <c r="J44" i="3"/>
  <c r="F44" i="3" s="1"/>
  <c r="J45" i="3"/>
  <c r="F45" i="3" s="1"/>
  <c r="J46" i="3"/>
  <c r="F46" i="3" s="1"/>
  <c r="J47" i="3"/>
  <c r="F47" i="3" s="1"/>
  <c r="J48" i="3"/>
  <c r="F48" i="3" s="1"/>
  <c r="J49" i="3"/>
  <c r="F49" i="3" s="1"/>
  <c r="J50" i="3"/>
  <c r="F50" i="3" s="1"/>
  <c r="J51" i="3"/>
  <c r="F51" i="3" s="1"/>
  <c r="J52" i="3"/>
  <c r="F52" i="3" s="1"/>
  <c r="J53" i="3"/>
  <c r="F53" i="3" s="1"/>
  <c r="J54" i="3"/>
  <c r="F54" i="3" s="1"/>
  <c r="J55" i="3"/>
  <c r="F55" i="3" s="1"/>
  <c r="J56" i="3"/>
  <c r="F56" i="3" s="1"/>
  <c r="J57" i="3"/>
  <c r="F57" i="3" s="1"/>
  <c r="J58" i="3"/>
  <c r="F58" i="3" s="1"/>
  <c r="J59" i="3"/>
  <c r="F59" i="3" s="1"/>
  <c r="J60" i="3"/>
  <c r="F60" i="3" s="1"/>
  <c r="J61" i="3"/>
  <c r="F61" i="3" s="1"/>
  <c r="J62" i="3"/>
  <c r="F62" i="3" s="1"/>
  <c r="J63" i="3"/>
  <c r="F63" i="3" s="1"/>
  <c r="J64" i="3"/>
  <c r="F64" i="3" s="1"/>
  <c r="J65" i="3"/>
  <c r="F65" i="3" s="1"/>
  <c r="J66" i="3"/>
  <c r="F66" i="3" s="1"/>
  <c r="J67" i="3"/>
  <c r="F67" i="3" s="1"/>
  <c r="J68" i="3"/>
  <c r="F68" i="3" s="1"/>
  <c r="J69" i="3"/>
  <c r="F69" i="3" s="1"/>
  <c r="J70" i="3"/>
  <c r="F70" i="3" s="1"/>
  <c r="J71" i="3"/>
  <c r="F71" i="3" s="1"/>
  <c r="J72" i="3"/>
  <c r="F72" i="3" s="1"/>
  <c r="J73" i="3"/>
  <c r="F73" i="3" s="1"/>
  <c r="J74" i="3"/>
  <c r="F74" i="3" s="1"/>
  <c r="J75" i="3"/>
  <c r="F75" i="3" s="1"/>
  <c r="J76" i="3"/>
  <c r="F76" i="3" s="1"/>
  <c r="J77" i="3"/>
  <c r="F77" i="3" s="1"/>
  <c r="J78" i="3"/>
  <c r="F78" i="3" s="1"/>
  <c r="J79" i="3"/>
  <c r="F79" i="3" s="1"/>
  <c r="J80" i="3"/>
  <c r="F80" i="3" s="1"/>
  <c r="J81" i="3"/>
  <c r="F81" i="3" s="1"/>
  <c r="J82" i="3"/>
  <c r="F82" i="3" s="1"/>
  <c r="J83" i="3"/>
  <c r="F83" i="3" s="1"/>
  <c r="J84" i="3"/>
  <c r="F84" i="3" s="1"/>
  <c r="J85" i="3"/>
  <c r="F85" i="3" s="1"/>
  <c r="J86" i="3"/>
  <c r="F86" i="3" s="1"/>
  <c r="J87" i="3"/>
  <c r="F87" i="3" s="1"/>
  <c r="J88" i="3"/>
  <c r="F88" i="3" s="1"/>
  <c r="J89" i="3"/>
  <c r="F89" i="3" s="1"/>
  <c r="J90" i="3"/>
  <c r="F90" i="3" s="1"/>
  <c r="J91" i="3"/>
  <c r="F91" i="3" s="1"/>
  <c r="J92" i="3"/>
  <c r="F92" i="3" s="1"/>
  <c r="J93" i="3"/>
  <c r="F93" i="3" s="1"/>
  <c r="J94" i="3"/>
  <c r="F94" i="3" s="1"/>
  <c r="J95" i="3"/>
  <c r="F95" i="3" s="1"/>
  <c r="J96" i="3"/>
  <c r="F96" i="3" s="1"/>
  <c r="J97" i="3"/>
  <c r="F97" i="3" s="1"/>
  <c r="J98" i="3"/>
  <c r="F98" i="3" s="1"/>
  <c r="J99" i="3"/>
  <c r="F99" i="3" s="1"/>
  <c r="J100" i="3"/>
  <c r="F100" i="3" s="1"/>
  <c r="J101" i="3"/>
  <c r="F101" i="3" s="1"/>
  <c r="J102" i="3"/>
  <c r="F102" i="3" s="1"/>
  <c r="J103" i="3"/>
  <c r="F103" i="3" s="1"/>
  <c r="J104" i="3"/>
  <c r="F104" i="3" s="1"/>
  <c r="J105" i="3"/>
  <c r="F105" i="3" s="1"/>
  <c r="J106" i="3"/>
  <c r="F106" i="3" s="1"/>
  <c r="J107" i="3"/>
  <c r="F107" i="3" s="1"/>
  <c r="J108" i="3"/>
  <c r="F108" i="3" s="1"/>
  <c r="J109" i="3"/>
  <c r="F109" i="3" s="1"/>
  <c r="J110" i="3"/>
  <c r="F110" i="3" s="1"/>
  <c r="J111" i="3"/>
  <c r="F111" i="3" s="1"/>
  <c r="J112" i="3"/>
  <c r="F112" i="3" s="1"/>
  <c r="J113" i="3"/>
  <c r="F113" i="3" s="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J131" i="3"/>
  <c r="F131" i="3" s="1"/>
  <c r="J132" i="3"/>
  <c r="F132" i="3" s="1"/>
  <c r="J133" i="3"/>
  <c r="F133" i="3" s="1"/>
  <c r="J134" i="3"/>
  <c r="F134" i="3" s="1"/>
  <c r="J135" i="3"/>
  <c r="F135" i="3" s="1"/>
  <c r="J136" i="3"/>
  <c r="F136" i="3" s="1"/>
  <c r="J137" i="3"/>
  <c r="F137" i="3" s="1"/>
  <c r="J138" i="3"/>
  <c r="F138" i="3" s="1"/>
  <c r="J139" i="3"/>
  <c r="F139" i="3" s="1"/>
  <c r="J140" i="3"/>
  <c r="F140" i="3" s="1"/>
  <c r="J141" i="3"/>
  <c r="F141" i="3" s="1"/>
  <c r="J142" i="3"/>
  <c r="F142" i="3" s="1"/>
  <c r="J143" i="3"/>
  <c r="F143" i="3" s="1"/>
  <c r="J144" i="3"/>
  <c r="F144" i="3" s="1"/>
  <c r="J145" i="3"/>
  <c r="F145" i="3" s="1"/>
  <c r="J146" i="3"/>
  <c r="F146" i="3" s="1"/>
  <c r="J147" i="3"/>
  <c r="F147" i="3" s="1"/>
  <c r="J148" i="3"/>
  <c r="F148" i="3" s="1"/>
  <c r="J149" i="3"/>
  <c r="F149" i="3" s="1"/>
  <c r="J150" i="3"/>
  <c r="F150" i="3" s="1"/>
  <c r="J151" i="3"/>
  <c r="F151" i="3" s="1"/>
  <c r="J152" i="3"/>
  <c r="F152" i="3" s="1"/>
  <c r="J153" i="3"/>
  <c r="F153" i="3" s="1"/>
  <c r="J154" i="3"/>
  <c r="F154" i="3" s="1"/>
  <c r="J155" i="3"/>
  <c r="F155" i="3" s="1"/>
  <c r="J156" i="3"/>
  <c r="F156" i="3" s="1"/>
  <c r="J157" i="3"/>
  <c r="F157" i="3" s="1"/>
  <c r="J158" i="3"/>
  <c r="F158" i="3" s="1"/>
  <c r="J159" i="3"/>
  <c r="F159" i="3" s="1"/>
  <c r="J160" i="3"/>
  <c r="F160" i="3" s="1"/>
  <c r="J161" i="3"/>
  <c r="F161" i="3" s="1"/>
  <c r="J162" i="3"/>
  <c r="F162" i="3" s="1"/>
  <c r="J163" i="3"/>
  <c r="F163" i="3" s="1"/>
  <c r="J164" i="3"/>
  <c r="F164" i="3" s="1"/>
  <c r="J165" i="3"/>
  <c r="F165" i="3" s="1"/>
  <c r="J166" i="3"/>
  <c r="F166" i="3" s="1"/>
  <c r="J167" i="3"/>
  <c r="F167" i="3" s="1"/>
  <c r="J168" i="3"/>
  <c r="F168" i="3" s="1"/>
  <c r="J169" i="3"/>
  <c r="F169" i="3" s="1"/>
  <c r="J170" i="3"/>
  <c r="F170" i="3" s="1"/>
  <c r="J171" i="3"/>
  <c r="F171" i="3" s="1"/>
  <c r="J172" i="3"/>
  <c r="F172" i="3" s="1"/>
  <c r="J173" i="3"/>
  <c r="F173" i="3" s="1"/>
  <c r="J174" i="3"/>
  <c r="F174" i="3" s="1"/>
  <c r="J175" i="3"/>
  <c r="F175" i="3" s="1"/>
  <c r="J176" i="3"/>
  <c r="F176" i="3" s="1"/>
  <c r="J177" i="3"/>
  <c r="F177" i="3" s="1"/>
  <c r="J178" i="3"/>
  <c r="F178" i="3" s="1"/>
  <c r="J179" i="3"/>
  <c r="F179" i="3" s="1"/>
  <c r="J180" i="3"/>
  <c r="F180" i="3" s="1"/>
  <c r="J181" i="3"/>
  <c r="F181" i="3" s="1"/>
  <c r="J182" i="3"/>
  <c r="F182" i="3" s="1"/>
  <c r="J183" i="3"/>
  <c r="F183" i="3" s="1"/>
  <c r="J184" i="3"/>
  <c r="F184" i="3" s="1"/>
  <c r="J185" i="3"/>
  <c r="F185" i="3" s="1"/>
  <c r="J186" i="3"/>
  <c r="F186" i="3" s="1"/>
  <c r="J187" i="3"/>
  <c r="F187" i="3" s="1"/>
  <c r="J188" i="3"/>
  <c r="F188" i="3" s="1"/>
  <c r="J189" i="3"/>
  <c r="F189" i="3" s="1"/>
  <c r="J190" i="3"/>
  <c r="F190" i="3" s="1"/>
  <c r="J191" i="3"/>
  <c r="F191" i="3" s="1"/>
  <c r="J192" i="3"/>
  <c r="F192" i="3" s="1"/>
  <c r="J193" i="3"/>
  <c r="F193" i="3" s="1"/>
  <c r="J194" i="3"/>
  <c r="F194" i="3" s="1"/>
  <c r="J195" i="3"/>
  <c r="F195" i="3" s="1"/>
  <c r="J196" i="3"/>
  <c r="F196" i="3" s="1"/>
  <c r="J197" i="3"/>
  <c r="F197" i="3" s="1"/>
  <c r="J198" i="3"/>
  <c r="F198" i="3" s="1"/>
  <c r="J199" i="3"/>
  <c r="F199" i="3" s="1"/>
  <c r="J200" i="3"/>
  <c r="F200" i="3" s="1"/>
  <c r="J201" i="3"/>
  <c r="F201" i="3" s="1"/>
  <c r="J202" i="3"/>
  <c r="F202" i="3" s="1"/>
  <c r="J203" i="3"/>
  <c r="F203" i="3" s="1"/>
  <c r="J204" i="3"/>
  <c r="F204" i="3" s="1"/>
  <c r="J205" i="3"/>
  <c r="F205" i="3" s="1"/>
  <c r="J206" i="3"/>
  <c r="F206" i="3" s="1"/>
  <c r="J207" i="3"/>
  <c r="F207" i="3" s="1"/>
  <c r="J208" i="3"/>
  <c r="F208" i="3" s="1"/>
  <c r="J209" i="3"/>
  <c r="F209" i="3" s="1"/>
  <c r="J210" i="3"/>
  <c r="F210" i="3" s="1"/>
  <c r="J211" i="3"/>
  <c r="F211" i="3" s="1"/>
  <c r="J212" i="3"/>
  <c r="F212" i="3" s="1"/>
  <c r="J213" i="3"/>
  <c r="F213" i="3" s="1"/>
  <c r="J214" i="3"/>
  <c r="F214" i="3" s="1"/>
  <c r="J215" i="3"/>
  <c r="F215" i="3" s="1"/>
  <c r="J216" i="3"/>
  <c r="F216" i="3" s="1"/>
  <c r="J217" i="3"/>
  <c r="F217" i="3" s="1"/>
  <c r="J218" i="3"/>
  <c r="F218" i="3" s="1"/>
  <c r="J219" i="3"/>
  <c r="F219" i="3" s="1"/>
  <c r="J220" i="3"/>
  <c r="F220" i="3" s="1"/>
  <c r="J221" i="3"/>
  <c r="F221" i="3" s="1"/>
  <c r="J222" i="3"/>
  <c r="F222" i="3" s="1"/>
  <c r="J223" i="3"/>
  <c r="F223" i="3" s="1"/>
  <c r="J224" i="3"/>
  <c r="F224" i="3" s="1"/>
  <c r="J225" i="3"/>
  <c r="F225" i="3" s="1"/>
  <c r="J226" i="3"/>
  <c r="F226" i="3" s="1"/>
  <c r="J227" i="3"/>
  <c r="F227" i="3" s="1"/>
  <c r="J228" i="3"/>
  <c r="F228" i="3" s="1"/>
  <c r="J229" i="3"/>
  <c r="F229" i="3" s="1"/>
  <c r="J230" i="3"/>
  <c r="F230" i="3" s="1"/>
  <c r="J231" i="3"/>
  <c r="F231" i="3" s="1"/>
  <c r="J232" i="3"/>
  <c r="F232" i="3" s="1"/>
  <c r="J233" i="3"/>
  <c r="F233" i="3" s="1"/>
  <c r="J234" i="3"/>
  <c r="F234" i="3" s="1"/>
  <c r="J235" i="3"/>
  <c r="F235" i="3" s="1"/>
  <c r="J236" i="3"/>
  <c r="F236" i="3" s="1"/>
  <c r="J237" i="3"/>
  <c r="F237" i="3" s="1"/>
  <c r="J238" i="3"/>
  <c r="F238" i="3" s="1"/>
  <c r="J239" i="3"/>
  <c r="F239" i="3" s="1"/>
  <c r="J240" i="3"/>
  <c r="F240" i="3" s="1"/>
  <c r="J241" i="3"/>
  <c r="F241" i="3" s="1"/>
  <c r="J242" i="3"/>
  <c r="F242" i="3" s="1"/>
  <c r="J243" i="3"/>
  <c r="F243" i="3" s="1"/>
  <c r="J244" i="3"/>
  <c r="F244" i="3" s="1"/>
  <c r="J245" i="3"/>
  <c r="F245" i="3" s="1"/>
  <c r="J246" i="3"/>
  <c r="F246" i="3" s="1"/>
  <c r="J247" i="3"/>
  <c r="F247" i="3" s="1"/>
  <c r="J248" i="3"/>
  <c r="F248" i="3" s="1"/>
  <c r="J249" i="3"/>
  <c r="F249" i="3" s="1"/>
  <c r="J250" i="3"/>
  <c r="F250" i="3" s="1"/>
  <c r="J251" i="3"/>
  <c r="F251" i="3" s="1"/>
  <c r="J252" i="3"/>
  <c r="F252" i="3" s="1"/>
  <c r="J253" i="3"/>
  <c r="F253" i="3" s="1"/>
  <c r="J254" i="3"/>
  <c r="F254" i="3" s="1"/>
  <c r="J255" i="3"/>
  <c r="F255" i="3" s="1"/>
  <c r="J256" i="3"/>
  <c r="F256" i="3" s="1"/>
  <c r="J257" i="3"/>
  <c r="F257" i="3" s="1"/>
  <c r="J258" i="3"/>
  <c r="F258" i="3" s="1"/>
  <c r="J259" i="3"/>
  <c r="F259" i="3" s="1"/>
  <c r="J260" i="3"/>
  <c r="F260" i="3" s="1"/>
  <c r="J261" i="3"/>
  <c r="F261" i="3" s="1"/>
  <c r="J262" i="3"/>
  <c r="F262" i="3" s="1"/>
  <c r="J263" i="3"/>
  <c r="F263" i="3" s="1"/>
  <c r="J264" i="3"/>
  <c r="F264" i="3" s="1"/>
  <c r="J265" i="3"/>
  <c r="F265" i="3" s="1"/>
  <c r="J266" i="3"/>
  <c r="F266" i="3" s="1"/>
  <c r="J267" i="3"/>
  <c r="F267" i="3" s="1"/>
  <c r="J268" i="3"/>
  <c r="F268" i="3" s="1"/>
  <c r="J269" i="3"/>
  <c r="F269" i="3" s="1"/>
  <c r="J270" i="3"/>
  <c r="F270" i="3" s="1"/>
  <c r="J271" i="3"/>
  <c r="F271" i="3" s="1"/>
  <c r="J272" i="3"/>
  <c r="F272" i="3" s="1"/>
  <c r="J273" i="3"/>
  <c r="F273" i="3" s="1"/>
  <c r="J274" i="3"/>
  <c r="F274" i="3" s="1"/>
  <c r="J275" i="3"/>
  <c r="F275" i="3" s="1"/>
  <c r="J276" i="3"/>
  <c r="F276" i="3" s="1"/>
  <c r="J277" i="3"/>
  <c r="F277" i="3" s="1"/>
  <c r="J278" i="3"/>
  <c r="F278" i="3" s="1"/>
  <c r="J279" i="3"/>
  <c r="F279" i="3" s="1"/>
  <c r="J280" i="3"/>
  <c r="F280" i="3" s="1"/>
  <c r="J281" i="3"/>
  <c r="F281" i="3" s="1"/>
  <c r="J282" i="3"/>
  <c r="F282" i="3" s="1"/>
  <c r="J283" i="3"/>
  <c r="F283" i="3" s="1"/>
  <c r="J284" i="3"/>
  <c r="F284" i="3" s="1"/>
  <c r="J285" i="3"/>
  <c r="F285" i="3" s="1"/>
  <c r="J286" i="3"/>
  <c r="F286" i="3" s="1"/>
  <c r="J287" i="3"/>
  <c r="F287" i="3" s="1"/>
  <c r="J288" i="3"/>
  <c r="F288" i="3" s="1"/>
  <c r="J289" i="3"/>
  <c r="F289" i="3" s="1"/>
  <c r="J290" i="3"/>
  <c r="F290" i="3" s="1"/>
  <c r="J291" i="3"/>
  <c r="F291" i="3" s="1"/>
  <c r="J292" i="3"/>
  <c r="F292" i="3" s="1"/>
  <c r="J293" i="3"/>
  <c r="F293" i="3" s="1"/>
  <c r="J294" i="3"/>
  <c r="F294" i="3" s="1"/>
  <c r="J295" i="3"/>
  <c r="F295" i="3" s="1"/>
  <c r="J296" i="3"/>
  <c r="F296" i="3" s="1"/>
  <c r="J297" i="3"/>
  <c r="F297" i="3" s="1"/>
  <c r="J298" i="3"/>
  <c r="F298" i="3" s="1"/>
  <c r="J299" i="3"/>
  <c r="F299" i="3" s="1"/>
  <c r="J300" i="3"/>
  <c r="F300" i="3" s="1"/>
  <c r="J301" i="3"/>
  <c r="F301" i="3" s="1"/>
  <c r="J302" i="3"/>
  <c r="F302" i="3" s="1"/>
  <c r="J303" i="3"/>
  <c r="F303" i="3" s="1"/>
  <c r="J304" i="3"/>
  <c r="F304" i="3" s="1"/>
  <c r="J305" i="3"/>
  <c r="F305" i="3" s="1"/>
  <c r="J306" i="3"/>
  <c r="F306" i="3" s="1"/>
  <c r="J307" i="3"/>
  <c r="F307" i="3" s="1"/>
  <c r="J308" i="3"/>
  <c r="F308" i="3" s="1"/>
  <c r="J309" i="3"/>
  <c r="F309" i="3" s="1"/>
  <c r="J310" i="3"/>
  <c r="F310" i="3" s="1"/>
  <c r="J311" i="3"/>
  <c r="F311" i="3" s="1"/>
  <c r="J312" i="3"/>
  <c r="F312" i="3" s="1"/>
  <c r="J313" i="3"/>
  <c r="F313" i="3" s="1"/>
  <c r="J314" i="3"/>
  <c r="F314" i="3" s="1"/>
  <c r="J315" i="3"/>
  <c r="F315" i="3" s="1"/>
  <c r="J316" i="3"/>
  <c r="F316" i="3" s="1"/>
  <c r="J317" i="3"/>
  <c r="F317" i="3" s="1"/>
  <c r="J318" i="3"/>
  <c r="F318" i="3" s="1"/>
  <c r="J319" i="3"/>
  <c r="F319" i="3" s="1"/>
  <c r="J320" i="3"/>
  <c r="F320" i="3" s="1"/>
  <c r="J321" i="3"/>
  <c r="F321" i="3" s="1"/>
  <c r="J322" i="3"/>
  <c r="F322" i="3" s="1"/>
  <c r="J323" i="3"/>
  <c r="F323" i="3" s="1"/>
  <c r="J324" i="3"/>
  <c r="F324" i="3" s="1"/>
  <c r="J325" i="3"/>
  <c r="F325" i="3" s="1"/>
  <c r="J326" i="3"/>
  <c r="F326" i="3" s="1"/>
  <c r="J327" i="3"/>
  <c r="F327" i="3" s="1"/>
  <c r="J328" i="3"/>
  <c r="F328" i="3" s="1"/>
  <c r="J329" i="3"/>
  <c r="F329" i="3" s="1"/>
  <c r="J330" i="3"/>
  <c r="F330" i="3" s="1"/>
  <c r="J331" i="3"/>
  <c r="F331" i="3" s="1"/>
  <c r="J332" i="3"/>
  <c r="F332" i="3" s="1"/>
  <c r="J333" i="3"/>
  <c r="F333" i="3" s="1"/>
  <c r="J334" i="3"/>
  <c r="F334" i="3" s="1"/>
  <c r="J335" i="3"/>
  <c r="F335" i="3" s="1"/>
  <c r="J336" i="3"/>
  <c r="F336" i="3" s="1"/>
  <c r="J337" i="3"/>
  <c r="F337" i="3" s="1"/>
  <c r="J338" i="3"/>
  <c r="F338" i="3" s="1"/>
  <c r="J339" i="3"/>
  <c r="F339" i="3" s="1"/>
  <c r="J340" i="3"/>
  <c r="F340" i="3" s="1"/>
  <c r="J341" i="3"/>
  <c r="F341" i="3" s="1"/>
  <c r="J342" i="3"/>
  <c r="F342" i="3" s="1"/>
  <c r="J343" i="3"/>
  <c r="F343" i="3" s="1"/>
  <c r="J344" i="3"/>
  <c r="F344" i="3" s="1"/>
  <c r="J345" i="3"/>
  <c r="F345" i="3" s="1"/>
  <c r="J346" i="3"/>
  <c r="F346" i="3" s="1"/>
  <c r="J347" i="3"/>
  <c r="F347" i="3" s="1"/>
  <c r="J348" i="3"/>
  <c r="F348" i="3" s="1"/>
  <c r="J349" i="3"/>
  <c r="F349" i="3" s="1"/>
  <c r="J350" i="3"/>
  <c r="F350" i="3" s="1"/>
  <c r="J351" i="3"/>
  <c r="F351" i="3" s="1"/>
  <c r="J352" i="3"/>
  <c r="F352" i="3" s="1"/>
  <c r="J353" i="3"/>
  <c r="F353" i="3" s="1"/>
  <c r="J354" i="3"/>
  <c r="F354" i="3" s="1"/>
  <c r="J355" i="3"/>
  <c r="F355" i="3" s="1"/>
  <c r="J356" i="3"/>
  <c r="F356" i="3" s="1"/>
  <c r="J357" i="3"/>
  <c r="F357" i="3" s="1"/>
  <c r="J358" i="3"/>
  <c r="F358" i="3" s="1"/>
  <c r="J359" i="3"/>
  <c r="F359" i="3" s="1"/>
  <c r="J360" i="3"/>
  <c r="F360" i="3" s="1"/>
  <c r="J361" i="3"/>
  <c r="F361" i="3" s="1"/>
  <c r="J362" i="3"/>
  <c r="F362" i="3" s="1"/>
  <c r="J363" i="3"/>
  <c r="F363" i="3" s="1"/>
  <c r="J364" i="3"/>
  <c r="F364" i="3" s="1"/>
  <c r="J365" i="3"/>
  <c r="F365" i="3" s="1"/>
  <c r="J366" i="3"/>
  <c r="F366" i="3" s="1"/>
  <c r="J367" i="3"/>
  <c r="F367" i="3" s="1"/>
  <c r="J368" i="3"/>
  <c r="F368" i="3" s="1"/>
  <c r="J369" i="3"/>
  <c r="F369" i="3" s="1"/>
  <c r="J370" i="3"/>
  <c r="F370" i="3" s="1"/>
  <c r="J371" i="3"/>
  <c r="F371" i="3" s="1"/>
  <c r="J372" i="3"/>
  <c r="F372" i="3" s="1"/>
  <c r="J373" i="3"/>
  <c r="F373" i="3" s="1"/>
  <c r="J374" i="3"/>
  <c r="F374" i="3" s="1"/>
  <c r="J375" i="3"/>
  <c r="F375" i="3" s="1"/>
  <c r="J376" i="3"/>
  <c r="F376" i="3" s="1"/>
  <c r="J377" i="3"/>
  <c r="F377" i="3" s="1"/>
  <c r="J378" i="3"/>
  <c r="F378" i="3" s="1"/>
  <c r="J379" i="3"/>
  <c r="F379" i="3" s="1"/>
  <c r="J380" i="3"/>
  <c r="F380" i="3" s="1"/>
  <c r="J381" i="3"/>
  <c r="F381" i="3" s="1"/>
  <c r="J382" i="3"/>
  <c r="F382" i="3" s="1"/>
  <c r="J383" i="3"/>
  <c r="F383" i="3" s="1"/>
  <c r="J384" i="3"/>
  <c r="F384" i="3" s="1"/>
  <c r="J385" i="3"/>
  <c r="F385" i="3" s="1"/>
  <c r="J386" i="3"/>
  <c r="F386" i="3" s="1"/>
  <c r="J387" i="3"/>
  <c r="F387" i="3" s="1"/>
  <c r="J388" i="3"/>
  <c r="F388" i="3" s="1"/>
  <c r="J389" i="3"/>
  <c r="F389" i="3" s="1"/>
  <c r="J390" i="3"/>
  <c r="F390" i="3" s="1"/>
  <c r="J391" i="3"/>
  <c r="F391" i="3" s="1"/>
  <c r="J392" i="3"/>
  <c r="F392" i="3" s="1"/>
  <c r="J393" i="3"/>
  <c r="F393" i="3" s="1"/>
  <c r="J394" i="3"/>
  <c r="F394" i="3" s="1"/>
  <c r="J395" i="3"/>
  <c r="F395" i="3" s="1"/>
  <c r="J396" i="3"/>
  <c r="F396" i="3" s="1"/>
  <c r="J397" i="3"/>
  <c r="F397" i="3" s="1"/>
  <c r="J398" i="3"/>
  <c r="F398" i="3" s="1"/>
  <c r="J399" i="3"/>
  <c r="F399" i="3" s="1"/>
  <c r="J400" i="3"/>
  <c r="F400" i="3" s="1"/>
  <c r="J401" i="3"/>
  <c r="F401" i="3" s="1"/>
  <c r="J402" i="3"/>
  <c r="F402" i="3" s="1"/>
  <c r="J403" i="3"/>
  <c r="F403" i="3" s="1"/>
  <c r="J404" i="3"/>
  <c r="F404" i="3" s="1"/>
  <c r="J405" i="3"/>
  <c r="F405" i="3" s="1"/>
  <c r="J406" i="3"/>
  <c r="F406" i="3" s="1"/>
  <c r="J407" i="3"/>
  <c r="F407" i="3" s="1"/>
  <c r="J408" i="3"/>
  <c r="F408" i="3" s="1"/>
  <c r="J409" i="3"/>
  <c r="F409" i="3" s="1"/>
  <c r="J410" i="3"/>
  <c r="F410" i="3" s="1"/>
  <c r="J411" i="3"/>
  <c r="F411" i="3" s="1"/>
  <c r="J412" i="3"/>
  <c r="F412" i="3" s="1"/>
  <c r="J413" i="3"/>
  <c r="F413" i="3" s="1"/>
  <c r="J414" i="3"/>
  <c r="F414" i="3" s="1"/>
  <c r="J415" i="3"/>
  <c r="F415" i="3" s="1"/>
  <c r="J416" i="3"/>
  <c r="F416" i="3" s="1"/>
  <c r="J417" i="3"/>
  <c r="F417" i="3" s="1"/>
  <c r="J418" i="3"/>
  <c r="F418" i="3" s="1"/>
  <c r="J419" i="3"/>
  <c r="F419" i="3" s="1"/>
  <c r="J420" i="3"/>
  <c r="F420" i="3" s="1"/>
  <c r="J421" i="3"/>
  <c r="F421" i="3" s="1"/>
  <c r="J422" i="3"/>
  <c r="F422" i="3" s="1"/>
  <c r="J423" i="3"/>
  <c r="F423" i="3" s="1"/>
  <c r="J424" i="3"/>
  <c r="F424" i="3" s="1"/>
  <c r="J425" i="3"/>
  <c r="F425" i="3" s="1"/>
  <c r="J426" i="3"/>
  <c r="F426" i="3" s="1"/>
  <c r="J427" i="3"/>
  <c r="F427" i="3" s="1"/>
  <c r="J428" i="3"/>
  <c r="F428" i="3" s="1"/>
  <c r="J429" i="3"/>
  <c r="F429" i="3" s="1"/>
  <c r="J430" i="3"/>
  <c r="F430" i="3" s="1"/>
  <c r="J431" i="3"/>
  <c r="F431" i="3" s="1"/>
  <c r="J432" i="3"/>
  <c r="F432" i="3" s="1"/>
  <c r="J433" i="3"/>
  <c r="F433" i="3" s="1"/>
  <c r="J434" i="3"/>
  <c r="F434" i="3" s="1"/>
  <c r="J435" i="3"/>
  <c r="F435" i="3" s="1"/>
  <c r="J436" i="3"/>
  <c r="F436" i="3" s="1"/>
  <c r="J437" i="3"/>
  <c r="F437" i="3" s="1"/>
  <c r="J438" i="3"/>
  <c r="F438" i="3" s="1"/>
  <c r="J439" i="3"/>
  <c r="F439" i="3" s="1"/>
  <c r="J440" i="3"/>
  <c r="F440" i="3" s="1"/>
  <c r="J441" i="3"/>
  <c r="F441" i="3" s="1"/>
  <c r="J442" i="3"/>
  <c r="F442" i="3" s="1"/>
  <c r="J443" i="3"/>
  <c r="F443" i="3" s="1"/>
  <c r="J444" i="3"/>
  <c r="F444" i="3" s="1"/>
  <c r="J445" i="3"/>
  <c r="F445" i="3" s="1"/>
  <c r="J446" i="3"/>
  <c r="F446" i="3" s="1"/>
  <c r="J447" i="3"/>
  <c r="F447" i="3" s="1"/>
  <c r="J448" i="3"/>
  <c r="F448" i="3" s="1"/>
  <c r="J449" i="3"/>
  <c r="F449" i="3" s="1"/>
  <c r="J450" i="3"/>
  <c r="F450" i="3" s="1"/>
  <c r="J451" i="3"/>
  <c r="F451" i="3" s="1"/>
  <c r="J452" i="3"/>
  <c r="F452" i="3" s="1"/>
  <c r="J453" i="3"/>
  <c r="F453" i="3" s="1"/>
  <c r="J454" i="3"/>
  <c r="F454" i="3" s="1"/>
  <c r="J455" i="3"/>
  <c r="F455" i="3" s="1"/>
  <c r="J456" i="3"/>
  <c r="F456" i="3" s="1"/>
  <c r="J457" i="3"/>
  <c r="F457" i="3" s="1"/>
  <c r="J458" i="3"/>
  <c r="F458" i="3" s="1"/>
  <c r="J459" i="3"/>
  <c r="F459" i="3" s="1"/>
  <c r="J460" i="3"/>
  <c r="F460" i="3" s="1"/>
  <c r="J461" i="3"/>
  <c r="F461" i="3" s="1"/>
  <c r="J462" i="3"/>
  <c r="F462" i="3" s="1"/>
  <c r="J463" i="3"/>
  <c r="F463" i="3" s="1"/>
  <c r="J464" i="3"/>
  <c r="F464" i="3" s="1"/>
  <c r="J465" i="3"/>
  <c r="F465" i="3" s="1"/>
  <c r="J466" i="3"/>
  <c r="F466" i="3" s="1"/>
  <c r="J467" i="3"/>
  <c r="F467" i="3" s="1"/>
  <c r="J468" i="3"/>
  <c r="F468" i="3" s="1"/>
  <c r="J469" i="3"/>
  <c r="F469" i="3" s="1"/>
  <c r="J470" i="3"/>
  <c r="F470" i="3" s="1"/>
  <c r="J471" i="3"/>
  <c r="F471" i="3" s="1"/>
  <c r="J472" i="3"/>
  <c r="F472" i="3" s="1"/>
  <c r="J473" i="3"/>
  <c r="F473" i="3" s="1"/>
  <c r="J474" i="3"/>
  <c r="F474" i="3" s="1"/>
  <c r="J475" i="3"/>
  <c r="F475" i="3" s="1"/>
  <c r="J476" i="3"/>
  <c r="F476" i="3" s="1"/>
  <c r="J477" i="3"/>
  <c r="F477" i="3" s="1"/>
  <c r="J478" i="3"/>
  <c r="F478" i="3" s="1"/>
  <c r="J479" i="3"/>
  <c r="F479" i="3" s="1"/>
  <c r="J480" i="3"/>
  <c r="F480" i="3" s="1"/>
  <c r="J481" i="3"/>
  <c r="F481" i="3" s="1"/>
  <c r="J482" i="3"/>
  <c r="F482" i="3" s="1"/>
  <c r="J483" i="3"/>
  <c r="F483" i="3" s="1"/>
  <c r="J484" i="3"/>
  <c r="F484" i="3" s="1"/>
  <c r="J485" i="3"/>
  <c r="F485" i="3" s="1"/>
  <c r="J486" i="3"/>
  <c r="F486" i="3" s="1"/>
  <c r="J487" i="3"/>
  <c r="F487" i="3" s="1"/>
  <c r="J488" i="3"/>
  <c r="F488" i="3" s="1"/>
  <c r="J489" i="3"/>
  <c r="F489" i="3" s="1"/>
  <c r="J490" i="3"/>
  <c r="F490" i="3" s="1"/>
  <c r="J491" i="3"/>
  <c r="F491" i="3" s="1"/>
  <c r="J492" i="3"/>
  <c r="F492" i="3" s="1"/>
  <c r="J493" i="3"/>
  <c r="F493" i="3" s="1"/>
  <c r="J494" i="3"/>
  <c r="F494" i="3" s="1"/>
  <c r="J495" i="3"/>
  <c r="F495" i="3" s="1"/>
  <c r="J496" i="3"/>
  <c r="F496" i="3" s="1"/>
  <c r="J497" i="3"/>
  <c r="F497" i="3" s="1"/>
  <c r="J498" i="3"/>
  <c r="F498" i="3" s="1"/>
  <c r="J499" i="3"/>
  <c r="F499" i="3" s="1"/>
  <c r="J500" i="3"/>
  <c r="F500" i="3" s="1"/>
  <c r="J501" i="3"/>
  <c r="F501" i="3" s="1"/>
  <c r="J502" i="3"/>
  <c r="F502" i="3" s="1"/>
  <c r="J503" i="3"/>
  <c r="F503" i="3" s="1"/>
  <c r="J504" i="3"/>
  <c r="F504" i="3" s="1"/>
  <c r="J505" i="3"/>
  <c r="F505" i="3" s="1"/>
  <c r="J506" i="3"/>
  <c r="F506" i="3" s="1"/>
  <c r="J507" i="3"/>
  <c r="F507" i="3" s="1"/>
  <c r="J508" i="3"/>
  <c r="F508" i="3" s="1"/>
  <c r="J509" i="3"/>
  <c r="F509" i="3" s="1"/>
  <c r="J510" i="3"/>
  <c r="F510" i="3" s="1"/>
  <c r="J511" i="3"/>
  <c r="F511" i="3" s="1"/>
  <c r="J512" i="3"/>
  <c r="F512" i="3" s="1"/>
  <c r="J513" i="3"/>
  <c r="F513" i="3" s="1"/>
  <c r="J514" i="3"/>
  <c r="F514" i="3" s="1"/>
  <c r="J515" i="3"/>
  <c r="F515" i="3" s="1"/>
  <c r="J516" i="3"/>
  <c r="F516" i="3" s="1"/>
  <c r="J517" i="3"/>
  <c r="F517" i="3" s="1"/>
  <c r="J518" i="3"/>
  <c r="F518" i="3" s="1"/>
  <c r="J519" i="3"/>
  <c r="F519" i="3" s="1"/>
  <c r="J520" i="3"/>
  <c r="F520" i="3" s="1"/>
  <c r="J521" i="3"/>
  <c r="F521" i="3" s="1"/>
  <c r="J522" i="3"/>
  <c r="F522" i="3" s="1"/>
  <c r="J523" i="3"/>
  <c r="F523" i="3" s="1"/>
  <c r="J524" i="3"/>
  <c r="F524" i="3" s="1"/>
  <c r="J525" i="3"/>
  <c r="F525" i="3" s="1"/>
  <c r="J526" i="3"/>
  <c r="F526" i="3" s="1"/>
  <c r="J527" i="3"/>
  <c r="F527" i="3" s="1"/>
  <c r="J528" i="3"/>
  <c r="F528" i="3" s="1"/>
  <c r="J529" i="3"/>
  <c r="F529" i="3" s="1"/>
  <c r="J530" i="3"/>
  <c r="F530" i="3" s="1"/>
  <c r="J531" i="3"/>
  <c r="F531" i="3" s="1"/>
  <c r="J532" i="3"/>
  <c r="F532" i="3" s="1"/>
  <c r="J533" i="3"/>
  <c r="F533" i="3" s="1"/>
  <c r="J534" i="3"/>
  <c r="F534" i="3" s="1"/>
  <c r="J535" i="3"/>
  <c r="F535" i="3" s="1"/>
  <c r="J536" i="3"/>
  <c r="F536" i="3" s="1"/>
  <c r="J537" i="3"/>
  <c r="F537" i="3" s="1"/>
  <c r="J538" i="3"/>
  <c r="F538" i="3" s="1"/>
  <c r="J539" i="3"/>
  <c r="F539" i="3" s="1"/>
  <c r="J540" i="3"/>
  <c r="F540" i="3" s="1"/>
  <c r="J541" i="3"/>
  <c r="F541" i="3" s="1"/>
  <c r="J542" i="3"/>
  <c r="F542" i="3" s="1"/>
  <c r="J543" i="3"/>
  <c r="F543" i="3" s="1"/>
  <c r="J544" i="3"/>
  <c r="F544" i="3" s="1"/>
  <c r="J545" i="3"/>
  <c r="F545" i="3" s="1"/>
  <c r="J546" i="3"/>
  <c r="F546" i="3" s="1"/>
  <c r="J547" i="3"/>
  <c r="F547" i="3" s="1"/>
  <c r="J548" i="3"/>
  <c r="F548" i="3" s="1"/>
  <c r="J549" i="3"/>
  <c r="F549" i="3" s="1"/>
  <c r="J550" i="3"/>
  <c r="F550" i="3" s="1"/>
  <c r="J551" i="3"/>
  <c r="F551" i="3" s="1"/>
  <c r="J552" i="3"/>
  <c r="F552" i="3" s="1"/>
  <c r="J553" i="3"/>
  <c r="F553" i="3" s="1"/>
  <c r="J554" i="3"/>
  <c r="F554" i="3" s="1"/>
  <c r="J555" i="3"/>
  <c r="F555" i="3" s="1"/>
  <c r="J556" i="3"/>
  <c r="F556" i="3" s="1"/>
  <c r="J557" i="3"/>
  <c r="F557" i="3" s="1"/>
  <c r="J558" i="3"/>
  <c r="F558" i="3" s="1"/>
  <c r="J559" i="3"/>
  <c r="F559" i="3" s="1"/>
  <c r="J560" i="3"/>
  <c r="F560" i="3" s="1"/>
  <c r="J561" i="3"/>
  <c r="F561" i="3" s="1"/>
  <c r="J562" i="3"/>
  <c r="F562" i="3" s="1"/>
  <c r="J563" i="3"/>
  <c r="F563" i="3" s="1"/>
  <c r="J564" i="3"/>
  <c r="F564" i="3" s="1"/>
  <c r="J565" i="3"/>
  <c r="F565" i="3" s="1"/>
  <c r="J566" i="3"/>
  <c r="F566" i="3" s="1"/>
  <c r="J567" i="3"/>
  <c r="F567" i="3" s="1"/>
  <c r="J568" i="3"/>
  <c r="F568" i="3" s="1"/>
  <c r="J569" i="3"/>
  <c r="F569" i="3" s="1"/>
  <c r="J570" i="3"/>
  <c r="F570" i="3" s="1"/>
  <c r="J571" i="3"/>
  <c r="F571" i="3" s="1"/>
  <c r="J572" i="3"/>
  <c r="F572" i="3" s="1"/>
  <c r="J573" i="3"/>
  <c r="F573" i="3" s="1"/>
  <c r="J574" i="3"/>
  <c r="F574" i="3" s="1"/>
  <c r="J575" i="3"/>
  <c r="F575" i="3" s="1"/>
  <c r="J576" i="3"/>
  <c r="F576" i="3" s="1"/>
  <c r="J577" i="3"/>
  <c r="F577" i="3" s="1"/>
  <c r="J578" i="3"/>
  <c r="F578" i="3" s="1"/>
  <c r="J579" i="3"/>
  <c r="F579" i="3" s="1"/>
  <c r="J580" i="3"/>
  <c r="F580" i="3" s="1"/>
  <c r="J581" i="3"/>
  <c r="F581" i="3" s="1"/>
  <c r="J582" i="3"/>
  <c r="F582" i="3" s="1"/>
  <c r="J583" i="3"/>
  <c r="F583" i="3" s="1"/>
  <c r="J584" i="3"/>
  <c r="F584" i="3" s="1"/>
  <c r="J585" i="3"/>
  <c r="F585" i="3" s="1"/>
  <c r="J586" i="3"/>
  <c r="F586" i="3" s="1"/>
  <c r="J587" i="3"/>
  <c r="F587" i="3" s="1"/>
  <c r="J588" i="3"/>
  <c r="F588" i="3" s="1"/>
  <c r="J589" i="3"/>
  <c r="F589" i="3" s="1"/>
  <c r="J590" i="3"/>
  <c r="F590" i="3" s="1"/>
  <c r="J591" i="3"/>
  <c r="F591" i="3" s="1"/>
  <c r="J592" i="3"/>
  <c r="F592" i="3" s="1"/>
  <c r="J593" i="3"/>
  <c r="F593" i="3" s="1"/>
  <c r="J594" i="3"/>
  <c r="F594" i="3" s="1"/>
  <c r="J595" i="3"/>
  <c r="F595" i="3" s="1"/>
  <c r="J596" i="3"/>
  <c r="F596" i="3" s="1"/>
  <c r="J597" i="3"/>
  <c r="F597" i="3" s="1"/>
  <c r="J598" i="3"/>
  <c r="F598" i="3" s="1"/>
  <c r="J599" i="3"/>
  <c r="F599" i="3" s="1"/>
  <c r="J600" i="3"/>
  <c r="F600" i="3" s="1"/>
  <c r="J601" i="3"/>
  <c r="F601" i="3" s="1"/>
  <c r="J602" i="3"/>
  <c r="F602" i="3" s="1"/>
  <c r="J603" i="3"/>
  <c r="F603" i="3" s="1"/>
  <c r="J604" i="3"/>
  <c r="F604" i="3" s="1"/>
  <c r="J605" i="3"/>
  <c r="F605" i="3" s="1"/>
  <c r="J606" i="3"/>
  <c r="F606" i="3" s="1"/>
  <c r="J607" i="3"/>
  <c r="F607" i="3" s="1"/>
  <c r="J608" i="3"/>
  <c r="F608" i="3" s="1"/>
  <c r="J609" i="3"/>
  <c r="F609" i="3" s="1"/>
  <c r="J610" i="3"/>
  <c r="F610" i="3" s="1"/>
  <c r="J611" i="3"/>
  <c r="F611" i="3" s="1"/>
  <c r="J612" i="3"/>
  <c r="F612" i="3" s="1"/>
  <c r="J613" i="3"/>
  <c r="F613" i="3" s="1"/>
  <c r="J614" i="3"/>
  <c r="F614" i="3" s="1"/>
  <c r="J615" i="3"/>
  <c r="F615" i="3" s="1"/>
  <c r="J616" i="3"/>
  <c r="F616" i="3" s="1"/>
  <c r="J617" i="3"/>
  <c r="F617" i="3" s="1"/>
  <c r="J618" i="3"/>
  <c r="F618" i="3" s="1"/>
  <c r="J619" i="3"/>
  <c r="F619" i="3" s="1"/>
  <c r="J620" i="3"/>
  <c r="F620" i="3" s="1"/>
  <c r="J621" i="3"/>
  <c r="F621" i="3" s="1"/>
  <c r="J622" i="3"/>
  <c r="F622" i="3" s="1"/>
  <c r="J623" i="3"/>
  <c r="F623" i="3" s="1"/>
  <c r="J624" i="3"/>
  <c r="F624" i="3" s="1"/>
  <c r="J625" i="3"/>
  <c r="F625" i="3" s="1"/>
  <c r="J626" i="3"/>
  <c r="F626" i="3" s="1"/>
  <c r="J627" i="3"/>
  <c r="F627" i="3" s="1"/>
  <c r="J628" i="3"/>
  <c r="F628" i="3" s="1"/>
  <c r="J629" i="3"/>
  <c r="F629" i="3" s="1"/>
  <c r="J630" i="3"/>
  <c r="F630" i="3" s="1"/>
  <c r="J631" i="3"/>
  <c r="F631" i="3" s="1"/>
  <c r="J632" i="3"/>
  <c r="F632" i="3" s="1"/>
  <c r="J633" i="3"/>
  <c r="F633" i="3" s="1"/>
  <c r="J634" i="3"/>
  <c r="F634" i="3" s="1"/>
  <c r="J635" i="3"/>
  <c r="F635" i="3" s="1"/>
  <c r="J636" i="3"/>
  <c r="F636" i="3" s="1"/>
  <c r="J637" i="3"/>
  <c r="F637" i="3" s="1"/>
  <c r="J638" i="3"/>
  <c r="F638" i="3" s="1"/>
  <c r="J639" i="3"/>
  <c r="F639" i="3" s="1"/>
  <c r="J640" i="3"/>
  <c r="F640" i="3" s="1"/>
  <c r="J641" i="3"/>
  <c r="F641" i="3" s="1"/>
  <c r="J642" i="3"/>
  <c r="F642" i="3" s="1"/>
  <c r="J643" i="3"/>
  <c r="F643" i="3" s="1"/>
  <c r="J644" i="3"/>
  <c r="F644" i="3" s="1"/>
  <c r="J645" i="3"/>
  <c r="F645" i="3" s="1"/>
  <c r="J646" i="3"/>
  <c r="F646" i="3" s="1"/>
  <c r="J647" i="3"/>
  <c r="F647" i="3" s="1"/>
  <c r="J648" i="3"/>
  <c r="F648" i="3" s="1"/>
  <c r="J649" i="3"/>
  <c r="F649" i="3" s="1"/>
  <c r="J650" i="3"/>
  <c r="F650" i="3" s="1"/>
  <c r="J651" i="3"/>
  <c r="F651" i="3" s="1"/>
  <c r="J652" i="3"/>
  <c r="F652" i="3" s="1"/>
  <c r="J653" i="3"/>
  <c r="F653" i="3" s="1"/>
  <c r="J654" i="3"/>
  <c r="F654" i="3" s="1"/>
  <c r="J655" i="3"/>
  <c r="F655" i="3" s="1"/>
  <c r="J656" i="3"/>
  <c r="F656" i="3" s="1"/>
  <c r="J657" i="3"/>
  <c r="F657" i="3" s="1"/>
  <c r="J658" i="3"/>
  <c r="F658" i="3" s="1"/>
  <c r="J659" i="3"/>
  <c r="F659" i="3" s="1"/>
  <c r="J660" i="3"/>
  <c r="F660" i="3" s="1"/>
  <c r="J661" i="3"/>
  <c r="F661" i="3" s="1"/>
  <c r="J662" i="3"/>
  <c r="F662" i="3" s="1"/>
  <c r="J663" i="3"/>
  <c r="F663" i="3" s="1"/>
  <c r="J664" i="3"/>
  <c r="F664" i="3" s="1"/>
  <c r="J665" i="3"/>
  <c r="F665" i="3" s="1"/>
  <c r="J666" i="3"/>
  <c r="F666" i="3" s="1"/>
  <c r="J667" i="3"/>
  <c r="F667" i="3" s="1"/>
  <c r="J668" i="3"/>
  <c r="F668" i="3" s="1"/>
  <c r="J669" i="3"/>
  <c r="F669" i="3" s="1"/>
  <c r="J670" i="3"/>
  <c r="F670" i="3" s="1"/>
  <c r="J671" i="3"/>
  <c r="F671" i="3" s="1"/>
  <c r="J672" i="3"/>
  <c r="F672" i="3" s="1"/>
  <c r="J673" i="3"/>
  <c r="F673" i="3" s="1"/>
  <c r="J674" i="3"/>
  <c r="F674" i="3" s="1"/>
  <c r="J675" i="3"/>
  <c r="F675" i="3" s="1"/>
  <c r="J676" i="3"/>
  <c r="F676" i="3" s="1"/>
  <c r="J677" i="3"/>
  <c r="F677" i="3" s="1"/>
  <c r="J678" i="3"/>
  <c r="F678" i="3" s="1"/>
  <c r="J679" i="3"/>
  <c r="F679" i="3" s="1"/>
  <c r="J680" i="3"/>
  <c r="F680" i="3" s="1"/>
  <c r="J681" i="3"/>
  <c r="F681" i="3" s="1"/>
  <c r="J682" i="3"/>
  <c r="F682" i="3" s="1"/>
  <c r="J683" i="3"/>
  <c r="F683" i="3" s="1"/>
  <c r="J684" i="3"/>
  <c r="F684" i="3" s="1"/>
  <c r="J685" i="3"/>
  <c r="F685" i="3" s="1"/>
  <c r="J686" i="3"/>
  <c r="F686" i="3" s="1"/>
  <c r="J687" i="3"/>
  <c r="F687" i="3" s="1"/>
  <c r="J688" i="3"/>
  <c r="F688" i="3" s="1"/>
  <c r="J689" i="3"/>
  <c r="F689" i="3" s="1"/>
  <c r="J690" i="3"/>
  <c r="F690" i="3" s="1"/>
  <c r="J691" i="3"/>
  <c r="F691" i="3" s="1"/>
  <c r="J692" i="3"/>
  <c r="F692" i="3" s="1"/>
  <c r="J693" i="3"/>
  <c r="F693" i="3" s="1"/>
  <c r="J694" i="3"/>
  <c r="F694" i="3" s="1"/>
  <c r="J695" i="3"/>
  <c r="F695" i="3" s="1"/>
  <c r="J696" i="3"/>
  <c r="F696" i="3" s="1"/>
  <c r="J697" i="3"/>
  <c r="F697" i="3" s="1"/>
  <c r="J698" i="3"/>
  <c r="F698" i="3" s="1"/>
  <c r="J699" i="3"/>
  <c r="F699" i="3" s="1"/>
  <c r="J700" i="3"/>
  <c r="F700" i="3" s="1"/>
  <c r="J701" i="3"/>
  <c r="F701" i="3" s="1"/>
  <c r="J702" i="3"/>
  <c r="F702" i="3" s="1"/>
  <c r="J703" i="3"/>
  <c r="F703" i="3" s="1"/>
  <c r="J704" i="3"/>
  <c r="F704" i="3" s="1"/>
  <c r="J705" i="3"/>
  <c r="F705" i="3" s="1"/>
  <c r="J706" i="3"/>
  <c r="F706" i="3" s="1"/>
  <c r="J707" i="3"/>
  <c r="F707" i="3" s="1"/>
  <c r="J708" i="3"/>
  <c r="F708" i="3" s="1"/>
  <c r="J709" i="3"/>
  <c r="F709" i="3" s="1"/>
  <c r="J710" i="3"/>
  <c r="F710" i="3" s="1"/>
  <c r="J711" i="3"/>
  <c r="F711" i="3" s="1"/>
  <c r="J712" i="3"/>
  <c r="F712" i="3" s="1"/>
  <c r="J713" i="3"/>
  <c r="F713" i="3" s="1"/>
  <c r="J714" i="3"/>
  <c r="F714" i="3" s="1"/>
  <c r="J715" i="3"/>
  <c r="F715" i="3" s="1"/>
  <c r="J716" i="3"/>
  <c r="F716" i="3" s="1"/>
  <c r="J717" i="3"/>
  <c r="F717" i="3" s="1"/>
  <c r="J718" i="3"/>
  <c r="F718" i="3" s="1"/>
  <c r="J719" i="3"/>
  <c r="F719" i="3" s="1"/>
  <c r="J720" i="3"/>
  <c r="F720" i="3" s="1"/>
  <c r="J721" i="3"/>
  <c r="F721" i="3" s="1"/>
  <c r="J722" i="3"/>
  <c r="F722" i="3" s="1"/>
  <c r="J723" i="3"/>
  <c r="F723" i="3" s="1"/>
  <c r="J724" i="3"/>
  <c r="F724" i="3" s="1"/>
  <c r="J725" i="3"/>
  <c r="F725" i="3" s="1"/>
  <c r="J726" i="3"/>
  <c r="F726" i="3" s="1"/>
  <c r="J727" i="3"/>
  <c r="F727" i="3" s="1"/>
  <c r="J728" i="3"/>
  <c r="F728" i="3" s="1"/>
  <c r="J729" i="3"/>
  <c r="F729" i="3" s="1"/>
  <c r="J730" i="3"/>
  <c r="F730" i="3" s="1"/>
  <c r="J731" i="3"/>
  <c r="F731" i="3" s="1"/>
  <c r="J732" i="3"/>
  <c r="F732" i="3" s="1"/>
  <c r="J733" i="3"/>
  <c r="F733" i="3" s="1"/>
  <c r="J734" i="3"/>
  <c r="F734" i="3" s="1"/>
  <c r="J735" i="3"/>
  <c r="F735" i="3" s="1"/>
  <c r="J736" i="3"/>
  <c r="F736" i="3" s="1"/>
  <c r="J737" i="3"/>
  <c r="F737"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2" i="3"/>
  <c r="A3" i="3"/>
  <c r="A4" i="3"/>
  <c r="A5" i="3"/>
  <c r="A6" i="3"/>
  <c r="A7" i="3"/>
  <c r="A8" i="3"/>
  <c r="A9" i="3"/>
  <c r="A10" i="3"/>
  <c r="A11" i="3"/>
  <c r="A12" i="3"/>
  <c r="A13" i="3"/>
  <c r="A14" i="3"/>
  <c r="L14" i="3" s="1"/>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M46" i="3" s="1"/>
  <c r="A47" i="3"/>
  <c r="L47" i="3" s="1"/>
  <c r="A48" i="3"/>
  <c r="A49" i="3"/>
  <c r="A50" i="3"/>
  <c r="A51" i="3"/>
  <c r="A52" i="3"/>
  <c r="A53" i="3"/>
  <c r="A54" i="3"/>
  <c r="A55" i="3"/>
  <c r="A56" i="3"/>
  <c r="A57" i="3"/>
  <c r="A58" i="3"/>
  <c r="A59" i="3"/>
  <c r="L59" i="3" s="1"/>
  <c r="A60" i="3"/>
  <c r="A61" i="3"/>
  <c r="A62" i="3"/>
  <c r="A63" i="3"/>
  <c r="A64" i="3"/>
  <c r="A65" i="3"/>
  <c r="A66" i="3"/>
  <c r="A67" i="3"/>
  <c r="A68" i="3"/>
  <c r="A69" i="3"/>
  <c r="A70" i="3"/>
  <c r="A71" i="3"/>
  <c r="M71" i="3" s="1"/>
  <c r="A72" i="3"/>
  <c r="A73" i="3"/>
  <c r="A74" i="3"/>
  <c r="A75" i="3"/>
  <c r="A76" i="3"/>
  <c r="A77" i="3"/>
  <c r="A78" i="3"/>
  <c r="N78" i="3" s="1"/>
  <c r="A79" i="3"/>
  <c r="A80" i="3"/>
  <c r="A81" i="3"/>
  <c r="A82" i="3"/>
  <c r="A83" i="3"/>
  <c r="A84" i="3"/>
  <c r="A85" i="3"/>
  <c r="A86" i="3"/>
  <c r="N86" i="3" s="1"/>
  <c r="A87" i="3"/>
  <c r="A88" i="3"/>
  <c r="A89" i="3"/>
  <c r="A90" i="3"/>
  <c r="A91" i="3"/>
  <c r="A92" i="3"/>
  <c r="A93" i="3"/>
  <c r="A94" i="3"/>
  <c r="A95" i="3"/>
  <c r="A96" i="3"/>
  <c r="A97" i="3"/>
  <c r="A98" i="3"/>
  <c r="A99" i="3"/>
  <c r="L99" i="3" s="1"/>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L142" i="3" s="1"/>
  <c r="A143" i="3"/>
  <c r="A144" i="3"/>
  <c r="A145" i="3"/>
  <c r="L145" i="3" s="1"/>
  <c r="A146" i="3"/>
  <c r="A147" i="3"/>
  <c r="A148" i="3"/>
  <c r="A149" i="3"/>
  <c r="A150" i="3"/>
  <c r="A151" i="3"/>
  <c r="A152" i="3"/>
  <c r="A153" i="3"/>
  <c r="A154" i="3"/>
  <c r="A155" i="3"/>
  <c r="A156" i="3"/>
  <c r="A157" i="3"/>
  <c r="A158" i="3"/>
  <c r="A159" i="3"/>
  <c r="A160" i="3"/>
  <c r="A161" i="3"/>
  <c r="A162" i="3"/>
  <c r="A163" i="3"/>
  <c r="A164" i="3"/>
  <c r="A165" i="3"/>
  <c r="A166" i="3"/>
  <c r="L166" i="3" s="1"/>
  <c r="A167" i="3"/>
  <c r="A168" i="3"/>
  <c r="A169" i="3"/>
  <c r="A170" i="3"/>
  <c r="A171" i="3"/>
  <c r="A172" i="3"/>
  <c r="A173" i="3"/>
  <c r="A174" i="3"/>
  <c r="A175" i="3"/>
  <c r="N175" i="3" s="1"/>
  <c r="A176" i="3"/>
  <c r="A177" i="3"/>
  <c r="A178" i="3"/>
  <c r="A179" i="3"/>
  <c r="A180" i="3"/>
  <c r="A181" i="3"/>
  <c r="A182" i="3"/>
  <c r="M182" i="3" s="1"/>
  <c r="A183" i="3"/>
  <c r="A184" i="3"/>
  <c r="A185" i="3"/>
  <c r="A186" i="3"/>
  <c r="A187" i="3"/>
  <c r="A188" i="3"/>
  <c r="A189" i="3"/>
  <c r="A190" i="3"/>
  <c r="M190" i="3" s="1"/>
  <c r="A191" i="3"/>
  <c r="L191" i="3" s="1"/>
  <c r="A192" i="3"/>
  <c r="A193" i="3"/>
  <c r="A194" i="3"/>
  <c r="A195" i="3"/>
  <c r="A196" i="3"/>
  <c r="A197" i="3"/>
  <c r="A198" i="3"/>
  <c r="A199" i="3"/>
  <c r="A200" i="3"/>
  <c r="A201" i="3"/>
  <c r="A202" i="3"/>
  <c r="A203" i="3"/>
  <c r="A204" i="3"/>
  <c r="A205" i="3"/>
  <c r="A206" i="3"/>
  <c r="A207" i="3"/>
  <c r="L207" i="3" s="1"/>
  <c r="A208" i="3"/>
  <c r="A209" i="3"/>
  <c r="M209" i="3" s="1"/>
  <c r="A210" i="3"/>
  <c r="A211" i="3"/>
  <c r="A212" i="3"/>
  <c r="A213" i="3"/>
  <c r="A214" i="3"/>
  <c r="A215" i="3"/>
  <c r="L215" i="3" s="1"/>
  <c r="A216" i="3"/>
  <c r="A217" i="3"/>
  <c r="A218" i="3"/>
  <c r="A219" i="3"/>
  <c r="A220" i="3"/>
  <c r="A221" i="3"/>
  <c r="A222" i="3"/>
  <c r="A223" i="3"/>
  <c r="L223" i="3" s="1"/>
  <c r="A224" i="3"/>
  <c r="A225" i="3"/>
  <c r="A226" i="3"/>
  <c r="A227" i="3"/>
  <c r="A228" i="3"/>
  <c r="A229" i="3"/>
  <c r="A230" i="3"/>
  <c r="A231" i="3"/>
  <c r="A232" i="3"/>
  <c r="A233" i="3"/>
  <c r="A234" i="3"/>
  <c r="A235" i="3"/>
  <c r="A236" i="3"/>
  <c r="A237" i="3"/>
  <c r="A238" i="3"/>
  <c r="A239" i="3"/>
  <c r="A240" i="3"/>
  <c r="A241" i="3"/>
  <c r="A242" i="3"/>
  <c r="A243" i="3"/>
  <c r="A244" i="3"/>
  <c r="A245" i="3"/>
  <c r="A246" i="3"/>
  <c r="A247" i="3"/>
  <c r="L247" i="3" s="1"/>
  <c r="A248" i="3"/>
  <c r="A249" i="3"/>
  <c r="A250" i="3"/>
  <c r="A251" i="3"/>
  <c r="A252" i="3"/>
  <c r="A253" i="3"/>
  <c r="A254" i="3"/>
  <c r="M254" i="3" s="1"/>
  <c r="A255" i="3"/>
  <c r="L255" i="3" s="1"/>
  <c r="A256" i="3"/>
  <c r="A257" i="3"/>
  <c r="A258" i="3"/>
  <c r="A259" i="3"/>
  <c r="A260" i="3"/>
  <c r="A261" i="3"/>
  <c r="A262" i="3"/>
  <c r="M262" i="3" s="1"/>
  <c r="A263" i="3"/>
  <c r="A264" i="3"/>
  <c r="A265" i="3"/>
  <c r="L265" i="3" s="1"/>
  <c r="A266" i="3"/>
  <c r="A267" i="3"/>
  <c r="A268" i="3"/>
  <c r="A269" i="3"/>
  <c r="A270" i="3"/>
  <c r="A271" i="3"/>
  <c r="A272" i="3"/>
  <c r="A273" i="3"/>
  <c r="A274" i="3"/>
  <c r="A275" i="3"/>
  <c r="A276" i="3"/>
  <c r="A277" i="3"/>
  <c r="A278" i="3"/>
  <c r="A279" i="3"/>
  <c r="L279" i="3" s="1"/>
  <c r="A280" i="3"/>
  <c r="A281" i="3"/>
  <c r="A282" i="3"/>
  <c r="A283" i="3"/>
  <c r="A284" i="3"/>
  <c r="A285" i="3"/>
  <c r="A286" i="3"/>
  <c r="A287" i="3"/>
  <c r="A288" i="3"/>
  <c r="A289" i="3"/>
  <c r="A290" i="3"/>
  <c r="A291" i="3"/>
  <c r="A292" i="3"/>
  <c r="A293" i="3"/>
  <c r="A294" i="3"/>
  <c r="A295" i="3"/>
  <c r="A296" i="3"/>
  <c r="A297" i="3"/>
  <c r="A298" i="3"/>
  <c r="A299" i="3"/>
  <c r="A300" i="3"/>
  <c r="A301" i="3"/>
  <c r="A302" i="3"/>
  <c r="A303" i="3"/>
  <c r="L303" i="3" s="1"/>
  <c r="A304" i="3"/>
  <c r="A305" i="3"/>
  <c r="A306" i="3"/>
  <c r="A307" i="3"/>
  <c r="A308" i="3"/>
  <c r="A309" i="3"/>
  <c r="A310" i="3"/>
  <c r="A311" i="3"/>
  <c r="N311" i="3" s="1"/>
  <c r="A312" i="3"/>
  <c r="A313" i="3"/>
  <c r="A314" i="3"/>
  <c r="A315" i="3"/>
  <c r="A316" i="3"/>
  <c r="A317" i="3"/>
  <c r="A318" i="3"/>
  <c r="A319" i="3"/>
  <c r="N319" i="3" s="1"/>
  <c r="A320" i="3"/>
  <c r="A321" i="3"/>
  <c r="A322" i="3"/>
  <c r="A323" i="3"/>
  <c r="A324" i="3"/>
  <c r="A325" i="3"/>
  <c r="A326" i="3"/>
  <c r="A327" i="3"/>
  <c r="A328" i="3"/>
  <c r="A329" i="3"/>
  <c r="A330" i="3"/>
  <c r="A331" i="3"/>
  <c r="A332" i="3"/>
  <c r="A333" i="3"/>
  <c r="A334" i="3"/>
  <c r="A335" i="3"/>
  <c r="L335" i="3" s="1"/>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M367" i="3" s="1"/>
  <c r="A368" i="3"/>
  <c r="A369" i="3"/>
  <c r="A370" i="3"/>
  <c r="A371" i="3"/>
  <c r="A372" i="3"/>
  <c r="A373" i="3"/>
  <c r="A374" i="3"/>
  <c r="A375" i="3"/>
  <c r="L375" i="3" s="1"/>
  <c r="A376" i="3"/>
  <c r="A377" i="3"/>
  <c r="L377" i="3" s="1"/>
  <c r="A378" i="3"/>
  <c r="A379" i="3"/>
  <c r="A380" i="3"/>
  <c r="A381" i="3"/>
  <c r="A382" i="3"/>
  <c r="A383" i="3"/>
  <c r="A384" i="3"/>
  <c r="A385" i="3"/>
  <c r="A386" i="3"/>
  <c r="A387" i="3"/>
  <c r="A388" i="3"/>
  <c r="A389" i="3"/>
  <c r="A390" i="3"/>
  <c r="L390" i="3" s="1"/>
  <c r="A391" i="3"/>
  <c r="A392" i="3"/>
  <c r="A393" i="3"/>
  <c r="A394" i="3"/>
  <c r="A395" i="3"/>
  <c r="A396" i="3"/>
  <c r="A397" i="3"/>
  <c r="A398" i="3"/>
  <c r="L398" i="3" s="1"/>
  <c r="A399" i="3"/>
  <c r="A400" i="3"/>
  <c r="A401" i="3"/>
  <c r="A402" i="3"/>
  <c r="A403" i="3"/>
  <c r="A404" i="3"/>
  <c r="A405" i="3"/>
  <c r="A406" i="3"/>
  <c r="A407" i="3"/>
  <c r="L407" i="3" s="1"/>
  <c r="A408" i="3"/>
  <c r="A409" i="3"/>
  <c r="A410" i="3"/>
  <c r="A411" i="3"/>
  <c r="A412" i="3"/>
  <c r="A413" i="3"/>
  <c r="A414" i="3"/>
  <c r="A415" i="3"/>
  <c r="L415" i="3" s="1"/>
  <c r="A416" i="3"/>
  <c r="A417" i="3"/>
  <c r="L417" i="3" s="1"/>
  <c r="A418" i="3"/>
  <c r="A419" i="3"/>
  <c r="A420" i="3"/>
  <c r="A421" i="3"/>
  <c r="A422" i="3"/>
  <c r="A423" i="3"/>
  <c r="A424" i="3"/>
  <c r="A425" i="3"/>
  <c r="A426" i="3"/>
  <c r="A427" i="3"/>
  <c r="A428" i="3"/>
  <c r="A429" i="3"/>
  <c r="A430" i="3"/>
  <c r="A431" i="3"/>
  <c r="A432" i="3"/>
  <c r="A433" i="3"/>
  <c r="A434" i="3"/>
  <c r="A435" i="3"/>
  <c r="A436" i="3"/>
  <c r="A437" i="3"/>
  <c r="A438" i="3"/>
  <c r="A439" i="3"/>
  <c r="L439" i="3" s="1"/>
  <c r="A440" i="3"/>
  <c r="A441" i="3"/>
  <c r="A442" i="3"/>
  <c r="A443" i="3"/>
  <c r="A444" i="3"/>
  <c r="A445" i="3"/>
  <c r="A446" i="3"/>
  <c r="A447" i="3"/>
  <c r="L447" i="3" s="1"/>
  <c r="A448" i="3"/>
  <c r="A449" i="3"/>
  <c r="A450" i="3"/>
  <c r="A451" i="3"/>
  <c r="A452" i="3"/>
  <c r="L452" i="3" s="1"/>
  <c r="A453" i="3"/>
  <c r="A454" i="3"/>
  <c r="M454" i="3" s="1"/>
  <c r="A455" i="3"/>
  <c r="A456" i="3"/>
  <c r="A457" i="3"/>
  <c r="A458" i="3"/>
  <c r="A459" i="3"/>
  <c r="A460" i="3"/>
  <c r="A461" i="3"/>
  <c r="A462" i="3"/>
  <c r="M462" i="3" s="1"/>
  <c r="A463" i="3"/>
  <c r="A464" i="3"/>
  <c r="A465" i="3"/>
  <c r="A466" i="3"/>
  <c r="A467" i="3"/>
  <c r="A468" i="3"/>
  <c r="A469" i="3"/>
  <c r="A470" i="3"/>
  <c r="A471" i="3"/>
  <c r="A472" i="3"/>
  <c r="A473" i="3"/>
  <c r="A474" i="3"/>
  <c r="A475" i="3"/>
  <c r="A476" i="3"/>
  <c r="M476" i="3" s="1"/>
  <c r="A477" i="3"/>
  <c r="A478" i="3"/>
  <c r="A479" i="3"/>
  <c r="A480" i="3"/>
  <c r="A481" i="3"/>
  <c r="A482" i="3"/>
  <c r="A483" i="3"/>
  <c r="A484" i="3"/>
  <c r="A485" i="3"/>
  <c r="A486" i="3"/>
  <c r="A487" i="3"/>
  <c r="A488" i="3"/>
  <c r="A489" i="3"/>
  <c r="A490" i="3"/>
  <c r="A491" i="3"/>
  <c r="A492" i="3"/>
  <c r="L492" i="3" s="1"/>
  <c r="A493" i="3"/>
  <c r="A494" i="3"/>
  <c r="A495" i="3"/>
  <c r="A496" i="3"/>
  <c r="A497" i="3"/>
  <c r="A498" i="3"/>
  <c r="A499" i="3"/>
  <c r="A500" i="3"/>
  <c r="A501" i="3"/>
  <c r="A502" i="3"/>
  <c r="M502" i="3" s="1"/>
  <c r="A503" i="3"/>
  <c r="A504" i="3"/>
  <c r="A505" i="3"/>
  <c r="A506" i="3"/>
  <c r="A507" i="3"/>
  <c r="A508" i="3"/>
  <c r="A509" i="3"/>
  <c r="A510" i="3"/>
  <c r="A511" i="3"/>
  <c r="A512" i="3"/>
  <c r="A513" i="3"/>
  <c r="A514" i="3"/>
  <c r="A515" i="3"/>
  <c r="A516" i="3"/>
  <c r="A517" i="3"/>
  <c r="A518" i="3"/>
  <c r="L518" i="3" s="1"/>
  <c r="A519" i="3"/>
  <c r="A520" i="3"/>
  <c r="A521" i="3"/>
  <c r="A522" i="3"/>
  <c r="A523" i="3"/>
  <c r="A524" i="3"/>
  <c r="A525" i="3"/>
  <c r="A526" i="3"/>
  <c r="A527" i="3"/>
  <c r="A528" i="3"/>
  <c r="A529" i="3"/>
  <c r="A530" i="3"/>
  <c r="A531" i="3"/>
  <c r="A532" i="3"/>
  <c r="A533" i="3"/>
  <c r="A534" i="3"/>
  <c r="A535" i="3"/>
  <c r="M535" i="3" s="1"/>
  <c r="A536" i="3"/>
  <c r="A537" i="3"/>
  <c r="A538" i="3"/>
  <c r="A539" i="3"/>
  <c r="A540" i="3"/>
  <c r="A541" i="3"/>
  <c r="A542" i="3"/>
  <c r="A543" i="3"/>
  <c r="A544" i="3"/>
  <c r="A545" i="3"/>
  <c r="A546" i="3"/>
  <c r="A547" i="3"/>
  <c r="A548" i="3"/>
  <c r="A549" i="3"/>
  <c r="A550" i="3"/>
  <c r="N550" i="3" s="1"/>
  <c r="A551" i="3"/>
  <c r="A552" i="3"/>
  <c r="A553" i="3"/>
  <c r="N553" i="3" s="1"/>
  <c r="A554" i="3"/>
  <c r="A555" i="3"/>
  <c r="A556" i="3"/>
  <c r="A557" i="3"/>
  <c r="A558" i="3"/>
  <c r="A559" i="3"/>
  <c r="A560" i="3"/>
  <c r="A561" i="3"/>
  <c r="A562" i="3"/>
  <c r="A563" i="3"/>
  <c r="A564" i="3"/>
  <c r="A565" i="3"/>
  <c r="A566" i="3"/>
  <c r="L566" i="3" s="1"/>
  <c r="A567" i="3"/>
  <c r="A568" i="3"/>
  <c r="A569" i="3"/>
  <c r="A570" i="3"/>
  <c r="A571" i="3"/>
  <c r="A572" i="3"/>
  <c r="A573" i="3"/>
  <c r="A574" i="3"/>
  <c r="A575" i="3"/>
  <c r="A576" i="3"/>
  <c r="A577" i="3"/>
  <c r="A578" i="3"/>
  <c r="A579" i="3"/>
  <c r="A580" i="3"/>
  <c r="A581" i="3"/>
  <c r="A582" i="3"/>
  <c r="L582" i="3" s="1"/>
  <c r="A583" i="3"/>
  <c r="A584" i="3"/>
  <c r="A585" i="3"/>
  <c r="A586" i="3"/>
  <c r="A587" i="3"/>
  <c r="A588" i="3"/>
  <c r="A589" i="3"/>
  <c r="A590" i="3"/>
  <c r="N590" i="3" s="1"/>
  <c r="A591" i="3"/>
  <c r="A592" i="3"/>
  <c r="A593" i="3"/>
  <c r="A594" i="3"/>
  <c r="A595" i="3"/>
  <c r="A596" i="3"/>
  <c r="A597" i="3"/>
  <c r="A598" i="3"/>
  <c r="A599" i="3"/>
  <c r="A600" i="3"/>
  <c r="A601" i="3"/>
  <c r="A602" i="3"/>
  <c r="A603" i="3"/>
  <c r="A604" i="3"/>
  <c r="A605" i="3"/>
  <c r="A606" i="3"/>
  <c r="N606" i="3" s="1"/>
  <c r="A607" i="3"/>
  <c r="A608" i="3"/>
  <c r="A609" i="3"/>
  <c r="A610" i="3"/>
  <c r="L610" i="3" s="1"/>
  <c r="A611" i="3"/>
  <c r="A612" i="3"/>
  <c r="A613" i="3"/>
  <c r="A614" i="3"/>
  <c r="A615" i="3"/>
  <c r="A616" i="3"/>
  <c r="A617" i="3"/>
  <c r="A618" i="3"/>
  <c r="A619" i="3"/>
  <c r="A620" i="3"/>
  <c r="A621" i="3"/>
  <c r="A622" i="3"/>
  <c r="L622" i="3" s="1"/>
  <c r="A623" i="3"/>
  <c r="A624" i="3"/>
  <c r="A625" i="3"/>
  <c r="A626" i="3"/>
  <c r="A627" i="3"/>
  <c r="A628" i="3"/>
  <c r="A629" i="3"/>
  <c r="A630" i="3"/>
  <c r="L630" i="3" s="1"/>
  <c r="A631" i="3"/>
  <c r="A632" i="3"/>
  <c r="A633" i="3"/>
  <c r="A634" i="3"/>
  <c r="A635" i="3"/>
  <c r="A636" i="3"/>
  <c r="A637" i="3"/>
  <c r="A638" i="3"/>
  <c r="M638" i="3" s="1"/>
  <c r="A639" i="3"/>
  <c r="A640" i="3"/>
  <c r="A641" i="3"/>
  <c r="A642" i="3"/>
  <c r="A643" i="3"/>
  <c r="A644" i="3"/>
  <c r="A645" i="3"/>
  <c r="A646" i="3"/>
  <c r="L646" i="3" s="1"/>
  <c r="A647" i="3"/>
  <c r="A648" i="3"/>
  <c r="A649" i="3"/>
  <c r="M649" i="3" s="1"/>
  <c r="A650" i="3"/>
  <c r="A651" i="3"/>
  <c r="A652" i="3"/>
  <c r="A653" i="3"/>
  <c r="A654" i="3"/>
  <c r="L654" i="3" s="1"/>
  <c r="A655" i="3"/>
  <c r="A656" i="3"/>
  <c r="A657" i="3"/>
  <c r="A658" i="3"/>
  <c r="A659" i="3"/>
  <c r="A660" i="3"/>
  <c r="A661" i="3"/>
  <c r="A662" i="3"/>
  <c r="A663" i="3"/>
  <c r="A664" i="3"/>
  <c r="A665" i="3"/>
  <c r="A666" i="3"/>
  <c r="A667" i="3"/>
  <c r="A668" i="3"/>
  <c r="A669" i="3"/>
  <c r="A670" i="3"/>
  <c r="A671" i="3"/>
  <c r="A672" i="3"/>
  <c r="A673" i="3"/>
  <c r="A674" i="3"/>
  <c r="L674" i="3" s="1"/>
  <c r="A675" i="3"/>
  <c r="A676" i="3"/>
  <c r="A677" i="3"/>
  <c r="A678" i="3"/>
  <c r="A679" i="3"/>
  <c r="A680" i="3"/>
  <c r="A681" i="3"/>
  <c r="A682" i="3"/>
  <c r="A683" i="3"/>
  <c r="A684" i="3"/>
  <c r="A685" i="3"/>
  <c r="A686" i="3"/>
  <c r="L686" i="3" s="1"/>
  <c r="A687" i="3"/>
  <c r="A688" i="3"/>
  <c r="A689" i="3"/>
  <c r="A690" i="3"/>
  <c r="A691" i="3"/>
  <c r="A692" i="3"/>
  <c r="A693" i="3"/>
  <c r="A694" i="3"/>
  <c r="M694" i="3" s="1"/>
  <c r="A695" i="3"/>
  <c r="A696" i="3"/>
  <c r="A697" i="3"/>
  <c r="A698" i="3"/>
  <c r="M698" i="3" s="1"/>
  <c r="A699" i="3"/>
  <c r="A700" i="3"/>
  <c r="A701" i="3"/>
  <c r="A702" i="3"/>
  <c r="A703" i="3"/>
  <c r="A704" i="3"/>
  <c r="A705" i="3"/>
  <c r="A706" i="3"/>
  <c r="A707" i="3"/>
  <c r="A708" i="3"/>
  <c r="A709" i="3"/>
  <c r="A710" i="3"/>
  <c r="L710" i="3" s="1"/>
  <c r="A711" i="3"/>
  <c r="A712" i="3"/>
  <c r="A713" i="3"/>
  <c r="A714" i="3"/>
  <c r="A715" i="3"/>
  <c r="A716" i="3"/>
  <c r="A717" i="3"/>
  <c r="A718" i="3"/>
  <c r="L718" i="3" s="1"/>
  <c r="A719" i="3"/>
  <c r="A720" i="3"/>
  <c r="A721" i="3"/>
  <c r="A722" i="3"/>
  <c r="A723" i="3"/>
  <c r="A724" i="3"/>
  <c r="A725" i="3"/>
  <c r="A726" i="3"/>
  <c r="N726" i="3" s="1"/>
  <c r="A727" i="3"/>
  <c r="A728" i="3"/>
  <c r="N728" i="3" s="1"/>
  <c r="A729" i="3"/>
  <c r="A730" i="3"/>
  <c r="A731" i="3"/>
  <c r="A732" i="3"/>
  <c r="A733" i="3"/>
  <c r="A734" i="3"/>
  <c r="A735" i="3"/>
  <c r="A736" i="3"/>
  <c r="A737" i="3"/>
  <c r="A2" i="3"/>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H6" i="5"/>
  <c r="H5" i="5"/>
  <c r="M415" i="3" l="1"/>
  <c r="M279" i="3"/>
  <c r="L590" i="3"/>
  <c r="N367" i="3"/>
  <c r="N279" i="3"/>
  <c r="N182" i="3"/>
  <c r="M732" i="3"/>
  <c r="N732" i="3"/>
  <c r="L732" i="3"/>
  <c r="M684" i="3"/>
  <c r="N684" i="3"/>
  <c r="L684" i="3"/>
  <c r="N636" i="3"/>
  <c r="M636" i="3"/>
  <c r="L636" i="3"/>
  <c r="N596" i="3"/>
  <c r="M596" i="3"/>
  <c r="L596" i="3"/>
  <c r="N548" i="3"/>
  <c r="M548" i="3"/>
  <c r="L548" i="3"/>
  <c r="N492" i="3"/>
  <c r="M492" i="3"/>
  <c r="N444" i="3"/>
  <c r="M444" i="3"/>
  <c r="L444" i="3"/>
  <c r="M396" i="3"/>
  <c r="N396" i="3"/>
  <c r="L396" i="3"/>
  <c r="N348" i="3"/>
  <c r="M348" i="3"/>
  <c r="L348" i="3"/>
  <c r="M292" i="3"/>
  <c r="N292" i="3"/>
  <c r="L292" i="3"/>
  <c r="M196" i="3"/>
  <c r="N196" i="3"/>
  <c r="L196" i="3"/>
  <c r="N731" i="3"/>
  <c r="L731" i="3"/>
  <c r="M731" i="3"/>
  <c r="N683" i="3"/>
  <c r="M683" i="3"/>
  <c r="L683" i="3"/>
  <c r="N651" i="3"/>
  <c r="L651" i="3"/>
  <c r="M651" i="3"/>
  <c r="N603" i="3"/>
  <c r="L603" i="3"/>
  <c r="M603" i="3"/>
  <c r="N555" i="3"/>
  <c r="M555" i="3"/>
  <c r="L555" i="3"/>
  <c r="N507" i="3"/>
  <c r="M507" i="3"/>
  <c r="L507" i="3"/>
  <c r="N459" i="3"/>
  <c r="M459" i="3"/>
  <c r="L459" i="3"/>
  <c r="N403" i="3"/>
  <c r="M403" i="3"/>
  <c r="L403" i="3"/>
  <c r="N347" i="3"/>
  <c r="L347" i="3"/>
  <c r="M347" i="3"/>
  <c r="N299" i="3"/>
  <c r="L299" i="3"/>
  <c r="M299" i="3"/>
  <c r="N251" i="3"/>
  <c r="L251" i="3"/>
  <c r="M251" i="3"/>
  <c r="N203" i="3"/>
  <c r="L203" i="3"/>
  <c r="M203" i="3"/>
  <c r="N163" i="3"/>
  <c r="L163" i="3"/>
  <c r="M163" i="3"/>
  <c r="N123" i="3"/>
  <c r="M123" i="3"/>
  <c r="L123" i="3"/>
  <c r="N83" i="3"/>
  <c r="M83" i="3"/>
  <c r="L83" i="3"/>
  <c r="N43" i="3"/>
  <c r="L43" i="3"/>
  <c r="M43" i="3"/>
  <c r="N730" i="3"/>
  <c r="M730" i="3"/>
  <c r="L730" i="3"/>
  <c r="M642" i="3"/>
  <c r="L642" i="3"/>
  <c r="M728" i="3"/>
  <c r="L728" i="3"/>
  <c r="N712" i="3"/>
  <c r="M712" i="3"/>
  <c r="L712" i="3"/>
  <c r="N704" i="3"/>
  <c r="M704" i="3"/>
  <c r="L704" i="3"/>
  <c r="N688" i="3"/>
  <c r="L688" i="3"/>
  <c r="M688" i="3"/>
  <c r="N672" i="3"/>
  <c r="M672" i="3"/>
  <c r="L672" i="3"/>
  <c r="N656" i="3"/>
  <c r="M656" i="3"/>
  <c r="L656" i="3"/>
  <c r="N640" i="3"/>
  <c r="M640" i="3"/>
  <c r="L640" i="3"/>
  <c r="N624" i="3"/>
  <c r="M624" i="3"/>
  <c r="L624" i="3"/>
  <c r="N608" i="3"/>
  <c r="M608" i="3"/>
  <c r="L608" i="3"/>
  <c r="M584" i="3"/>
  <c r="N584" i="3"/>
  <c r="L584" i="3"/>
  <c r="N568" i="3"/>
  <c r="L568" i="3"/>
  <c r="M568" i="3"/>
  <c r="M552" i="3"/>
  <c r="N552" i="3"/>
  <c r="L552" i="3"/>
  <c r="N536" i="3"/>
  <c r="M536" i="3"/>
  <c r="L536" i="3"/>
  <c r="N528" i="3"/>
  <c r="L528" i="3"/>
  <c r="M528" i="3"/>
  <c r="N512" i="3"/>
  <c r="M512" i="3"/>
  <c r="L512" i="3"/>
  <c r="L496" i="3"/>
  <c r="M496" i="3"/>
  <c r="N496" i="3"/>
  <c r="N472" i="3"/>
  <c r="M472" i="3"/>
  <c r="L472" i="3"/>
  <c r="N464" i="3"/>
  <c r="L464" i="3"/>
  <c r="M464" i="3"/>
  <c r="N448" i="3"/>
  <c r="M448" i="3"/>
  <c r="L448" i="3"/>
  <c r="N432" i="3"/>
  <c r="L432" i="3"/>
  <c r="M432" i="3"/>
  <c r="N416" i="3"/>
  <c r="M416" i="3"/>
  <c r="L416" i="3"/>
  <c r="N400" i="3"/>
  <c r="L400" i="3"/>
  <c r="M400" i="3"/>
  <c r="N384" i="3"/>
  <c r="L384" i="3"/>
  <c r="M384" i="3"/>
  <c r="N368" i="3"/>
  <c r="L368" i="3"/>
  <c r="M368" i="3"/>
  <c r="N352" i="3"/>
  <c r="L352" i="3"/>
  <c r="M352" i="3"/>
  <c r="N336" i="3"/>
  <c r="L336" i="3"/>
  <c r="M336" i="3"/>
  <c r="N320" i="3"/>
  <c r="M320" i="3"/>
  <c r="L320" i="3"/>
  <c r="N304" i="3"/>
  <c r="M304" i="3"/>
  <c r="L304" i="3"/>
  <c r="N288" i="3"/>
  <c r="L288" i="3"/>
  <c r="M288" i="3"/>
  <c r="N272" i="3"/>
  <c r="M272" i="3"/>
  <c r="L272" i="3"/>
  <c r="N256" i="3"/>
  <c r="M256" i="3"/>
  <c r="L256" i="3"/>
  <c r="M240" i="3"/>
  <c r="L240" i="3"/>
  <c r="N240" i="3"/>
  <c r="M224" i="3"/>
  <c r="L224" i="3"/>
  <c r="N224" i="3"/>
  <c r="N208" i="3"/>
  <c r="M208" i="3"/>
  <c r="L208" i="3"/>
  <c r="N200" i="3"/>
  <c r="L200" i="3"/>
  <c r="M200" i="3"/>
  <c r="M184" i="3"/>
  <c r="N184" i="3"/>
  <c r="L184" i="3"/>
  <c r="N168" i="3"/>
  <c r="M168" i="3"/>
  <c r="L168" i="3"/>
  <c r="N152" i="3"/>
  <c r="L152" i="3"/>
  <c r="M152" i="3"/>
  <c r="N136" i="3"/>
  <c r="L136" i="3"/>
  <c r="N120" i="3"/>
  <c r="M120" i="3"/>
  <c r="L120" i="3"/>
  <c r="M104" i="3"/>
  <c r="N104" i="3"/>
  <c r="L104" i="3"/>
  <c r="L88" i="3"/>
  <c r="N88" i="3"/>
  <c r="M88" i="3"/>
  <c r="N72" i="3"/>
  <c r="M72" i="3"/>
  <c r="L72" i="3"/>
  <c r="N56" i="3"/>
  <c r="M56" i="3"/>
  <c r="L56" i="3"/>
  <c r="N40" i="3"/>
  <c r="M40" i="3"/>
  <c r="L40" i="3"/>
  <c r="N24" i="3"/>
  <c r="L24" i="3"/>
  <c r="M24" i="3"/>
  <c r="N735" i="3"/>
  <c r="M735" i="3"/>
  <c r="L735" i="3"/>
  <c r="M727" i="3"/>
  <c r="N727" i="3"/>
  <c r="L727" i="3"/>
  <c r="N711" i="3"/>
  <c r="L711" i="3"/>
  <c r="M711" i="3"/>
  <c r="M695" i="3"/>
  <c r="N695" i="3"/>
  <c r="L695" i="3"/>
  <c r="N679" i="3"/>
  <c r="M679" i="3"/>
  <c r="L679" i="3"/>
  <c r="N671" i="3"/>
  <c r="M671" i="3"/>
  <c r="L671" i="3"/>
  <c r="M663" i="3"/>
  <c r="N663" i="3"/>
  <c r="L663" i="3"/>
  <c r="N655" i="3"/>
  <c r="M655" i="3"/>
  <c r="L655" i="3"/>
  <c r="N639" i="3"/>
  <c r="M639" i="3"/>
  <c r="L639" i="3"/>
  <c r="M623" i="3"/>
  <c r="N623" i="3"/>
  <c r="L623" i="3"/>
  <c r="L615" i="3"/>
  <c r="N615" i="3"/>
  <c r="M615" i="3"/>
  <c r="N607" i="3"/>
  <c r="M607" i="3"/>
  <c r="L607" i="3"/>
  <c r="M599" i="3"/>
  <c r="L599" i="3"/>
  <c r="N599" i="3"/>
  <c r="N591" i="3"/>
  <c r="L591" i="3"/>
  <c r="M591" i="3"/>
  <c r="N583" i="3"/>
  <c r="M583" i="3"/>
  <c r="L583" i="3"/>
  <c r="N567" i="3"/>
  <c r="M567" i="3"/>
  <c r="L567" i="3"/>
  <c r="N559" i="3"/>
  <c r="M559" i="3"/>
  <c r="L559" i="3"/>
  <c r="N543" i="3"/>
  <c r="L543" i="3"/>
  <c r="M543" i="3"/>
  <c r="L535" i="3"/>
  <c r="N535" i="3"/>
  <c r="M527" i="3"/>
  <c r="L527" i="3"/>
  <c r="N527" i="3"/>
  <c r="N519" i="3"/>
  <c r="L519" i="3"/>
  <c r="M519" i="3"/>
  <c r="N511" i="3"/>
  <c r="L511" i="3"/>
  <c r="M511" i="3"/>
  <c r="N503" i="3"/>
  <c r="M503" i="3"/>
  <c r="L503" i="3"/>
  <c r="N495" i="3"/>
  <c r="M495" i="3"/>
  <c r="L495" i="3"/>
  <c r="M487" i="3"/>
  <c r="L487" i="3"/>
  <c r="N487" i="3"/>
  <c r="N479" i="3"/>
  <c r="M479" i="3"/>
  <c r="L479" i="3"/>
  <c r="M471" i="3"/>
  <c r="N471" i="3"/>
  <c r="L471" i="3"/>
  <c r="N463" i="3"/>
  <c r="M463" i="3"/>
  <c r="L463" i="3"/>
  <c r="N642" i="3"/>
  <c r="M724" i="3"/>
  <c r="L724" i="3"/>
  <c r="N724" i="3"/>
  <c r="N676" i="3"/>
  <c r="L676" i="3"/>
  <c r="M676" i="3"/>
  <c r="N628" i="3"/>
  <c r="M628" i="3"/>
  <c r="L628" i="3"/>
  <c r="N580" i="3"/>
  <c r="L580" i="3"/>
  <c r="M580" i="3"/>
  <c r="N532" i="3"/>
  <c r="L532" i="3"/>
  <c r="M532" i="3"/>
  <c r="N500" i="3"/>
  <c r="L500" i="3"/>
  <c r="M500" i="3"/>
  <c r="M460" i="3"/>
  <c r="N460" i="3"/>
  <c r="L460" i="3"/>
  <c r="N404" i="3"/>
  <c r="M404" i="3"/>
  <c r="L404" i="3"/>
  <c r="M356" i="3"/>
  <c r="L356" i="3"/>
  <c r="N356" i="3"/>
  <c r="M308" i="3"/>
  <c r="N308" i="3"/>
  <c r="L308" i="3"/>
  <c r="M268" i="3"/>
  <c r="N268" i="3"/>
  <c r="L268" i="3"/>
  <c r="N228" i="3"/>
  <c r="L228" i="3"/>
  <c r="M228" i="3"/>
  <c r="N188" i="3"/>
  <c r="L188" i="3"/>
  <c r="M188" i="3"/>
  <c r="N148" i="3"/>
  <c r="L148" i="3"/>
  <c r="M148" i="3"/>
  <c r="M100" i="3"/>
  <c r="L100" i="3"/>
  <c r="N100" i="3"/>
  <c r="N60" i="3"/>
  <c r="L60" i="3"/>
  <c r="M60" i="3"/>
  <c r="N20" i="3"/>
  <c r="L20" i="3"/>
  <c r="M20" i="3"/>
  <c r="N691" i="3"/>
  <c r="L691" i="3"/>
  <c r="M691" i="3"/>
  <c r="N643" i="3"/>
  <c r="L643" i="3"/>
  <c r="M643" i="3"/>
  <c r="N587" i="3"/>
  <c r="M587" i="3"/>
  <c r="L587" i="3"/>
  <c r="N539" i="3"/>
  <c r="M539" i="3"/>
  <c r="L539" i="3"/>
  <c r="N491" i="3"/>
  <c r="M491" i="3"/>
  <c r="L491" i="3"/>
  <c r="N451" i="3"/>
  <c r="M451" i="3"/>
  <c r="L451" i="3"/>
  <c r="N395" i="3"/>
  <c r="L395" i="3"/>
  <c r="M395" i="3"/>
  <c r="N355" i="3"/>
  <c r="L355" i="3"/>
  <c r="M355" i="3"/>
  <c r="N307" i="3"/>
  <c r="L307" i="3"/>
  <c r="M307" i="3"/>
  <c r="N259" i="3"/>
  <c r="M259" i="3"/>
  <c r="L259" i="3"/>
  <c r="N211" i="3"/>
  <c r="M211" i="3"/>
  <c r="L211" i="3"/>
  <c r="N155" i="3"/>
  <c r="L155" i="3"/>
  <c r="M155" i="3"/>
  <c r="N107" i="3"/>
  <c r="M107" i="3"/>
  <c r="L107" i="3"/>
  <c r="N67" i="3"/>
  <c r="M67" i="3"/>
  <c r="L67" i="3"/>
  <c r="N27" i="3"/>
  <c r="M27" i="3"/>
  <c r="L27" i="3"/>
  <c r="N3" i="3"/>
  <c r="M3" i="3"/>
  <c r="L3" i="3"/>
  <c r="N722" i="3"/>
  <c r="M722" i="3"/>
  <c r="L722" i="3"/>
  <c r="M650" i="3"/>
  <c r="N650" i="3"/>
  <c r="L650" i="3"/>
  <c r="N736" i="3"/>
  <c r="M736" i="3"/>
  <c r="L736" i="3"/>
  <c r="N720" i="3"/>
  <c r="M720" i="3"/>
  <c r="L720" i="3"/>
  <c r="M696" i="3"/>
  <c r="N696" i="3"/>
  <c r="N680" i="3"/>
  <c r="M680" i="3"/>
  <c r="L680" i="3"/>
  <c r="N664" i="3"/>
  <c r="M664" i="3"/>
  <c r="L664" i="3"/>
  <c r="M648" i="3"/>
  <c r="N648" i="3"/>
  <c r="L648" i="3"/>
  <c r="N632" i="3"/>
  <c r="M632" i="3"/>
  <c r="N616" i="3"/>
  <c r="M616" i="3"/>
  <c r="L616" i="3"/>
  <c r="N600" i="3"/>
  <c r="M600" i="3"/>
  <c r="L600" i="3"/>
  <c r="N592" i="3"/>
  <c r="M592" i="3"/>
  <c r="L592" i="3"/>
  <c r="N576" i="3"/>
  <c r="M576" i="3"/>
  <c r="L576" i="3"/>
  <c r="N560" i="3"/>
  <c r="L560" i="3"/>
  <c r="M560" i="3"/>
  <c r="M544" i="3"/>
  <c r="L544" i="3"/>
  <c r="N544" i="3"/>
  <c r="M520" i="3"/>
  <c r="L520" i="3"/>
  <c r="N520" i="3"/>
  <c r="N504" i="3"/>
  <c r="M504" i="3"/>
  <c r="L504" i="3"/>
  <c r="M488" i="3"/>
  <c r="N488" i="3"/>
  <c r="L488" i="3"/>
  <c r="N480" i="3"/>
  <c r="M480" i="3"/>
  <c r="L480" i="3"/>
  <c r="M456" i="3"/>
  <c r="L456" i="3"/>
  <c r="N440" i="3"/>
  <c r="M440" i="3"/>
  <c r="L440" i="3"/>
  <c r="N424" i="3"/>
  <c r="M424" i="3"/>
  <c r="L424" i="3"/>
  <c r="N408" i="3"/>
  <c r="L408" i="3"/>
  <c r="M408" i="3"/>
  <c r="L392" i="3"/>
  <c r="N392" i="3"/>
  <c r="M392" i="3"/>
  <c r="N376" i="3"/>
  <c r="M376" i="3"/>
  <c r="L376" i="3"/>
  <c r="M360" i="3"/>
  <c r="N360" i="3"/>
  <c r="L360" i="3"/>
  <c r="L344" i="3"/>
  <c r="N344" i="3"/>
  <c r="L328" i="3"/>
  <c r="M328" i="3"/>
  <c r="N328" i="3"/>
  <c r="N312" i="3"/>
  <c r="M312" i="3"/>
  <c r="L312" i="3"/>
  <c r="M296" i="3"/>
  <c r="L296" i="3"/>
  <c r="N296" i="3"/>
  <c r="M280" i="3"/>
  <c r="L280" i="3"/>
  <c r="N280" i="3"/>
  <c r="L264" i="3"/>
  <c r="N264" i="3"/>
  <c r="M264" i="3"/>
  <c r="M248" i="3"/>
  <c r="N248" i="3"/>
  <c r="L248" i="3"/>
  <c r="M232" i="3"/>
  <c r="L232" i="3"/>
  <c r="N232" i="3"/>
  <c r="N216" i="3"/>
  <c r="M216" i="3"/>
  <c r="L216" i="3"/>
  <c r="N192" i="3"/>
  <c r="M192" i="3"/>
  <c r="L192" i="3"/>
  <c r="L176" i="3"/>
  <c r="M176" i="3"/>
  <c r="N176" i="3"/>
  <c r="M160" i="3"/>
  <c r="N160" i="3"/>
  <c r="L160" i="3"/>
  <c r="N144" i="3"/>
  <c r="M144" i="3"/>
  <c r="L144" i="3"/>
  <c r="N128" i="3"/>
  <c r="L128" i="3"/>
  <c r="M128" i="3"/>
  <c r="L112" i="3"/>
  <c r="N112" i="3"/>
  <c r="M112" i="3"/>
  <c r="N96" i="3"/>
  <c r="M96" i="3"/>
  <c r="L96" i="3"/>
  <c r="N80" i="3"/>
  <c r="L80" i="3"/>
  <c r="M80" i="3"/>
  <c r="N64" i="3"/>
  <c r="M64" i="3"/>
  <c r="L64" i="3"/>
  <c r="N48" i="3"/>
  <c r="L48" i="3"/>
  <c r="M48" i="3"/>
  <c r="N32" i="3"/>
  <c r="L32" i="3"/>
  <c r="M32" i="3"/>
  <c r="N16" i="3"/>
  <c r="M16" i="3"/>
  <c r="L16" i="3"/>
  <c r="N8" i="3"/>
  <c r="M8" i="3"/>
  <c r="L8" i="3"/>
  <c r="N719" i="3"/>
  <c r="L719" i="3"/>
  <c r="M719" i="3"/>
  <c r="N703" i="3"/>
  <c r="M703" i="3"/>
  <c r="L703" i="3"/>
  <c r="M687" i="3"/>
  <c r="N687" i="3"/>
  <c r="L687" i="3"/>
  <c r="N647" i="3"/>
  <c r="M647" i="3"/>
  <c r="L647" i="3"/>
  <c r="N631" i="3"/>
  <c r="M631" i="3"/>
  <c r="L631" i="3"/>
  <c r="N575" i="3"/>
  <c r="L575" i="3"/>
  <c r="M575" i="3"/>
  <c r="M551" i="3"/>
  <c r="L551" i="3"/>
  <c r="N551" i="3"/>
  <c r="L632" i="3"/>
  <c r="M708" i="3"/>
  <c r="L708" i="3"/>
  <c r="N708" i="3"/>
  <c r="N652" i="3"/>
  <c r="L652" i="3"/>
  <c r="M652" i="3"/>
  <c r="N612" i="3"/>
  <c r="L612" i="3"/>
  <c r="M612" i="3"/>
  <c r="M564" i="3"/>
  <c r="L564" i="3"/>
  <c r="N564" i="3"/>
  <c r="L516" i="3"/>
  <c r="N516" i="3"/>
  <c r="M516" i="3"/>
  <c r="M484" i="3"/>
  <c r="N484" i="3"/>
  <c r="L484" i="3"/>
  <c r="N428" i="3"/>
  <c r="M428" i="3"/>
  <c r="L428" i="3"/>
  <c r="N388" i="3"/>
  <c r="M388" i="3"/>
  <c r="L388" i="3"/>
  <c r="N340" i="3"/>
  <c r="M340" i="3"/>
  <c r="N300" i="3"/>
  <c r="M300" i="3"/>
  <c r="L300" i="3"/>
  <c r="M252" i="3"/>
  <c r="L252" i="3"/>
  <c r="N252" i="3"/>
  <c r="N212" i="3"/>
  <c r="M212" i="3"/>
  <c r="L212" i="3"/>
  <c r="L164" i="3"/>
  <c r="M164" i="3"/>
  <c r="N164" i="3"/>
  <c r="N124" i="3"/>
  <c r="L124" i="3"/>
  <c r="M124" i="3"/>
  <c r="N84" i="3"/>
  <c r="M84" i="3"/>
  <c r="L84" i="3"/>
  <c r="N44" i="3"/>
  <c r="M44" i="3"/>
  <c r="L44" i="3"/>
  <c r="N12" i="3"/>
  <c r="M12" i="3"/>
  <c r="L12" i="3"/>
  <c r="L340" i="3"/>
  <c r="N723" i="3"/>
  <c r="M723" i="3"/>
  <c r="L723" i="3"/>
  <c r="N675" i="3"/>
  <c r="M675" i="3"/>
  <c r="L675" i="3"/>
  <c r="N627" i="3"/>
  <c r="L627" i="3"/>
  <c r="M627" i="3"/>
  <c r="N579" i="3"/>
  <c r="M579" i="3"/>
  <c r="L579" i="3"/>
  <c r="N531" i="3"/>
  <c r="M531" i="3"/>
  <c r="L531" i="3"/>
  <c r="N475" i="3"/>
  <c r="M475" i="3"/>
  <c r="L475" i="3"/>
  <c r="N427" i="3"/>
  <c r="M427" i="3"/>
  <c r="L427" i="3"/>
  <c r="N371" i="3"/>
  <c r="L371" i="3"/>
  <c r="M371" i="3"/>
  <c r="N331" i="3"/>
  <c r="L331" i="3"/>
  <c r="M331" i="3"/>
  <c r="N283" i="3"/>
  <c r="M283" i="3"/>
  <c r="L283" i="3"/>
  <c r="N235" i="3"/>
  <c r="M235" i="3"/>
  <c r="L235" i="3"/>
  <c r="N187" i="3"/>
  <c r="M187" i="3"/>
  <c r="L187" i="3"/>
  <c r="N139" i="3"/>
  <c r="M139" i="3"/>
  <c r="L139" i="3"/>
  <c r="N91" i="3"/>
  <c r="L91" i="3"/>
  <c r="M91" i="3"/>
  <c r="N51" i="3"/>
  <c r="L51" i="3"/>
  <c r="M51" i="3"/>
  <c r="N11" i="3"/>
  <c r="M11" i="3"/>
  <c r="L11" i="3"/>
  <c r="N733" i="3"/>
  <c r="M733" i="3"/>
  <c r="L733" i="3"/>
  <c r="N725" i="3"/>
  <c r="M725" i="3"/>
  <c r="L725" i="3"/>
  <c r="N717" i="3"/>
  <c r="M717" i="3"/>
  <c r="L717" i="3"/>
  <c r="N709" i="3"/>
  <c r="M709" i="3"/>
  <c r="L709" i="3"/>
  <c r="N701" i="3"/>
  <c r="M701" i="3"/>
  <c r="L701" i="3"/>
  <c r="N693" i="3"/>
  <c r="M693" i="3"/>
  <c r="L693" i="3"/>
  <c r="N685" i="3"/>
  <c r="M685" i="3"/>
  <c r="L685" i="3"/>
  <c r="N677" i="3"/>
  <c r="M677" i="3"/>
  <c r="L677" i="3"/>
  <c r="N669" i="3"/>
  <c r="M669" i="3"/>
  <c r="L669" i="3"/>
  <c r="M661" i="3"/>
  <c r="N661" i="3"/>
  <c r="L661" i="3"/>
  <c r="M653" i="3"/>
  <c r="N653" i="3"/>
  <c r="L653" i="3"/>
  <c r="M645" i="3"/>
  <c r="N645" i="3"/>
  <c r="L645" i="3"/>
  <c r="M637" i="3"/>
  <c r="N637" i="3"/>
  <c r="L637" i="3"/>
  <c r="N629" i="3"/>
  <c r="M629" i="3"/>
  <c r="L629" i="3"/>
  <c r="M621" i="3"/>
  <c r="L621" i="3"/>
  <c r="N621" i="3"/>
  <c r="N613" i="3"/>
  <c r="M613" i="3"/>
  <c r="L613" i="3"/>
  <c r="M605" i="3"/>
  <c r="N605" i="3"/>
  <c r="L605" i="3"/>
  <c r="M597" i="3"/>
  <c r="N597" i="3"/>
  <c r="L597" i="3"/>
  <c r="M589" i="3"/>
  <c r="L589" i="3"/>
  <c r="N589" i="3"/>
  <c r="M581" i="3"/>
  <c r="L581" i="3"/>
  <c r="N581" i="3"/>
  <c r="M573" i="3"/>
  <c r="L573" i="3"/>
  <c r="N573" i="3"/>
  <c r="N565" i="3"/>
  <c r="M565" i="3"/>
  <c r="L565" i="3"/>
  <c r="M557" i="3"/>
  <c r="L557" i="3"/>
  <c r="N557" i="3"/>
  <c r="N549" i="3"/>
  <c r="M549" i="3"/>
  <c r="L549" i="3"/>
  <c r="M541" i="3"/>
  <c r="L541" i="3"/>
  <c r="N541" i="3"/>
  <c r="M533" i="3"/>
  <c r="L533" i="3"/>
  <c r="N533" i="3"/>
  <c r="M525" i="3"/>
  <c r="L525" i="3"/>
  <c r="N525" i="3"/>
  <c r="M517" i="3"/>
  <c r="L517" i="3"/>
  <c r="N517" i="3"/>
  <c r="N509" i="3"/>
  <c r="M509" i="3"/>
  <c r="L509" i="3"/>
  <c r="N501" i="3"/>
  <c r="M501" i="3"/>
  <c r="L501" i="3"/>
  <c r="M493" i="3"/>
  <c r="L493" i="3"/>
  <c r="N493" i="3"/>
  <c r="N485" i="3"/>
  <c r="M485" i="3"/>
  <c r="L485" i="3"/>
  <c r="M477" i="3"/>
  <c r="L477" i="3"/>
  <c r="N477" i="3"/>
  <c r="M469" i="3"/>
  <c r="L469" i="3"/>
  <c r="N469" i="3"/>
  <c r="N461" i="3"/>
  <c r="M461" i="3"/>
  <c r="L461" i="3"/>
  <c r="M453" i="3"/>
  <c r="L453" i="3"/>
  <c r="N453" i="3"/>
  <c r="M445" i="3"/>
  <c r="N445" i="3"/>
  <c r="L445" i="3"/>
  <c r="N437" i="3"/>
  <c r="M437" i="3"/>
  <c r="L437" i="3"/>
  <c r="M429" i="3"/>
  <c r="L429" i="3"/>
  <c r="N429" i="3"/>
  <c r="N421" i="3"/>
  <c r="M421" i="3"/>
  <c r="L421" i="3"/>
  <c r="N413" i="3"/>
  <c r="M413" i="3"/>
  <c r="L413" i="3"/>
  <c r="M405" i="3"/>
  <c r="L405" i="3"/>
  <c r="N405" i="3"/>
  <c r="M397" i="3"/>
  <c r="N397" i="3"/>
  <c r="L397" i="3"/>
  <c r="M389" i="3"/>
  <c r="L389" i="3"/>
  <c r="N389" i="3"/>
  <c r="M381" i="3"/>
  <c r="L381" i="3"/>
  <c r="N381" i="3"/>
  <c r="M373" i="3"/>
  <c r="N373" i="3"/>
  <c r="L373" i="3"/>
  <c r="M365" i="3"/>
  <c r="L365" i="3"/>
  <c r="N365" i="3"/>
  <c r="N357" i="3"/>
  <c r="M357" i="3"/>
  <c r="L357" i="3"/>
  <c r="M349" i="3"/>
  <c r="N349" i="3"/>
  <c r="L349" i="3"/>
  <c r="M341" i="3"/>
  <c r="L341" i="3"/>
  <c r="N341" i="3"/>
  <c r="M333" i="3"/>
  <c r="L333" i="3"/>
  <c r="N333" i="3"/>
  <c r="M325" i="3"/>
  <c r="L325" i="3"/>
  <c r="N325" i="3"/>
  <c r="M317" i="3"/>
  <c r="L317" i="3"/>
  <c r="N317" i="3"/>
  <c r="M309" i="3"/>
  <c r="N309" i="3"/>
  <c r="L309" i="3"/>
  <c r="M301" i="3"/>
  <c r="L301" i="3"/>
  <c r="N301" i="3"/>
  <c r="N293" i="3"/>
  <c r="M293" i="3"/>
  <c r="L293" i="3"/>
  <c r="M285" i="3"/>
  <c r="L285" i="3"/>
  <c r="N285" i="3"/>
  <c r="M277" i="3"/>
  <c r="L277" i="3"/>
  <c r="N277" i="3"/>
  <c r="M269" i="3"/>
  <c r="L269" i="3"/>
  <c r="N269" i="3"/>
  <c r="M261" i="3"/>
  <c r="L261" i="3"/>
  <c r="N261" i="3"/>
  <c r="M253" i="3"/>
  <c r="N253" i="3"/>
  <c r="L253" i="3"/>
  <c r="M245" i="3"/>
  <c r="N245" i="3"/>
  <c r="L245" i="3"/>
  <c r="M237" i="3"/>
  <c r="N237" i="3"/>
  <c r="L237" i="3"/>
  <c r="N229" i="3"/>
  <c r="M229" i="3"/>
  <c r="L229" i="3"/>
  <c r="M221" i="3"/>
  <c r="L221" i="3"/>
  <c r="N221" i="3"/>
  <c r="M213" i="3"/>
  <c r="L213" i="3"/>
  <c r="N213" i="3"/>
  <c r="M205" i="3"/>
  <c r="N205" i="3"/>
  <c r="L205" i="3"/>
  <c r="M197" i="3"/>
  <c r="L197" i="3"/>
  <c r="N197" i="3"/>
  <c r="M189" i="3"/>
  <c r="L189" i="3"/>
  <c r="N189" i="3"/>
  <c r="M181" i="3"/>
  <c r="N181" i="3"/>
  <c r="L181" i="3"/>
  <c r="M173" i="3"/>
  <c r="L173" i="3"/>
  <c r="N173" i="3"/>
  <c r="N165" i="3"/>
  <c r="M165" i="3"/>
  <c r="L165" i="3"/>
  <c r="M157" i="3"/>
  <c r="N157" i="3"/>
  <c r="L157" i="3"/>
  <c r="M149" i="3"/>
  <c r="L149" i="3"/>
  <c r="N149" i="3"/>
  <c r="M141" i="3"/>
  <c r="L141" i="3"/>
  <c r="N141" i="3"/>
  <c r="M133" i="3"/>
  <c r="L133" i="3"/>
  <c r="N133" i="3"/>
  <c r="M125" i="3"/>
  <c r="L125" i="3"/>
  <c r="N125" i="3"/>
  <c r="M117" i="3"/>
  <c r="N117" i="3"/>
  <c r="L117" i="3"/>
  <c r="M109" i="3"/>
  <c r="L109" i="3"/>
  <c r="N109" i="3"/>
  <c r="N101" i="3"/>
  <c r="M101" i="3"/>
  <c r="L101" i="3"/>
  <c r="M93" i="3"/>
  <c r="L93" i="3"/>
  <c r="N93" i="3"/>
  <c r="M85" i="3"/>
  <c r="L85" i="3"/>
  <c r="N85" i="3"/>
  <c r="M77" i="3"/>
  <c r="L77" i="3"/>
  <c r="N77" i="3"/>
  <c r="M69" i="3"/>
  <c r="L69" i="3"/>
  <c r="N69" i="3"/>
  <c r="M61" i="3"/>
  <c r="L61" i="3"/>
  <c r="N61" i="3"/>
  <c r="M53" i="3"/>
  <c r="N53" i="3"/>
  <c r="L53" i="3"/>
  <c r="M45" i="3"/>
  <c r="L45" i="3"/>
  <c r="N45" i="3"/>
  <c r="M37" i="3"/>
  <c r="L37" i="3"/>
  <c r="N37" i="3"/>
  <c r="M29" i="3"/>
  <c r="L29" i="3"/>
  <c r="N29" i="3"/>
  <c r="M21" i="3"/>
  <c r="L21" i="3"/>
  <c r="N21" i="3"/>
  <c r="M13" i="3"/>
  <c r="L13" i="3"/>
  <c r="N13" i="3"/>
  <c r="M5" i="3"/>
  <c r="N5" i="3"/>
  <c r="L5" i="3"/>
  <c r="M344" i="3"/>
  <c r="N456" i="3"/>
  <c r="N700" i="3"/>
  <c r="L700" i="3"/>
  <c r="M700" i="3"/>
  <c r="N644" i="3"/>
  <c r="M644" i="3"/>
  <c r="L644" i="3"/>
  <c r="M588" i="3"/>
  <c r="L588" i="3"/>
  <c r="N588" i="3"/>
  <c r="N540" i="3"/>
  <c r="M540" i="3"/>
  <c r="N452" i="3"/>
  <c r="M452" i="3"/>
  <c r="N412" i="3"/>
  <c r="M412" i="3"/>
  <c r="L412" i="3"/>
  <c r="N364" i="3"/>
  <c r="M364" i="3"/>
  <c r="L364" i="3"/>
  <c r="N316" i="3"/>
  <c r="M316" i="3"/>
  <c r="L316" i="3"/>
  <c r="M260" i="3"/>
  <c r="N260" i="3"/>
  <c r="L260" i="3"/>
  <c r="N220" i="3"/>
  <c r="M220" i="3"/>
  <c r="L220" i="3"/>
  <c r="N172" i="3"/>
  <c r="M172" i="3"/>
  <c r="L172" i="3"/>
  <c r="M140" i="3"/>
  <c r="N140" i="3"/>
  <c r="L140" i="3"/>
  <c r="N108" i="3"/>
  <c r="M108" i="3"/>
  <c r="L108" i="3"/>
  <c r="N68" i="3"/>
  <c r="M68" i="3"/>
  <c r="L68" i="3"/>
  <c r="M28" i="3"/>
  <c r="N28" i="3"/>
  <c r="L28" i="3"/>
  <c r="N699" i="3"/>
  <c r="L699" i="3"/>
  <c r="M699" i="3"/>
  <c r="N635" i="3"/>
  <c r="M635" i="3"/>
  <c r="L635" i="3"/>
  <c r="N595" i="3"/>
  <c r="M595" i="3"/>
  <c r="L595" i="3"/>
  <c r="N547" i="3"/>
  <c r="M547" i="3"/>
  <c r="L547" i="3"/>
  <c r="N499" i="3"/>
  <c r="M499" i="3"/>
  <c r="L499" i="3"/>
  <c r="N443" i="3"/>
  <c r="M443" i="3"/>
  <c r="L443" i="3"/>
  <c r="N411" i="3"/>
  <c r="M411" i="3"/>
  <c r="L411" i="3"/>
  <c r="N363" i="3"/>
  <c r="L363" i="3"/>
  <c r="M363" i="3"/>
  <c r="N315" i="3"/>
  <c r="L315" i="3"/>
  <c r="M315" i="3"/>
  <c r="N275" i="3"/>
  <c r="M275" i="3"/>
  <c r="L275" i="3"/>
  <c r="N227" i="3"/>
  <c r="L227" i="3"/>
  <c r="M227" i="3"/>
  <c r="N179" i="3"/>
  <c r="L179" i="3"/>
  <c r="M179" i="3"/>
  <c r="N131" i="3"/>
  <c r="M131" i="3"/>
  <c r="L131" i="3"/>
  <c r="N75" i="3"/>
  <c r="L75" i="3"/>
  <c r="M75" i="3"/>
  <c r="N716" i="3"/>
  <c r="L716" i="3"/>
  <c r="M716" i="3"/>
  <c r="N668" i="3"/>
  <c r="M668" i="3"/>
  <c r="L668" i="3"/>
  <c r="N620" i="3"/>
  <c r="M620" i="3"/>
  <c r="L620" i="3"/>
  <c r="M572" i="3"/>
  <c r="L572" i="3"/>
  <c r="N572" i="3"/>
  <c r="N508" i="3"/>
  <c r="M508" i="3"/>
  <c r="L508" i="3"/>
  <c r="N468" i="3"/>
  <c r="M468" i="3"/>
  <c r="L468" i="3"/>
  <c r="N420" i="3"/>
  <c r="M420" i="3"/>
  <c r="L420" i="3"/>
  <c r="N372" i="3"/>
  <c r="L372" i="3"/>
  <c r="M372" i="3"/>
  <c r="N324" i="3"/>
  <c r="M324" i="3"/>
  <c r="L324" i="3"/>
  <c r="N276" i="3"/>
  <c r="M276" i="3"/>
  <c r="L276" i="3"/>
  <c r="N236" i="3"/>
  <c r="M236" i="3"/>
  <c r="L236" i="3"/>
  <c r="N180" i="3"/>
  <c r="L180" i="3"/>
  <c r="M180" i="3"/>
  <c r="N132" i="3"/>
  <c r="M132" i="3"/>
  <c r="L132" i="3"/>
  <c r="N92" i="3"/>
  <c r="M92" i="3"/>
  <c r="L92" i="3"/>
  <c r="N36" i="3"/>
  <c r="M36" i="3"/>
  <c r="L36" i="3"/>
  <c r="N707" i="3"/>
  <c r="L707" i="3"/>
  <c r="M707" i="3"/>
  <c r="N659" i="3"/>
  <c r="M659" i="3"/>
  <c r="L659" i="3"/>
  <c r="N611" i="3"/>
  <c r="M611" i="3"/>
  <c r="L611" i="3"/>
  <c r="N563" i="3"/>
  <c r="M563" i="3"/>
  <c r="L563" i="3"/>
  <c r="N515" i="3"/>
  <c r="M515" i="3"/>
  <c r="L515" i="3"/>
  <c r="N467" i="3"/>
  <c r="M467" i="3"/>
  <c r="L467" i="3"/>
  <c r="N419" i="3"/>
  <c r="M419" i="3"/>
  <c r="L419" i="3"/>
  <c r="N379" i="3"/>
  <c r="M379" i="3"/>
  <c r="L379" i="3"/>
  <c r="N323" i="3"/>
  <c r="M323" i="3"/>
  <c r="L323" i="3"/>
  <c r="N267" i="3"/>
  <c r="L267" i="3"/>
  <c r="M267" i="3"/>
  <c r="N219" i="3"/>
  <c r="M219" i="3"/>
  <c r="L219" i="3"/>
  <c r="N171" i="3"/>
  <c r="M171" i="3"/>
  <c r="L171" i="3"/>
  <c r="N115" i="3"/>
  <c r="L115" i="3"/>
  <c r="M115" i="3"/>
  <c r="N59" i="3"/>
  <c r="M59" i="3"/>
  <c r="N19" i="3"/>
  <c r="M19" i="3"/>
  <c r="L19" i="3"/>
  <c r="M714" i="3"/>
  <c r="N714" i="3"/>
  <c r="L714" i="3"/>
  <c r="N698" i="3"/>
  <c r="L698" i="3"/>
  <c r="N682" i="3"/>
  <c r="M682" i="3"/>
  <c r="L682" i="3"/>
  <c r="M666" i="3"/>
  <c r="N666" i="3"/>
  <c r="L666" i="3"/>
  <c r="N634" i="3"/>
  <c r="L634" i="3"/>
  <c r="M634" i="3"/>
  <c r="N618" i="3"/>
  <c r="L618" i="3"/>
  <c r="M618" i="3"/>
  <c r="N594" i="3"/>
  <c r="L594" i="3"/>
  <c r="N578" i="3"/>
  <c r="L578" i="3"/>
  <c r="M578" i="3"/>
  <c r="N562" i="3"/>
  <c r="M562" i="3"/>
  <c r="L562" i="3"/>
  <c r="N546" i="3"/>
  <c r="L546" i="3"/>
  <c r="M546" i="3"/>
  <c r="N530" i="3"/>
  <c r="M530" i="3"/>
  <c r="L530" i="3"/>
  <c r="N514" i="3"/>
  <c r="L514" i="3"/>
  <c r="M514" i="3"/>
  <c r="N498" i="3"/>
  <c r="M498" i="3"/>
  <c r="L498" i="3"/>
  <c r="N482" i="3"/>
  <c r="L482" i="3"/>
  <c r="M482" i="3"/>
  <c r="N466" i="3"/>
  <c r="M466" i="3"/>
  <c r="L466" i="3"/>
  <c r="N450" i="3"/>
  <c r="L450" i="3"/>
  <c r="M450" i="3"/>
  <c r="M434" i="3"/>
  <c r="L434" i="3"/>
  <c r="N434" i="3"/>
  <c r="L410" i="3"/>
  <c r="N410" i="3"/>
  <c r="M410" i="3"/>
  <c r="M394" i="3"/>
  <c r="N394" i="3"/>
  <c r="L394" i="3"/>
  <c r="N386" i="3"/>
  <c r="M386" i="3"/>
  <c r="L386" i="3"/>
  <c r="M378" i="3"/>
  <c r="N378" i="3"/>
  <c r="L378" i="3"/>
  <c r="M370" i="3"/>
  <c r="L370" i="3"/>
  <c r="N370" i="3"/>
  <c r="N362" i="3"/>
  <c r="M362" i="3"/>
  <c r="L362" i="3"/>
  <c r="N354" i="3"/>
  <c r="M354" i="3"/>
  <c r="L354" i="3"/>
  <c r="N338" i="3"/>
  <c r="L338" i="3"/>
  <c r="M338" i="3"/>
  <c r="M330" i="3"/>
  <c r="N330" i="3"/>
  <c r="L330" i="3"/>
  <c r="M322" i="3"/>
  <c r="L322" i="3"/>
  <c r="N322" i="3"/>
  <c r="N314" i="3"/>
  <c r="M314" i="3"/>
  <c r="L314" i="3"/>
  <c r="M306" i="3"/>
  <c r="L306" i="3"/>
  <c r="N306" i="3"/>
  <c r="N298" i="3"/>
  <c r="M298" i="3"/>
  <c r="L298" i="3"/>
  <c r="N290" i="3"/>
  <c r="M290" i="3"/>
  <c r="L290" i="3"/>
  <c r="N282" i="3"/>
  <c r="L282" i="3"/>
  <c r="M282" i="3"/>
  <c r="N274" i="3"/>
  <c r="L274" i="3"/>
  <c r="M274" i="3"/>
  <c r="N266" i="3"/>
  <c r="M266" i="3"/>
  <c r="L266" i="3"/>
  <c r="N258" i="3"/>
  <c r="L258" i="3"/>
  <c r="M258" i="3"/>
  <c r="M250" i="3"/>
  <c r="N250" i="3"/>
  <c r="L250" i="3"/>
  <c r="L242" i="3"/>
  <c r="M242" i="3"/>
  <c r="N242" i="3"/>
  <c r="N234" i="3"/>
  <c r="L234" i="3"/>
  <c r="M234" i="3"/>
  <c r="N226" i="3"/>
  <c r="L226" i="3"/>
  <c r="M226" i="3"/>
  <c r="N218" i="3"/>
  <c r="M218" i="3"/>
  <c r="L218" i="3"/>
  <c r="N210" i="3"/>
  <c r="M210" i="3"/>
  <c r="L210" i="3"/>
  <c r="N202" i="3"/>
  <c r="M202" i="3"/>
  <c r="L202" i="3"/>
  <c r="L194" i="3"/>
  <c r="M194" i="3"/>
  <c r="N194" i="3"/>
  <c r="M186" i="3"/>
  <c r="L186" i="3"/>
  <c r="N186" i="3"/>
  <c r="N178" i="3"/>
  <c r="M178" i="3"/>
  <c r="L178" i="3"/>
  <c r="L170" i="3"/>
  <c r="M170" i="3"/>
  <c r="N170" i="3"/>
  <c r="N162" i="3"/>
  <c r="M162" i="3"/>
  <c r="L162" i="3"/>
  <c r="M154" i="3"/>
  <c r="L154" i="3"/>
  <c r="N154" i="3"/>
  <c r="N146" i="3"/>
  <c r="M146" i="3"/>
  <c r="L146" i="3"/>
  <c r="M138" i="3"/>
  <c r="L138" i="3"/>
  <c r="N138" i="3"/>
  <c r="L130" i="3"/>
  <c r="N130" i="3"/>
  <c r="M130" i="3"/>
  <c r="M122" i="3"/>
  <c r="L122" i="3"/>
  <c r="N122" i="3"/>
  <c r="M114" i="3"/>
  <c r="N114" i="3"/>
  <c r="L114" i="3"/>
  <c r="N106" i="3"/>
  <c r="L106" i="3"/>
  <c r="M106" i="3"/>
  <c r="N98" i="3"/>
  <c r="M98" i="3"/>
  <c r="L98" i="3"/>
  <c r="N90" i="3"/>
  <c r="M90" i="3"/>
  <c r="L90" i="3"/>
  <c r="N82" i="3"/>
  <c r="L82" i="3"/>
  <c r="M82" i="3"/>
  <c r="M74" i="3"/>
  <c r="N74" i="3"/>
  <c r="L74" i="3"/>
  <c r="L66" i="3"/>
  <c r="M66" i="3"/>
  <c r="N66" i="3"/>
  <c r="N58" i="3"/>
  <c r="M58" i="3"/>
  <c r="L58" i="3"/>
  <c r="M50" i="3"/>
  <c r="N50" i="3"/>
  <c r="L50" i="3"/>
  <c r="N42" i="3"/>
  <c r="L42" i="3"/>
  <c r="M42" i="3"/>
  <c r="M34" i="3"/>
  <c r="L34" i="3"/>
  <c r="N34" i="3"/>
  <c r="M26" i="3"/>
  <c r="N26" i="3"/>
  <c r="L26" i="3"/>
  <c r="N18" i="3"/>
  <c r="M18" i="3"/>
  <c r="L18" i="3"/>
  <c r="N10" i="3"/>
  <c r="M10" i="3"/>
  <c r="L10" i="3"/>
  <c r="L540" i="3"/>
  <c r="M136" i="3"/>
  <c r="N692" i="3"/>
  <c r="M692" i="3"/>
  <c r="L692" i="3"/>
  <c r="M660" i="3"/>
  <c r="N660" i="3"/>
  <c r="L660" i="3"/>
  <c r="N604" i="3"/>
  <c r="M604" i="3"/>
  <c r="L604" i="3"/>
  <c r="N556" i="3"/>
  <c r="M556" i="3"/>
  <c r="L556" i="3"/>
  <c r="M524" i="3"/>
  <c r="N524" i="3"/>
  <c r="L524" i="3"/>
  <c r="N476" i="3"/>
  <c r="L476" i="3"/>
  <c r="N436" i="3"/>
  <c r="M436" i="3"/>
  <c r="L436" i="3"/>
  <c r="N380" i="3"/>
  <c r="L380" i="3"/>
  <c r="M380" i="3"/>
  <c r="M332" i="3"/>
  <c r="N332" i="3"/>
  <c r="L332" i="3"/>
  <c r="N284" i="3"/>
  <c r="M284" i="3"/>
  <c r="L284" i="3"/>
  <c r="M244" i="3"/>
  <c r="N244" i="3"/>
  <c r="L244" i="3"/>
  <c r="M204" i="3"/>
  <c r="N204" i="3"/>
  <c r="L204" i="3"/>
  <c r="N156" i="3"/>
  <c r="M156" i="3"/>
  <c r="L156" i="3"/>
  <c r="N116" i="3"/>
  <c r="L116" i="3"/>
  <c r="M116" i="3"/>
  <c r="M76" i="3"/>
  <c r="N76" i="3"/>
  <c r="L76" i="3"/>
  <c r="M52" i="3"/>
  <c r="N52" i="3"/>
  <c r="L52" i="3"/>
  <c r="N4" i="3"/>
  <c r="M4" i="3"/>
  <c r="L4" i="3"/>
  <c r="N715" i="3"/>
  <c r="M715" i="3"/>
  <c r="L715" i="3"/>
  <c r="N667" i="3"/>
  <c r="L667" i="3"/>
  <c r="M667" i="3"/>
  <c r="N619" i="3"/>
  <c r="M619" i="3"/>
  <c r="L619" i="3"/>
  <c r="N571" i="3"/>
  <c r="M571" i="3"/>
  <c r="L571" i="3"/>
  <c r="N523" i="3"/>
  <c r="M523" i="3"/>
  <c r="L523" i="3"/>
  <c r="N483" i="3"/>
  <c r="M483" i="3"/>
  <c r="L483" i="3"/>
  <c r="N435" i="3"/>
  <c r="M435" i="3"/>
  <c r="L435" i="3"/>
  <c r="N387" i="3"/>
  <c r="M387" i="3"/>
  <c r="L387" i="3"/>
  <c r="N339" i="3"/>
  <c r="M339" i="3"/>
  <c r="L339" i="3"/>
  <c r="N291" i="3"/>
  <c r="L291" i="3"/>
  <c r="M291" i="3"/>
  <c r="N243" i="3"/>
  <c r="L243" i="3"/>
  <c r="M243" i="3"/>
  <c r="N195" i="3"/>
  <c r="M195" i="3"/>
  <c r="L195" i="3"/>
  <c r="N147" i="3"/>
  <c r="M147" i="3"/>
  <c r="L147" i="3"/>
  <c r="N99" i="3"/>
  <c r="M99" i="3"/>
  <c r="N35" i="3"/>
  <c r="M35" i="3"/>
  <c r="L35" i="3"/>
  <c r="M2" i="3"/>
  <c r="L2" i="3"/>
  <c r="N2" i="3"/>
  <c r="M706" i="3"/>
  <c r="N706" i="3"/>
  <c r="L706" i="3"/>
  <c r="N690" i="3"/>
  <c r="M690" i="3"/>
  <c r="L690" i="3"/>
  <c r="N674" i="3"/>
  <c r="M674" i="3"/>
  <c r="N658" i="3"/>
  <c r="L658" i="3"/>
  <c r="M658" i="3"/>
  <c r="N626" i="3"/>
  <c r="L626" i="3"/>
  <c r="M626" i="3"/>
  <c r="N610" i="3"/>
  <c r="M610" i="3"/>
  <c r="M602" i="3"/>
  <c r="N602" i="3"/>
  <c r="L602" i="3"/>
  <c r="M586" i="3"/>
  <c r="N586" i="3"/>
  <c r="L586" i="3"/>
  <c r="N570" i="3"/>
  <c r="L570" i="3"/>
  <c r="M570" i="3"/>
  <c r="N554" i="3"/>
  <c r="M554" i="3"/>
  <c r="L554" i="3"/>
  <c r="M538" i="3"/>
  <c r="N538" i="3"/>
  <c r="L538" i="3"/>
  <c r="N522" i="3"/>
  <c r="M522" i="3"/>
  <c r="L522" i="3"/>
  <c r="N506" i="3"/>
  <c r="M506" i="3"/>
  <c r="L506" i="3"/>
  <c r="M490" i="3"/>
  <c r="N490" i="3"/>
  <c r="L490" i="3"/>
  <c r="L474" i="3"/>
  <c r="N474" i="3"/>
  <c r="M474" i="3"/>
  <c r="N458" i="3"/>
  <c r="M458" i="3"/>
  <c r="L458" i="3"/>
  <c r="N442" i="3"/>
  <c r="L442" i="3"/>
  <c r="M442" i="3"/>
  <c r="M426" i="3"/>
  <c r="N426" i="3"/>
  <c r="L426" i="3"/>
  <c r="N418" i="3"/>
  <c r="M418" i="3"/>
  <c r="L418" i="3"/>
  <c r="N402" i="3"/>
  <c r="M402" i="3"/>
  <c r="L402" i="3"/>
  <c r="N346" i="3"/>
  <c r="M346" i="3"/>
  <c r="L346" i="3"/>
  <c r="M737" i="3"/>
  <c r="L737" i="3"/>
  <c r="N737" i="3"/>
  <c r="N729" i="3"/>
  <c r="M729" i="3"/>
  <c r="L729" i="3"/>
  <c r="M721" i="3"/>
  <c r="N721" i="3"/>
  <c r="L721" i="3"/>
  <c r="M713" i="3"/>
  <c r="N713" i="3"/>
  <c r="L713" i="3"/>
  <c r="N705" i="3"/>
  <c r="M705" i="3"/>
  <c r="L705" i="3"/>
  <c r="M697" i="3"/>
  <c r="L697" i="3"/>
  <c r="N697" i="3"/>
  <c r="L689" i="3"/>
  <c r="N689" i="3"/>
  <c r="M689" i="3"/>
  <c r="M681" i="3"/>
  <c r="N681" i="3"/>
  <c r="L681" i="3"/>
  <c r="L673" i="3"/>
  <c r="N673" i="3"/>
  <c r="M673" i="3"/>
  <c r="N665" i="3"/>
  <c r="M665" i="3"/>
  <c r="L665" i="3"/>
  <c r="N657" i="3"/>
  <c r="M657" i="3"/>
  <c r="L657" i="3"/>
  <c r="N649" i="3"/>
  <c r="L649" i="3"/>
  <c r="N641" i="3"/>
  <c r="M641" i="3"/>
  <c r="L641" i="3"/>
  <c r="M633" i="3"/>
  <c r="L633" i="3"/>
  <c r="N633" i="3"/>
  <c r="L625" i="3"/>
  <c r="M625" i="3"/>
  <c r="N625" i="3"/>
  <c r="N617" i="3"/>
  <c r="M617" i="3"/>
  <c r="L617" i="3"/>
  <c r="N609" i="3"/>
  <c r="L609" i="3"/>
  <c r="M609" i="3"/>
  <c r="N601" i="3"/>
  <c r="L601" i="3"/>
  <c r="M601" i="3"/>
  <c r="M593" i="3"/>
  <c r="L593" i="3"/>
  <c r="N593" i="3"/>
  <c r="N585" i="3"/>
  <c r="M585" i="3"/>
  <c r="L585" i="3"/>
  <c r="M577" i="3"/>
  <c r="N577" i="3"/>
  <c r="L577" i="3"/>
  <c r="M569" i="3"/>
  <c r="N569" i="3"/>
  <c r="L569" i="3"/>
  <c r="M561" i="3"/>
  <c r="N561" i="3"/>
  <c r="L561" i="3"/>
  <c r="L553" i="3"/>
  <c r="M553" i="3"/>
  <c r="N545" i="3"/>
  <c r="M545" i="3"/>
  <c r="L545" i="3"/>
  <c r="N537" i="3"/>
  <c r="M537" i="3"/>
  <c r="L537" i="3"/>
  <c r="N529" i="3"/>
  <c r="M529" i="3"/>
  <c r="L529" i="3"/>
  <c r="N521" i="3"/>
  <c r="L521" i="3"/>
  <c r="M521" i="3"/>
  <c r="M513" i="3"/>
  <c r="N513" i="3"/>
  <c r="L513" i="3"/>
  <c r="L505" i="3"/>
  <c r="N505" i="3"/>
  <c r="M505" i="3"/>
  <c r="N497" i="3"/>
  <c r="M497" i="3"/>
  <c r="L497" i="3"/>
  <c r="N489" i="3"/>
  <c r="M489" i="3"/>
  <c r="L489" i="3"/>
  <c r="N481" i="3"/>
  <c r="M481" i="3"/>
  <c r="L481" i="3"/>
  <c r="N473" i="3"/>
  <c r="M473" i="3"/>
  <c r="L473" i="3"/>
  <c r="N465" i="3"/>
  <c r="M465" i="3"/>
  <c r="L465" i="3"/>
  <c r="N457" i="3"/>
  <c r="L457" i="3"/>
  <c r="M457" i="3"/>
  <c r="N449" i="3"/>
  <c r="M449" i="3"/>
  <c r="L449" i="3"/>
  <c r="M441" i="3"/>
  <c r="N441" i="3"/>
  <c r="L441" i="3"/>
  <c r="N433" i="3"/>
  <c r="M433" i="3"/>
  <c r="L433" i="3"/>
  <c r="M425" i="3"/>
  <c r="L425" i="3"/>
  <c r="N425" i="3"/>
  <c r="M417" i="3"/>
  <c r="N417" i="3"/>
  <c r="N409" i="3"/>
  <c r="M409" i="3"/>
  <c r="L409" i="3"/>
  <c r="N401" i="3"/>
  <c r="M401" i="3"/>
  <c r="L401" i="3"/>
  <c r="N393" i="3"/>
  <c r="M393" i="3"/>
  <c r="L393" i="3"/>
  <c r="N385" i="3"/>
  <c r="M385" i="3"/>
  <c r="L385" i="3"/>
  <c r="M377" i="3"/>
  <c r="N377" i="3"/>
  <c r="M369" i="3"/>
  <c r="N369" i="3"/>
  <c r="L369" i="3"/>
  <c r="N361" i="3"/>
  <c r="M361" i="3"/>
  <c r="L361" i="3"/>
  <c r="M353" i="3"/>
  <c r="N353" i="3"/>
  <c r="L353" i="3"/>
  <c r="N345" i="3"/>
  <c r="M345" i="3"/>
  <c r="L345" i="3"/>
  <c r="N337" i="3"/>
  <c r="M337" i="3"/>
  <c r="L337" i="3"/>
  <c r="N329" i="3"/>
  <c r="M329" i="3"/>
  <c r="L329" i="3"/>
  <c r="M321" i="3"/>
  <c r="N321" i="3"/>
  <c r="L321" i="3"/>
  <c r="N313" i="3"/>
  <c r="M313" i="3"/>
  <c r="L313" i="3"/>
  <c r="M305" i="3"/>
  <c r="N305" i="3"/>
  <c r="L305" i="3"/>
  <c r="M297" i="3"/>
  <c r="N297" i="3"/>
  <c r="L297" i="3"/>
  <c r="N289" i="3"/>
  <c r="M289" i="3"/>
  <c r="L289" i="3"/>
  <c r="N281" i="3"/>
  <c r="M281" i="3"/>
  <c r="L281" i="3"/>
  <c r="M273" i="3"/>
  <c r="N273" i="3"/>
  <c r="L273" i="3"/>
  <c r="N265" i="3"/>
  <c r="M265" i="3"/>
  <c r="M257" i="3"/>
  <c r="N257" i="3"/>
  <c r="L257" i="3"/>
  <c r="N249" i="3"/>
  <c r="M249" i="3"/>
  <c r="L249" i="3"/>
  <c r="N241" i="3"/>
  <c r="M241" i="3"/>
  <c r="L241" i="3"/>
  <c r="N233" i="3"/>
  <c r="M233" i="3"/>
  <c r="L233" i="3"/>
  <c r="N225" i="3"/>
  <c r="M225" i="3"/>
  <c r="N217" i="3"/>
  <c r="M217" i="3"/>
  <c r="L217" i="3"/>
  <c r="L209" i="3"/>
  <c r="N209" i="3"/>
  <c r="N201" i="3"/>
  <c r="L201" i="3"/>
  <c r="M201" i="3"/>
  <c r="N193" i="3"/>
  <c r="M193" i="3"/>
  <c r="L193" i="3"/>
  <c r="N185" i="3"/>
  <c r="L185" i="3"/>
  <c r="M185" i="3"/>
  <c r="M177" i="3"/>
  <c r="N177" i="3"/>
  <c r="L177" i="3"/>
  <c r="N169" i="3"/>
  <c r="M169" i="3"/>
  <c r="L169" i="3"/>
  <c r="L161" i="3"/>
  <c r="N161" i="3"/>
  <c r="M161" i="3"/>
  <c r="N153" i="3"/>
  <c r="L153" i="3"/>
  <c r="M153" i="3"/>
  <c r="M145" i="3"/>
  <c r="N145" i="3"/>
  <c r="N137" i="3"/>
  <c r="M137" i="3"/>
  <c r="L137" i="3"/>
  <c r="N129" i="3"/>
  <c r="M129" i="3"/>
  <c r="L129" i="3"/>
  <c r="N121" i="3"/>
  <c r="M121" i="3"/>
  <c r="L121" i="3"/>
  <c r="M113" i="3"/>
  <c r="L113" i="3"/>
  <c r="N113" i="3"/>
  <c r="L105" i="3"/>
  <c r="N105" i="3"/>
  <c r="M105" i="3"/>
  <c r="L97" i="3"/>
  <c r="N97" i="3"/>
  <c r="M97" i="3"/>
  <c r="N89" i="3"/>
  <c r="M89" i="3"/>
  <c r="L89" i="3"/>
  <c r="N81" i="3"/>
  <c r="M81" i="3"/>
  <c r="L81" i="3"/>
  <c r="N73" i="3"/>
  <c r="M73" i="3"/>
  <c r="L73" i="3"/>
  <c r="M65" i="3"/>
  <c r="L65" i="3"/>
  <c r="N65" i="3"/>
  <c r="M57" i="3"/>
  <c r="N57" i="3"/>
  <c r="L57" i="3"/>
  <c r="M49" i="3"/>
  <c r="L49" i="3"/>
  <c r="N49" i="3"/>
  <c r="N41" i="3"/>
  <c r="M41" i="3"/>
  <c r="L41" i="3"/>
  <c r="N33" i="3"/>
  <c r="L33" i="3"/>
  <c r="M33" i="3"/>
  <c r="N25" i="3"/>
  <c r="M25" i="3"/>
  <c r="L25" i="3"/>
  <c r="M17" i="3"/>
  <c r="L17" i="3"/>
  <c r="N17" i="3"/>
  <c r="M9" i="3"/>
  <c r="L9" i="3"/>
  <c r="N9" i="3"/>
  <c r="L696" i="3"/>
  <c r="L225" i="3"/>
  <c r="M594" i="3"/>
  <c r="L694" i="3"/>
  <c r="L182" i="3"/>
  <c r="M590" i="3"/>
  <c r="L367" i="3"/>
  <c r="M398" i="3"/>
  <c r="M390" i="3"/>
  <c r="M319" i="3"/>
  <c r="N455" i="3"/>
  <c r="M455" i="3"/>
  <c r="L455" i="3"/>
  <c r="N439" i="3"/>
  <c r="M439" i="3"/>
  <c r="N423" i="3"/>
  <c r="M423" i="3"/>
  <c r="L423" i="3"/>
  <c r="N407" i="3"/>
  <c r="M407" i="3"/>
  <c r="N391" i="3"/>
  <c r="M391" i="3"/>
  <c r="L391" i="3"/>
  <c r="N383" i="3"/>
  <c r="M383" i="3"/>
  <c r="N375" i="3"/>
  <c r="M375" i="3"/>
  <c r="N359" i="3"/>
  <c r="L359" i="3"/>
  <c r="M343" i="3"/>
  <c r="L343" i="3"/>
  <c r="N343" i="3"/>
  <c r="N327" i="3"/>
  <c r="L327" i="3"/>
  <c r="M327" i="3"/>
  <c r="M726" i="3"/>
  <c r="M311" i="3"/>
  <c r="N694" i="3"/>
  <c r="N502" i="3"/>
  <c r="N415" i="3"/>
  <c r="M447" i="3"/>
  <c r="N447" i="3"/>
  <c r="M431" i="3"/>
  <c r="N431" i="3"/>
  <c r="N399" i="3"/>
  <c r="M399" i="3"/>
  <c r="L399" i="3"/>
  <c r="N351" i="3"/>
  <c r="M351" i="3"/>
  <c r="N335" i="3"/>
  <c r="M335" i="3"/>
  <c r="N303" i="3"/>
  <c r="M303" i="3"/>
  <c r="L295" i="3"/>
  <c r="M295" i="3"/>
  <c r="M287" i="3"/>
  <c r="N287" i="3"/>
  <c r="L287" i="3"/>
  <c r="N271" i="3"/>
  <c r="M271" i="3"/>
  <c r="L271" i="3"/>
  <c r="N263" i="3"/>
  <c r="M263" i="3"/>
  <c r="L263" i="3"/>
  <c r="N255" i="3"/>
  <c r="M255" i="3"/>
  <c r="N247" i="3"/>
  <c r="M247" i="3"/>
  <c r="N239" i="3"/>
  <c r="M239" i="3"/>
  <c r="M231" i="3"/>
  <c r="N231" i="3"/>
  <c r="L231" i="3"/>
  <c r="M223" i="3"/>
  <c r="N223" i="3"/>
  <c r="N207" i="3"/>
  <c r="M207" i="3"/>
  <c r="N199" i="3"/>
  <c r="M199" i="3"/>
  <c r="L199" i="3"/>
  <c r="N191" i="3"/>
  <c r="M191" i="3"/>
  <c r="N183" i="3"/>
  <c r="M183" i="3"/>
  <c r="L183" i="3"/>
  <c r="M175" i="3"/>
  <c r="L175" i="3"/>
  <c r="N167" i="3"/>
  <c r="M167" i="3"/>
  <c r="L167" i="3"/>
  <c r="M159" i="3"/>
  <c r="L159" i="3"/>
  <c r="N159" i="3"/>
  <c r="M151" i="3"/>
  <c r="N151" i="3"/>
  <c r="L151" i="3"/>
  <c r="N143" i="3"/>
  <c r="L143" i="3"/>
  <c r="M143" i="3"/>
  <c r="N135" i="3"/>
  <c r="M135" i="3"/>
  <c r="L135" i="3"/>
  <c r="M127" i="3"/>
  <c r="N127" i="3"/>
  <c r="L127" i="3"/>
  <c r="N119" i="3"/>
  <c r="L119" i="3"/>
  <c r="M119" i="3"/>
  <c r="M111" i="3"/>
  <c r="N111" i="3"/>
  <c r="N103" i="3"/>
  <c r="L103" i="3"/>
  <c r="M103" i="3"/>
  <c r="N95" i="3"/>
  <c r="M95" i="3"/>
  <c r="L95" i="3"/>
  <c r="N87" i="3"/>
  <c r="M87" i="3"/>
  <c r="L87" i="3"/>
  <c r="N79" i="3"/>
  <c r="L79" i="3"/>
  <c r="M79" i="3"/>
  <c r="N71" i="3"/>
  <c r="L71" i="3"/>
  <c r="M63" i="3"/>
  <c r="N63" i="3"/>
  <c r="N55" i="3"/>
  <c r="L55" i="3"/>
  <c r="M55" i="3"/>
  <c r="N47" i="3"/>
  <c r="M47" i="3"/>
  <c r="L39" i="3"/>
  <c r="M39" i="3"/>
  <c r="N39" i="3"/>
  <c r="N31" i="3"/>
  <c r="L31" i="3"/>
  <c r="M31" i="3"/>
  <c r="N23" i="3"/>
  <c r="M23" i="3"/>
  <c r="L23" i="3"/>
  <c r="N15" i="3"/>
  <c r="L15" i="3"/>
  <c r="N7" i="3"/>
  <c r="L7" i="3"/>
  <c r="M7" i="3"/>
  <c r="N734" i="3"/>
  <c r="M734" i="3"/>
  <c r="L734" i="3"/>
  <c r="M718" i="3"/>
  <c r="N718" i="3"/>
  <c r="N710" i="3"/>
  <c r="M710" i="3"/>
  <c r="N702" i="3"/>
  <c r="M702" i="3"/>
  <c r="L702" i="3"/>
  <c r="N686" i="3"/>
  <c r="M686" i="3"/>
  <c r="N678" i="3"/>
  <c r="M678" i="3"/>
  <c r="M670" i="3"/>
  <c r="L670" i="3"/>
  <c r="N662" i="3"/>
  <c r="M662" i="3"/>
  <c r="N654" i="3"/>
  <c r="M654" i="3"/>
  <c r="N646" i="3"/>
  <c r="M646" i="3"/>
  <c r="N638" i="3"/>
  <c r="L638" i="3"/>
  <c r="M630" i="3"/>
  <c r="N630" i="3"/>
  <c r="N622" i="3"/>
  <c r="M622" i="3"/>
  <c r="M614" i="3"/>
  <c r="N614" i="3"/>
  <c r="M606" i="3"/>
  <c r="L606" i="3"/>
  <c r="N598" i="3"/>
  <c r="M598" i="3"/>
  <c r="N582" i="3"/>
  <c r="M582" i="3"/>
  <c r="N574" i="3"/>
  <c r="M574" i="3"/>
  <c r="M566" i="3"/>
  <c r="N566" i="3"/>
  <c r="N558" i="3"/>
  <c r="L558" i="3"/>
  <c r="N542" i="3"/>
  <c r="M542" i="3"/>
  <c r="L542" i="3"/>
  <c r="N534" i="3"/>
  <c r="M534" i="3"/>
  <c r="L534" i="3"/>
  <c r="N526" i="3"/>
  <c r="L526" i="3"/>
  <c r="M526" i="3"/>
  <c r="N518" i="3"/>
  <c r="M518" i="3"/>
  <c r="N510" i="3"/>
  <c r="M510" i="3"/>
  <c r="L510" i="3"/>
  <c r="N494" i="3"/>
  <c r="L494" i="3"/>
  <c r="M494" i="3"/>
  <c r="N486" i="3"/>
  <c r="L486" i="3"/>
  <c r="M486" i="3"/>
  <c r="N478" i="3"/>
  <c r="M478" i="3"/>
  <c r="L478" i="3"/>
  <c r="N470" i="3"/>
  <c r="M470" i="3"/>
  <c r="L470" i="3"/>
  <c r="N462" i="3"/>
  <c r="L462" i="3"/>
  <c r="L454" i="3"/>
  <c r="N454" i="3"/>
  <c r="N446" i="3"/>
  <c r="M446" i="3"/>
  <c r="L446" i="3"/>
  <c r="M438" i="3"/>
  <c r="L438" i="3"/>
  <c r="N438" i="3"/>
  <c r="N430" i="3"/>
  <c r="M430" i="3"/>
  <c r="L430" i="3"/>
  <c r="N422" i="3"/>
  <c r="L422" i="3"/>
  <c r="M422" i="3"/>
  <c r="N414" i="3"/>
  <c r="M414" i="3"/>
  <c r="L414" i="3"/>
  <c r="M406" i="3"/>
  <c r="N406" i="3"/>
  <c r="L406" i="3"/>
  <c r="N382" i="3"/>
  <c r="M382" i="3"/>
  <c r="L382" i="3"/>
  <c r="N374" i="3"/>
  <c r="M374" i="3"/>
  <c r="L374" i="3"/>
  <c r="N366" i="3"/>
  <c r="M366" i="3"/>
  <c r="L366" i="3"/>
  <c r="M358" i="3"/>
  <c r="N358" i="3"/>
  <c r="L358" i="3"/>
  <c r="M350" i="3"/>
  <c r="L350" i="3"/>
  <c r="N350" i="3"/>
  <c r="M342" i="3"/>
  <c r="N342" i="3"/>
  <c r="L342" i="3"/>
  <c r="N334" i="3"/>
  <c r="M334" i="3"/>
  <c r="L334" i="3"/>
  <c r="N326" i="3"/>
  <c r="L326" i="3"/>
  <c r="M326" i="3"/>
  <c r="N318" i="3"/>
  <c r="M318" i="3"/>
  <c r="L318" i="3"/>
  <c r="L310" i="3"/>
  <c r="M310" i="3"/>
  <c r="N302" i="3"/>
  <c r="M302" i="3"/>
  <c r="L302" i="3"/>
  <c r="M294" i="3"/>
  <c r="N294" i="3"/>
  <c r="L294" i="3"/>
  <c r="N286" i="3"/>
  <c r="M286" i="3"/>
  <c r="L286" i="3"/>
  <c r="N278" i="3"/>
  <c r="M278" i="3"/>
  <c r="L278" i="3"/>
  <c r="N270" i="3"/>
  <c r="M270" i="3"/>
  <c r="L270" i="3"/>
  <c r="N262" i="3"/>
  <c r="L262" i="3"/>
  <c r="N254" i="3"/>
  <c r="L254" i="3"/>
  <c r="M246" i="3"/>
  <c r="L246" i="3"/>
  <c r="N246" i="3"/>
  <c r="N238" i="3"/>
  <c r="M238" i="3"/>
  <c r="L238" i="3"/>
  <c r="N230" i="3"/>
  <c r="M230" i="3"/>
  <c r="L230" i="3"/>
  <c r="N222" i="3"/>
  <c r="L222" i="3"/>
  <c r="M222" i="3"/>
  <c r="M214" i="3"/>
  <c r="N214" i="3"/>
  <c r="L214" i="3"/>
  <c r="N206" i="3"/>
  <c r="M206" i="3"/>
  <c r="L206" i="3"/>
  <c r="N198" i="3"/>
  <c r="L198" i="3"/>
  <c r="M198" i="3"/>
  <c r="N190" i="3"/>
  <c r="L190" i="3"/>
  <c r="N174" i="3"/>
  <c r="M174" i="3"/>
  <c r="L174" i="3"/>
  <c r="N166" i="3"/>
  <c r="M166" i="3"/>
  <c r="N158" i="3"/>
  <c r="M158" i="3"/>
  <c r="L158" i="3"/>
  <c r="M150" i="3"/>
  <c r="L150" i="3"/>
  <c r="N150" i="3"/>
  <c r="N142" i="3"/>
  <c r="M142" i="3"/>
  <c r="L134" i="3"/>
  <c r="N134" i="3"/>
  <c r="M134" i="3"/>
  <c r="N126" i="3"/>
  <c r="M126" i="3"/>
  <c r="L126" i="3"/>
  <c r="N118" i="3"/>
  <c r="M118" i="3"/>
  <c r="N110" i="3"/>
  <c r="M110" i="3"/>
  <c r="L110" i="3"/>
  <c r="M102" i="3"/>
  <c r="N102" i="3"/>
  <c r="L102" i="3"/>
  <c r="M94" i="3"/>
  <c r="N94" i="3"/>
  <c r="L94" i="3"/>
  <c r="M86" i="3"/>
  <c r="L86" i="3"/>
  <c r="M78" i="3"/>
  <c r="L78" i="3"/>
  <c r="N70" i="3"/>
  <c r="L70" i="3"/>
  <c r="M70" i="3"/>
  <c r="N62" i="3"/>
  <c r="M62" i="3"/>
  <c r="L62" i="3"/>
  <c r="N54" i="3"/>
  <c r="M54" i="3"/>
  <c r="L54" i="3"/>
  <c r="N46" i="3"/>
  <c r="L46" i="3"/>
  <c r="M38" i="3"/>
  <c r="N38" i="3"/>
  <c r="L38" i="3"/>
  <c r="M30" i="3"/>
  <c r="N30" i="3"/>
  <c r="L30" i="3"/>
  <c r="N22" i="3"/>
  <c r="L22" i="3"/>
  <c r="M22" i="3"/>
  <c r="N14" i="3"/>
  <c r="M14" i="3"/>
  <c r="M6" i="3"/>
  <c r="N6" i="3"/>
  <c r="L6" i="3"/>
  <c r="L726" i="3"/>
  <c r="L662" i="3"/>
  <c r="L598" i="3"/>
  <c r="L550" i="3"/>
  <c r="L502" i="3"/>
  <c r="L431" i="3"/>
  <c r="L319" i="3"/>
  <c r="L239" i="3"/>
  <c r="L118" i="3"/>
  <c r="M558" i="3"/>
  <c r="N398" i="3"/>
  <c r="N310" i="3"/>
  <c r="N215" i="3"/>
  <c r="L574" i="3"/>
  <c r="L351" i="3"/>
  <c r="L311" i="3"/>
  <c r="L111" i="3"/>
  <c r="M550" i="3"/>
  <c r="M15" i="3"/>
  <c r="N670" i="3"/>
  <c r="N390" i="3"/>
  <c r="N295" i="3"/>
  <c r="L678" i="3"/>
  <c r="L614" i="3"/>
  <c r="L383" i="3"/>
  <c r="L63" i="3"/>
  <c r="M359" i="3"/>
  <c r="M215" i="3"/>
  <c r="AK1" i="5"/>
  <c r="AL1" i="5"/>
  <c r="Y3" i="5"/>
  <c r="H7" i="5"/>
  <c r="W387" i="5" l="1"/>
  <c r="W713" i="5"/>
  <c r="W213" i="5"/>
  <c r="W232" i="5"/>
  <c r="W687" i="5"/>
  <c r="W604" i="5"/>
  <c r="W489" i="5"/>
  <c r="W620" i="5"/>
  <c r="W82" i="5"/>
  <c r="W484" i="5"/>
  <c r="W296" i="5"/>
  <c r="W541" i="5"/>
  <c r="W146" i="5"/>
  <c r="W423" i="5"/>
  <c r="W711" i="5"/>
  <c r="W66" i="5"/>
  <c r="W481" i="5"/>
  <c r="W617" i="5"/>
  <c r="W636" i="5"/>
  <c r="W210" i="5"/>
  <c r="W39" i="5"/>
  <c r="W515" i="5"/>
  <c r="W692" i="5"/>
  <c r="W21" i="5"/>
  <c r="W344" i="5"/>
  <c r="W197" i="5"/>
  <c r="W442" i="5"/>
  <c r="W222" i="5"/>
  <c r="W44" i="5"/>
  <c r="W445" i="5"/>
  <c r="W555" i="5"/>
  <c r="W458" i="5"/>
  <c r="W621" i="5"/>
  <c r="W634" i="5"/>
  <c r="W576" i="5"/>
  <c r="W611" i="5"/>
  <c r="W156" i="5"/>
  <c r="W614" i="5"/>
  <c r="W605" i="5"/>
  <c r="W275" i="5"/>
  <c r="W447" i="5"/>
  <c r="W633" i="5"/>
  <c r="W30" i="5"/>
  <c r="W64" i="5"/>
  <c r="W97" i="5"/>
  <c r="W688" i="5"/>
  <c r="W452" i="5"/>
  <c r="W602" i="5"/>
  <c r="W198" i="5"/>
  <c r="W339" i="5"/>
  <c r="W234" i="5"/>
  <c r="W468" i="5"/>
  <c r="W43" i="5"/>
  <c r="W490" i="5"/>
  <c r="W532" i="5"/>
  <c r="W149" i="5"/>
  <c r="W412" i="5"/>
  <c r="W559" i="5"/>
  <c r="W531" i="5"/>
  <c r="W438" i="5"/>
  <c r="W439" i="5"/>
  <c r="W63" i="5"/>
  <c r="W347" i="5"/>
  <c r="W106" i="5"/>
  <c r="W609" i="5"/>
  <c r="W491" i="5"/>
  <c r="W114" i="5"/>
  <c r="W512" i="5"/>
  <c r="W356" i="5"/>
  <c r="W690" i="5"/>
  <c r="W318" i="5"/>
  <c r="W431" i="5"/>
  <c r="W303" i="5"/>
  <c r="W70" i="5"/>
  <c r="W230" i="5"/>
  <c r="W473" i="5"/>
  <c r="W502" i="5"/>
  <c r="W566" i="5"/>
  <c r="W225" i="5"/>
  <c r="W265" i="5"/>
  <c r="W342" i="5"/>
  <c r="W93" i="5"/>
  <c r="W716" i="5"/>
  <c r="W413" i="5"/>
  <c r="W246" i="5"/>
  <c r="W699" i="5"/>
  <c r="W120" i="5"/>
  <c r="W375" i="5"/>
  <c r="W130" i="5"/>
  <c r="W142" i="5"/>
  <c r="W454" i="5"/>
  <c r="W336" i="5"/>
  <c r="W159" i="5"/>
  <c r="W176" i="5"/>
  <c r="W706" i="5"/>
  <c r="W525" i="5"/>
  <c r="W33" i="5"/>
  <c r="W269" i="5"/>
  <c r="W310" i="5"/>
  <c r="W237" i="5"/>
  <c r="W494" i="5"/>
  <c r="W233" i="5"/>
  <c r="W731" i="5"/>
  <c r="W236" i="5"/>
  <c r="W116" i="5"/>
  <c r="W38" i="5"/>
  <c r="W183" i="5"/>
  <c r="W567" i="5"/>
  <c r="W157" i="5"/>
  <c r="W126" i="5"/>
  <c r="W472" i="5"/>
  <c r="W110" i="5"/>
  <c r="W457" i="5"/>
  <c r="W148" i="5"/>
  <c r="W27" i="5"/>
  <c r="W696" i="5"/>
  <c r="W349" i="5"/>
  <c r="W102" i="5"/>
  <c r="W719" i="5"/>
  <c r="W274" i="5"/>
  <c r="W545" i="5"/>
  <c r="W247" i="5"/>
  <c r="W132" i="5"/>
  <c r="W511" i="5"/>
  <c r="W714" i="5"/>
  <c r="W668" i="5"/>
  <c r="W382" i="5"/>
  <c r="W516" i="5"/>
  <c r="W141" i="5"/>
  <c r="W730" i="5"/>
  <c r="W406" i="5"/>
  <c r="W365" i="5"/>
  <c r="W480" i="5"/>
  <c r="W414" i="5"/>
  <c r="W462" i="5"/>
  <c r="W290" i="5"/>
  <c r="W639" i="5"/>
  <c r="W505" i="5"/>
  <c r="W591" i="5"/>
  <c r="W584" i="5"/>
  <c r="W312" i="5"/>
  <c r="W15" i="5"/>
  <c r="W645" i="5"/>
  <c r="W279" i="5"/>
  <c r="W117" i="5"/>
  <c r="W193" i="5"/>
  <c r="W573" i="5"/>
  <c r="W94" i="5"/>
  <c r="W13" i="5"/>
  <c r="W385" i="5"/>
  <c r="W87" i="5"/>
  <c r="W444" i="5"/>
  <c r="W544" i="5"/>
  <c r="W118" i="5"/>
  <c r="W131" i="5"/>
  <c r="W393" i="5"/>
  <c r="W42" i="5"/>
  <c r="W306" i="5"/>
  <c r="W665" i="5"/>
  <c r="W720" i="5"/>
  <c r="W263" i="5"/>
  <c r="W241" i="5"/>
  <c r="W549" i="5"/>
  <c r="W80" i="5"/>
  <c r="W217" i="5"/>
  <c r="W479" i="5"/>
  <c r="W77" i="5"/>
  <c r="W588" i="5"/>
  <c r="W552" i="5"/>
  <c r="W76" i="5"/>
  <c r="W451" i="5"/>
  <c r="W510" i="5"/>
  <c r="W218" i="5"/>
  <c r="W298" i="5"/>
  <c r="W590" i="5"/>
  <c r="W81" i="5"/>
  <c r="W420" i="5"/>
  <c r="W378" i="5"/>
  <c r="W314" i="5"/>
  <c r="W540" i="5"/>
  <c r="W606" i="5"/>
  <c r="W622" i="5"/>
  <c r="W734" i="5"/>
  <c r="W67" i="5"/>
  <c r="W173" i="5"/>
  <c r="W308" i="5"/>
  <c r="W215" i="5"/>
  <c r="W158" i="5"/>
  <c r="W695" i="5"/>
  <c r="W370" i="5"/>
  <c r="W430" i="5"/>
  <c r="W548" i="5"/>
  <c r="W520" i="5"/>
  <c r="W623" i="5"/>
  <c r="W693" i="5"/>
  <c r="W612" i="5"/>
  <c r="W206" i="5"/>
  <c r="W642" i="5"/>
  <c r="W729" i="5"/>
  <c r="W211" i="5"/>
  <c r="W278" i="5"/>
  <c r="W397" i="5"/>
  <c r="W424" i="5"/>
  <c r="W422" i="5"/>
  <c r="W709" i="5"/>
  <c r="W99" i="5"/>
  <c r="W429" i="5"/>
  <c r="W404" i="5"/>
  <c r="W17" i="5"/>
  <c r="W496" i="5"/>
  <c r="W717" i="5"/>
  <c r="W522" i="5"/>
  <c r="W440" i="5"/>
  <c r="W267" i="5"/>
  <c r="W507" i="5"/>
  <c r="W140" i="5"/>
  <c r="W51" i="5"/>
  <c r="W127" i="5"/>
  <c r="W509" i="5"/>
  <c r="W391" i="5"/>
  <c r="W214" i="5"/>
  <c r="W54" i="5"/>
  <c r="W652" i="5"/>
  <c r="W678" i="5"/>
  <c r="W352" i="5"/>
  <c r="W477" i="5"/>
  <c r="W300" i="5"/>
  <c r="W155" i="5"/>
  <c r="W45" i="5"/>
  <c r="W492" i="5"/>
  <c r="W686" i="5"/>
  <c r="W329" i="5"/>
  <c r="W529" i="5"/>
  <c r="W486" i="5"/>
  <c r="W499" i="5"/>
  <c r="W543" i="5"/>
  <c r="W29" i="5"/>
  <c r="W203" i="5"/>
  <c r="W65" i="5"/>
  <c r="W119" i="5"/>
  <c r="W280" i="5"/>
  <c r="W88" i="5"/>
  <c r="W331" i="5"/>
  <c r="W736" i="5"/>
  <c r="W8" i="5"/>
  <c r="W46" i="5"/>
  <c r="W350" i="5"/>
  <c r="W328" i="5"/>
  <c r="W325" i="5"/>
  <c r="W369" i="5"/>
  <c r="W209" i="5"/>
  <c r="W194" i="5"/>
  <c r="W524" i="5"/>
  <c r="W449" i="5"/>
  <c r="W675" i="5"/>
  <c r="W384" i="5"/>
  <c r="W172" i="5"/>
  <c r="W154" i="5"/>
  <c r="W395" i="5"/>
  <c r="W503" i="5"/>
  <c r="W725" i="5"/>
  <c r="W508" i="5"/>
  <c r="W90" i="5"/>
  <c r="W165" i="5"/>
  <c r="W727" i="5"/>
  <c r="W294" i="5"/>
  <c r="W738" i="5"/>
  <c r="W55" i="5"/>
  <c r="W724" i="5"/>
  <c r="W58" i="5"/>
  <c r="W346" i="5"/>
  <c r="W309" i="5"/>
  <c r="W95" i="5"/>
  <c r="W707" i="5"/>
  <c r="W124" i="5"/>
  <c r="W419" i="5"/>
  <c r="W84" i="5"/>
  <c r="W14" i="5"/>
  <c r="W277" i="5"/>
  <c r="W626" i="5"/>
  <c r="W669" i="5"/>
  <c r="W170" i="5"/>
  <c r="W450" i="5"/>
  <c r="W514" i="5"/>
  <c r="W175" i="5"/>
  <c r="W517" i="5"/>
  <c r="W187" i="5"/>
  <c r="W487" i="5"/>
  <c r="W316" i="5"/>
  <c r="W682" i="5"/>
  <c r="W646" i="5"/>
  <c r="W563" i="5"/>
  <c r="W498" i="5"/>
  <c r="W388" i="5"/>
  <c r="W268" i="5"/>
  <c r="W594" i="5"/>
  <c r="W426" i="5"/>
  <c r="W643" i="5"/>
  <c r="W585" i="5"/>
  <c r="W361" i="5"/>
  <c r="W79" i="5"/>
  <c r="W705" i="5"/>
  <c r="W456" i="5"/>
  <c r="W583" i="5"/>
  <c r="W189" i="5"/>
  <c r="W85" i="5"/>
  <c r="W579" i="5"/>
  <c r="W398" i="5"/>
  <c r="W243" i="5"/>
  <c r="W535" i="5"/>
  <c r="W282" i="5"/>
  <c r="W640" i="5"/>
  <c r="W677" i="5"/>
  <c r="W143" i="5"/>
  <c r="W147" i="5"/>
  <c r="W676" i="5"/>
  <c r="W26" i="5"/>
  <c r="W337" i="5"/>
  <c r="W299" i="5"/>
  <c r="W293" i="5"/>
  <c r="W435" i="5"/>
  <c r="W335" i="5"/>
  <c r="W18" i="5"/>
  <c r="W191" i="5"/>
  <c r="W190" i="5"/>
  <c r="W528" i="5"/>
  <c r="W31" i="5"/>
  <c r="W255" i="5"/>
  <c r="W40" i="5"/>
  <c r="W379" i="5"/>
  <c r="W608" i="5"/>
  <c r="W83" i="5"/>
  <c r="W228" i="5"/>
  <c r="W224" i="5"/>
  <c r="W657" i="5"/>
  <c r="W271" i="5"/>
  <c r="W34" i="5"/>
  <c r="W537" i="5"/>
  <c r="W601" i="5"/>
  <c r="W631" i="5"/>
  <c r="W703" i="5"/>
  <c r="W519" i="5"/>
  <c r="W315" i="5"/>
  <c r="W647" i="5"/>
  <c r="W60" i="5"/>
  <c r="W205" i="5"/>
  <c r="W568" i="5"/>
  <c r="W664" i="5"/>
  <c r="W564" i="5"/>
  <c r="W362" i="5"/>
  <c r="W78" i="5"/>
  <c r="W722" i="5"/>
  <c r="W208" i="5"/>
  <c r="W586" i="5"/>
  <c r="W221" i="5"/>
  <c r="W553" i="5"/>
  <c r="W488" i="5"/>
  <c r="W598" i="5"/>
  <c r="W317" i="5"/>
  <c r="W704" i="5"/>
  <c r="W607" i="5"/>
  <c r="W150" i="5"/>
  <c r="W436" i="5"/>
  <c r="W467" i="5"/>
  <c r="W475" i="5"/>
  <c r="W251" i="5"/>
  <c r="W684" i="5"/>
  <c r="W305" i="5"/>
  <c r="W428" i="5"/>
  <c r="W530" i="5"/>
  <c r="W354" i="5"/>
  <c r="W153" i="5"/>
  <c r="W260" i="5"/>
  <c r="W651" i="5"/>
  <c r="W264" i="5"/>
  <c r="W47" i="5"/>
  <c r="W353" i="5"/>
  <c r="W650" i="5"/>
  <c r="W460" i="5"/>
  <c r="W345" i="5"/>
  <c r="W654" i="5"/>
  <c r="W364" i="5"/>
  <c r="W560" i="5"/>
  <c r="W73" i="5"/>
  <c r="W630" i="5"/>
  <c r="W580" i="5"/>
  <c r="W538" i="5"/>
  <c r="W360" i="5"/>
  <c r="W726" i="5"/>
  <c r="W470" i="5"/>
  <c r="W485" i="5"/>
  <c r="W139" i="5"/>
  <c r="W330" i="5"/>
  <c r="W284" i="5"/>
  <c r="W571" i="5"/>
  <c r="W121" i="5"/>
  <c r="W69" i="5"/>
  <c r="W561" i="5"/>
  <c r="W273" i="5"/>
  <c r="W351" i="5"/>
  <c r="W257" i="5"/>
  <c r="W111" i="5"/>
  <c r="W718" i="5"/>
  <c r="W637" i="5"/>
  <c r="W256" i="5"/>
  <c r="W113" i="5"/>
  <c r="W527" i="5"/>
  <c r="W320" i="5"/>
  <c r="W732" i="5"/>
  <c r="W122" i="5"/>
  <c r="W405" i="5"/>
  <c r="W32" i="5"/>
  <c r="W192" i="5"/>
  <c r="W694" i="5"/>
  <c r="W521" i="5"/>
  <c r="W340" i="5"/>
  <c r="W459" i="5"/>
  <c r="W635" i="5"/>
  <c r="W125" i="5"/>
  <c r="W411" i="5"/>
  <c r="W371" i="5"/>
  <c r="W672" i="5"/>
  <c r="W25" i="5"/>
  <c r="W343" i="5"/>
  <c r="W558" i="5"/>
  <c r="W53" i="5"/>
  <c r="W437" i="5"/>
  <c r="W37" i="5"/>
  <c r="W133" i="5"/>
  <c r="W220" i="5"/>
  <c r="W396" i="5"/>
  <c r="W35" i="5"/>
  <c r="W648" i="5"/>
  <c r="W341" i="5"/>
  <c r="W91" i="5"/>
  <c r="W50" i="5"/>
  <c r="W23" i="5"/>
  <c r="W162" i="5"/>
  <c r="W366" i="5"/>
  <c r="W249" i="5"/>
  <c r="W98" i="5"/>
  <c r="W254" i="5"/>
  <c r="W272" i="5"/>
  <c r="W48" i="5"/>
  <c r="W201" i="5"/>
  <c r="W288" i="5"/>
  <c r="W628" i="5"/>
  <c r="W49" i="5"/>
  <c r="W28" i="5"/>
  <c r="W565" i="5"/>
  <c r="W595" i="5"/>
  <c r="W432" i="5"/>
  <c r="W394" i="5"/>
  <c r="W542" i="5"/>
  <c r="W448" i="5"/>
  <c r="W304" i="5"/>
  <c r="W374" i="5"/>
  <c r="W363" i="5"/>
  <c r="W715" i="5"/>
  <c r="W166" i="5"/>
  <c r="W478" i="5"/>
  <c r="W483" i="5"/>
  <c r="W681" i="5"/>
  <c r="W737" i="5"/>
  <c r="W250" i="5"/>
  <c r="W129" i="5"/>
  <c r="W671" i="5"/>
  <c r="W327" i="5"/>
  <c r="W464" i="5"/>
  <c r="W227" i="5"/>
  <c r="W698" i="5"/>
  <c r="W22" i="5"/>
  <c r="W592" i="5"/>
  <c r="W581" i="5"/>
  <c r="W261" i="5"/>
  <c r="W96" i="5"/>
  <c r="W381" i="5"/>
  <c r="W476" i="5"/>
  <c r="W138" i="5"/>
  <c r="W400" i="5"/>
  <c r="W377" i="5"/>
  <c r="W359" i="5"/>
  <c r="W463" i="5"/>
  <c r="W195" i="5"/>
  <c r="W504" i="5"/>
  <c r="W518" i="5"/>
  <c r="W570" i="5"/>
  <c r="W229" i="5"/>
  <c r="W465" i="5"/>
  <c r="W19" i="5"/>
  <c r="W656" i="5"/>
  <c r="W415" i="5"/>
  <c r="W161" i="5"/>
  <c r="W474" i="5"/>
  <c r="W68" i="5"/>
  <c r="W368" i="5"/>
  <c r="W526" i="5"/>
  <c r="W74" i="5"/>
  <c r="W551" i="5"/>
  <c r="W547" i="5"/>
  <c r="W324" i="5"/>
  <c r="W179" i="5"/>
  <c r="W587" i="5"/>
  <c r="W136" i="5"/>
  <c r="W562" i="5"/>
  <c r="W16" i="5"/>
  <c r="W418" i="5"/>
  <c r="W258" i="5"/>
  <c r="W302" i="5"/>
  <c r="W164" i="5"/>
  <c r="W407" i="5"/>
  <c r="W433" i="5"/>
  <c r="W56" i="5"/>
  <c r="W613" i="5"/>
  <c r="W174" i="5"/>
  <c r="W226" i="5"/>
  <c r="W186" i="5"/>
  <c r="W62" i="5"/>
  <c r="W322" i="5"/>
  <c r="W596" i="5"/>
  <c r="W446" i="5"/>
  <c r="W253" i="5"/>
  <c r="W441" i="5"/>
  <c r="W443" i="5"/>
  <c r="W710" i="5"/>
  <c r="W20" i="5"/>
  <c r="W593" i="5"/>
  <c r="W597" i="5"/>
  <c r="W619" i="5"/>
  <c r="W358" i="5"/>
  <c r="W427" i="5"/>
  <c r="W41" i="5"/>
  <c r="W455" i="5"/>
  <c r="W410" i="5"/>
  <c r="W178" i="5"/>
  <c r="W546" i="5"/>
  <c r="W615" i="5"/>
  <c r="W185" i="5"/>
  <c r="W550" i="5"/>
  <c r="W702" i="5"/>
  <c r="W270" i="5"/>
  <c r="W453" i="5"/>
  <c r="W401" i="5"/>
  <c r="W638" i="5"/>
  <c r="W104" i="5"/>
  <c r="W712" i="5"/>
  <c r="W10" i="5"/>
  <c r="W180" i="5"/>
  <c r="W670" i="5"/>
  <c r="W231" i="5"/>
  <c r="W238" i="5"/>
  <c r="W240" i="5"/>
  <c r="W321" i="5"/>
  <c r="W616" i="5"/>
  <c r="W500" i="5"/>
  <c r="W600" i="5"/>
  <c r="W569" i="5"/>
  <c r="W603" i="5"/>
  <c r="W402" i="5"/>
  <c r="W89" i="5"/>
  <c r="W723" i="5"/>
  <c r="W610" i="5"/>
  <c r="W708" i="5"/>
  <c r="W301" i="5"/>
  <c r="W536" i="5"/>
  <c r="W291" i="5"/>
  <c r="W556" i="5"/>
  <c r="W578" i="5"/>
  <c r="W259" i="5"/>
  <c r="W599" i="5"/>
  <c r="W168" i="5"/>
  <c r="W575" i="5"/>
  <c r="W683" i="5"/>
  <c r="W679" i="5"/>
  <c r="W506" i="5"/>
  <c r="W333" i="5"/>
  <c r="W101" i="5"/>
  <c r="W7" i="5"/>
  <c r="W641" i="5"/>
  <c r="W416" i="5"/>
  <c r="W57" i="5"/>
  <c r="W334" i="5"/>
  <c r="W666" i="5"/>
  <c r="W182" i="5"/>
  <c r="W311" i="5"/>
  <c r="W326" i="5"/>
  <c r="W105" i="5"/>
  <c r="W482" i="5"/>
  <c r="W493" i="5"/>
  <c r="W539" i="5"/>
  <c r="W629" i="5"/>
  <c r="W662" i="5"/>
  <c r="W123" i="5"/>
  <c r="W697" i="5"/>
  <c r="W721" i="5"/>
  <c r="W632" i="5"/>
  <c r="W244" i="5"/>
  <c r="W115" i="5"/>
  <c r="W313" i="5"/>
  <c r="W389" i="5"/>
  <c r="W660" i="5"/>
  <c r="W701" i="5"/>
  <c r="W735" i="5"/>
  <c r="W235" i="5"/>
  <c r="W86" i="5"/>
  <c r="W680" i="5"/>
  <c r="W658" i="5"/>
  <c r="W181" i="5"/>
  <c r="W469" i="5"/>
  <c r="W376" i="5"/>
  <c r="W497" i="5"/>
  <c r="W557" i="5"/>
  <c r="W661" i="5"/>
  <c r="W5" i="5"/>
  <c r="W202" i="5"/>
  <c r="W281" i="5"/>
  <c r="W160" i="5"/>
  <c r="W461" i="5"/>
  <c r="W100" i="5"/>
  <c r="W319" i="5"/>
  <c r="W216" i="5"/>
  <c r="W348" i="5"/>
  <c r="W248" i="5"/>
  <c r="W292" i="5"/>
  <c r="W75" i="5"/>
  <c r="W262" i="5"/>
  <c r="W24" i="5"/>
  <c r="W151" i="5"/>
  <c r="W297" i="5"/>
  <c r="W655" i="5"/>
  <c r="W386" i="5"/>
  <c r="W582" i="5"/>
  <c r="W417" i="5"/>
  <c r="W434" i="5"/>
  <c r="W338" i="5"/>
  <c r="W199" i="5"/>
  <c r="W135" i="5"/>
  <c r="W4" i="5"/>
  <c r="W685" i="5"/>
  <c r="W266" i="5"/>
  <c r="W572" i="5"/>
  <c r="W627" i="5"/>
  <c r="W649" i="5"/>
  <c r="W667" i="5"/>
  <c r="W285" i="5"/>
  <c r="W534" i="5"/>
  <c r="W59" i="5"/>
  <c r="W196" i="5"/>
  <c r="W689" i="5"/>
  <c r="W625" i="5"/>
  <c r="W108" i="5"/>
  <c r="W501" i="5"/>
  <c r="W289" i="5"/>
  <c r="W644" i="5"/>
  <c r="W152" i="5"/>
  <c r="W403" i="5"/>
  <c r="W200" i="5"/>
  <c r="W357" i="5"/>
  <c r="W276" i="5"/>
  <c r="W71" i="5"/>
  <c r="W307" i="5"/>
  <c r="W287" i="5"/>
  <c r="W589" i="5"/>
  <c r="W653" i="5"/>
  <c r="W283" i="5"/>
  <c r="W700" i="5"/>
  <c r="W674" i="5"/>
  <c r="W471" i="5"/>
  <c r="W137" i="5"/>
  <c r="W409" i="5"/>
  <c r="W252" i="5"/>
  <c r="W523" i="5"/>
  <c r="W399" i="5"/>
  <c r="W103" i="5"/>
  <c r="W177" i="5"/>
  <c r="W466" i="5"/>
  <c r="W12" i="5"/>
  <c r="W11" i="5"/>
  <c r="W495" i="5"/>
  <c r="W659" i="5"/>
  <c r="W577" i="5"/>
  <c r="W390" i="5"/>
  <c r="W380" i="5"/>
  <c r="W184" i="5"/>
  <c r="W618" i="5"/>
  <c r="W61" i="5"/>
  <c r="W728" i="5"/>
  <c r="W171" i="5"/>
  <c r="W242" i="5"/>
  <c r="W107" i="5"/>
  <c r="W425" i="5"/>
  <c r="W212" i="5"/>
  <c r="W663" i="5"/>
  <c r="W128" i="5"/>
  <c r="W373" i="5"/>
  <c r="W323" i="5"/>
  <c r="W207" i="5"/>
  <c r="W421" i="5"/>
  <c r="W9" i="5"/>
  <c r="W295" i="5"/>
  <c r="W367" i="5"/>
  <c r="W673" i="5"/>
  <c r="W72" i="5"/>
  <c r="W372" i="5"/>
  <c r="W533" i="5"/>
  <c r="W624" i="5"/>
  <c r="W574" i="5"/>
  <c r="W733" i="5"/>
  <c r="W239" i="5"/>
  <c r="W112" i="5"/>
  <c r="W204" i="5"/>
  <c r="W355" i="5"/>
  <c r="W144" i="5"/>
  <c r="W145" i="5"/>
  <c r="W554" i="5"/>
  <c r="W691" i="5"/>
  <c r="W163" i="5"/>
  <c r="W383" i="5"/>
  <c r="W286" i="5"/>
  <c r="W92" i="5"/>
  <c r="W219" i="5"/>
  <c r="W332" i="5"/>
  <c r="W245" i="5"/>
  <c r="W392" i="5"/>
  <c r="W36" i="5"/>
  <c r="W6" i="5"/>
  <c r="W188" i="5"/>
  <c r="W134" i="5"/>
  <c r="W408" i="5"/>
  <c r="W167" i="5"/>
  <c r="W52" i="5"/>
  <c r="W109" i="5"/>
  <c r="W513" i="5"/>
  <c r="W169" i="5"/>
  <c r="W3" i="5"/>
  <c r="W223" i="5"/>
  <c r="Z1" i="5" l="1"/>
  <c r="X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18F841-DA05-471A-A1E1-4CF686F7D742}"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<sst xmlns="http://schemas.openxmlformats.org/spreadsheetml/2006/main" count="6820" uniqueCount="902">
  <si>
    <t>Invoice ID</t>
  </si>
  <si>
    <t>Branch</t>
  </si>
  <si>
    <t>City</t>
  </si>
  <si>
    <t>Customer type</t>
  </si>
  <si>
    <t>Gender</t>
  </si>
  <si>
    <t>Product line</t>
  </si>
  <si>
    <t>Unit price</t>
  </si>
  <si>
    <t>Quantity</t>
  </si>
  <si>
    <t>Tax 5%</t>
  </si>
  <si>
    <t>Sales</t>
  </si>
  <si>
    <t>Date</t>
  </si>
  <si>
    <t>Time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</si>
  <si>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</si>
  <si>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</si>
  <si>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</si>
  <si>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</si>
  <si>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</si>
  <si>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</si>
  <si>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</si>
  <si>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</si>
  <si>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</si>
  <si>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</si>
  <si>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</si>
  <si>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</si>
  <si>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</si>
  <si>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</si>
  <si>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</si>
  <si>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</si>
  <si>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</si>
  <si>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</si>
  <si>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</si>
  <si>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</si>
  <si>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</si>
  <si>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</si>
  <si>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</si>
  <si>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</si>
  <si>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</si>
  <si>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</si>
  <si>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</si>
  <si>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</si>
  <si>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</si>
  <si>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</si>
  <si>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</si>
  <si>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</si>
  <si>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</si>
  <si>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</si>
  <si>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</si>
  <si>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</si>
  <si>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</si>
  <si>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</si>
  <si>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</si>
  <si>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</si>
  <si>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</si>
  <si>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</si>
  <si>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</si>
  <si>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</si>
  <si>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</si>
  <si>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</si>
  <si>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</si>
  <si>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</si>
  <si>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</si>
  <si>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</si>
  <si>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</si>
  <si>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</si>
  <si>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</si>
  <si>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</si>
  <si>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</si>
  <si>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</si>
  <si>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</si>
  <si>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</si>
  <si>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</si>
  <si>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</si>
  <si>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</si>
  <si>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</si>
  <si>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</si>
  <si>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</si>
  <si>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</si>
  <si>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</si>
  <si>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</si>
  <si>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</si>
  <si>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</si>
  <si>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</si>
  <si>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</si>
  <si>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</si>
  <si>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</si>
  <si>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</si>
  <si>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</si>
  <si>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</si>
  <si>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</si>
  <si>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</si>
  <si>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</si>
  <si>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</si>
  <si>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</si>
  <si>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</si>
  <si>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</si>
  <si>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</si>
  <si>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</si>
  <si>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</si>
  <si>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</si>
  <si>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</si>
  <si>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</si>
  <si>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</si>
  <si>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</si>
  <si>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</si>
  <si>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</si>
  <si>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</si>
  <si>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</si>
  <si>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</si>
  <si>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</si>
  <si>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</si>
  <si>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</si>
  <si>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</si>
  <si>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</si>
  <si>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</si>
  <si>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</si>
  <si>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</si>
  <si>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</si>
  <si>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</si>
  <si>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</si>
  <si>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</si>
  <si>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</si>
  <si>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</si>
  <si>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</si>
  <si>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</si>
  <si>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</si>
  <si>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</si>
  <si>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</si>
  <si>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</si>
  <si>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</si>
  <si>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</si>
  <si>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</si>
  <si>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</si>
  <si>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</si>
  <si>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</si>
  <si>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</si>
  <si>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</si>
  <si>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</si>
  <si>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</si>
  <si>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</si>
  <si>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</si>
  <si>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</si>
  <si>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</si>
  <si>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</si>
  <si>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</si>
  <si>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</si>
  <si>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</si>
  <si>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</si>
  <si>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</si>
  <si>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</si>
  <si>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</si>
  <si>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</si>
  <si>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</si>
  <si>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</si>
  <si>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</si>
  <si>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</si>
  <si>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</si>
  <si>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</si>
  <si>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</si>
  <si>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</si>
  <si>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</si>
  <si>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</si>
  <si>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</si>
  <si>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</si>
  <si>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</si>
  <si>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</si>
  <si>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</si>
  <si>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</si>
  <si>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</si>
  <si>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</si>
  <si>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</si>
  <si>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</si>
  <si>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</si>
  <si>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</si>
  <si>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</si>
  <si>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</si>
  <si>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</si>
  <si>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</si>
  <si>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</si>
  <si>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</si>
  <si>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</si>
  <si>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</si>
  <si>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</si>
  <si>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</si>
  <si>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</si>
  <si>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</si>
  <si>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</si>
  <si>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</si>
  <si>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</si>
  <si>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</si>
  <si>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</si>
  <si>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</si>
  <si>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</si>
  <si>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</si>
  <si>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</si>
  <si>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</si>
  <si>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</si>
  <si>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</si>
  <si>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</si>
  <si>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</si>
  <si>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</si>
  <si>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</si>
  <si>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</si>
  <si>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</si>
  <si>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</si>
  <si>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</si>
  <si>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</si>
  <si>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</si>
  <si>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</si>
  <si>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</si>
  <si>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</si>
  <si>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</si>
  <si>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</si>
  <si>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</si>
  <si>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</si>
  <si>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</si>
  <si>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</si>
  <si>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</si>
  <si>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</si>
  <si>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</si>
  <si>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</si>
  <si>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</si>
  <si>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</si>
  <si>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</si>
  <si>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</si>
  <si>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</si>
  <si>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</si>
  <si>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</si>
  <si>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</si>
  <si>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</si>
  <si>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</si>
  <si>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</si>
  <si>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</si>
  <si>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</si>
  <si>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</si>
  <si>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</si>
  <si>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</si>
  <si>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</si>
  <si>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</si>
  <si>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</si>
  <si>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</si>
  <si>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</si>
  <si>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</si>
  <si>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</si>
  <si>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</si>
  <si>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</si>
  <si>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</si>
  <si>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</si>
  <si>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</si>
  <si>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</si>
  <si>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</si>
  <si>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</si>
  <si>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</si>
  <si>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</si>
  <si>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</si>
  <si>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</si>
  <si>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</si>
  <si>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</si>
  <si>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</si>
  <si>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</si>
  <si>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</si>
  <si>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</si>
  <si>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</si>
  <si>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</si>
  <si>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</si>
  <si>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</si>
  <si>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</si>
  <si>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</si>
  <si>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</si>
  <si>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</si>
  <si>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</si>
  <si>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</si>
  <si>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</si>
  <si>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</si>
  <si>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</si>
  <si>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</si>
  <si>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</si>
  <si>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</si>
  <si>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</si>
  <si>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</si>
  <si>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</si>
  <si>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</si>
  <si>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</si>
  <si>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</si>
  <si>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</si>
  <si>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</si>
  <si>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</si>
  <si>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</si>
  <si>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</si>
  <si>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</si>
  <si>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</si>
  <si>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</si>
  <si>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</si>
  <si>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</si>
  <si>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</si>
  <si>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</si>
  <si>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</si>
  <si>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</si>
  <si>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</si>
  <si>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</si>
  <si>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</si>
  <si>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</si>
  <si>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</si>
  <si>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</si>
  <si>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</si>
  <si>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</si>
  <si>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</si>
  <si>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</si>
  <si>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</si>
  <si>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</si>
  <si>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</si>
  <si>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</si>
  <si>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</si>
  <si>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</si>
  <si>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</si>
  <si>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</si>
  <si>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</si>
  <si>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</si>
  <si>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</si>
  <si>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</si>
  <si>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</si>
  <si>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</si>
  <si>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</si>
  <si>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</si>
  <si>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</si>
  <si>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</si>
  <si>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</si>
  <si>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</si>
  <si>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</si>
  <si>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</si>
  <si>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</si>
  <si>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</si>
  <si>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</si>
  <si>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</si>
  <si>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</si>
  <si>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</si>
  <si>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</si>
  <si>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</si>
  <si>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</si>
  <si>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</si>
  <si>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</si>
  <si>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</si>
  <si>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</si>
  <si>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</si>
  <si>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</si>
  <si>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</si>
  <si>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</si>
  <si>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</si>
  <si>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</si>
  <si>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</si>
  <si>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</si>
  <si>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</si>
  <si>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</si>
  <si>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</si>
  <si>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</si>
  <si>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</si>
  <si>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</si>
  <si>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</si>
  <si>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</si>
  <si>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</si>
  <si>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</si>
  <si>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</si>
  <si>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</si>
  <si>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</si>
  <si>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</si>
  <si>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</si>
  <si>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</si>
  <si>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</si>
  <si>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</si>
  <si>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</si>
  <si>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</si>
  <si>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</si>
  <si>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</si>
  <si>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</si>
  <si>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</si>
  <si>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</si>
  <si>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</si>
  <si>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</si>
  <si>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</si>
  <si>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</si>
  <si>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</si>
  <si>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</si>
  <si>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</si>
  <si>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</si>
  <si>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</si>
  <si>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</si>
  <si>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</si>
  <si>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</si>
  <si>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</si>
  <si>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</si>
  <si>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</si>
  <si>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</si>
  <si>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</si>
  <si>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</si>
  <si>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</si>
  <si>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</si>
  <si>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</si>
  <si>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</si>
  <si>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</si>
  <si>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</si>
  <si>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</si>
  <si>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</si>
  <si>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</si>
  <si>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</si>
  <si>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</si>
  <si>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</si>
  <si>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</si>
  <si>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</si>
  <si>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</si>
  <si>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</si>
  <si>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</si>
  <si>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</si>
  <si>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</si>
  <si>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</si>
  <si>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</si>
  <si>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</si>
  <si>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</si>
  <si>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</si>
  <si>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</si>
  <si>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</si>
  <si>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</si>
  <si>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</si>
  <si>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</si>
  <si>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</si>
  <si>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</si>
  <si>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</si>
  <si>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</si>
  <si>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</si>
  <si>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</si>
  <si>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</si>
  <si>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</si>
  <si>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</si>
  <si>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</si>
  <si>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</si>
  <si>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</si>
  <si>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</si>
  <si>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</si>
  <si>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</si>
  <si>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</si>
  <si>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</si>
  <si>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</si>
  <si>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</si>
  <si>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</si>
  <si>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</si>
  <si>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</si>
  <si>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</si>
  <si>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</si>
  <si>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</si>
  <si>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</si>
  <si>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</si>
  <si>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</si>
  <si>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</si>
  <si>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</si>
  <si>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</si>
  <si>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</si>
  <si>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</si>
  <si>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</si>
  <si>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</si>
  <si>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</si>
  <si>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</si>
  <si>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</si>
  <si>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</si>
  <si>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</si>
  <si>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</si>
  <si>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</si>
  <si>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</si>
  <si>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</si>
  <si>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</si>
  <si>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</si>
  <si>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</si>
  <si>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</si>
  <si>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</si>
  <si>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</si>
  <si>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</si>
  <si>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</si>
  <si>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</si>
  <si>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</si>
  <si>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</si>
  <si>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</si>
  <si>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</si>
  <si>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</si>
  <si>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</si>
  <si>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</si>
  <si>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</si>
  <si>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</si>
  <si>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</si>
  <si>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</si>
  <si>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</si>
  <si>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</si>
  <si>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</si>
  <si>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</si>
  <si>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</si>
  <si>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</si>
  <si>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</si>
  <si>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</si>
  <si>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</si>
  <si>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</si>
  <si>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</si>
  <si>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</si>
  <si>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</si>
  <si>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</si>
  <si>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</si>
  <si>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</si>
  <si>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</si>
  <si>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</si>
  <si>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</si>
  <si>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</si>
  <si>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</si>
  <si>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</si>
  <si>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</si>
  <si>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</si>
  <si>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</si>
  <si>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</si>
  <si>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</si>
  <si>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</si>
  <si>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</si>
  <si>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</si>
  <si>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</si>
  <si>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</si>
  <si>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</si>
  <si>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</si>
  <si>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</si>
  <si>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</si>
  <si>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</si>
  <si>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</si>
  <si>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</si>
  <si>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</si>
  <si>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</si>
  <si>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</si>
  <si>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</si>
  <si>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</si>
  <si>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</si>
  <si>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</si>
  <si>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</si>
  <si>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</si>
  <si>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</si>
  <si>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</si>
  <si>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</si>
  <si>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</si>
  <si>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</si>
  <si>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</si>
  <si>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</si>
  <si>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</si>
  <si>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</si>
  <si>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</si>
  <si>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</si>
  <si>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</si>
  <si>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</si>
  <si>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</si>
  <si>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</si>
  <si>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</si>
  <si>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</si>
  <si>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</si>
  <si>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</si>
  <si>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</si>
  <si>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</si>
  <si>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</si>
  <si>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</si>
  <si>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</si>
  <si>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</si>
  <si>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</si>
  <si>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</si>
  <si>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</si>
  <si>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</si>
  <si>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</si>
  <si>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</si>
  <si>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</si>
  <si>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</si>
  <si>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</si>
  <si>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</si>
  <si>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</si>
  <si>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</si>
  <si>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</si>
  <si>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</si>
  <si>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</si>
  <si>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</si>
  <si>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</si>
  <si>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</si>
  <si>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</si>
  <si>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</si>
  <si>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</si>
  <si>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</si>
  <si>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</si>
  <si>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</si>
  <si>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</si>
  <si>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</si>
  <si>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</si>
  <si>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</si>
  <si>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</si>
  <si>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</si>
  <si>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</si>
  <si>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</si>
  <si>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</si>
  <si>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</si>
  <si>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</si>
  <si>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</si>
  <si>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</si>
  <si>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</si>
  <si>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</si>
  <si>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</si>
  <si>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</si>
  <si>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</si>
  <si>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</si>
  <si>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</si>
  <si>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</si>
  <si>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</si>
  <si>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</si>
  <si>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</si>
  <si>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</si>
  <si>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</si>
  <si>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</si>
  <si>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</si>
  <si>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</si>
  <si>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</si>
  <si>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</si>
  <si>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</si>
  <si>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</si>
  <si>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</si>
  <si>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</si>
  <si>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</si>
  <si>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</si>
  <si>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</si>
  <si>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</si>
  <si>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</si>
  <si>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</si>
  <si>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560-49-6611</t>
  </si>
  <si>
    <t>880-35-0356</t>
  </si>
  <si>
    <t>470-31-3286</t>
  </si>
  <si>
    <t>484-22-8230</t>
  </si>
  <si>
    <t>830-58-2383</t>
  </si>
  <si>
    <t>559-98-9873</t>
  </si>
  <si>
    <t>421-95-9805</t>
  </si>
  <si>
    <t>277-35-5865</t>
  </si>
  <si>
    <t>443-59-0061</t>
  </si>
  <si>
    <t>641-96-3695</t>
  </si>
  <si>
    <t>852-62-7105</t>
  </si>
  <si>
    <t>816-57-2053</t>
  </si>
  <si>
    <t>655-07-2265</t>
  </si>
  <si>
    <t>610-46-4100</t>
  </si>
  <si>
    <t>364-33-8584</t>
  </si>
  <si>
    <t>742-04-5161</t>
  </si>
  <si>
    <t>149-15-7606</t>
  </si>
  <si>
    <t>322-02-2271</t>
  </si>
  <si>
    <t>641-51-2661</t>
  </si>
  <si>
    <t>518-17-2983</t>
  </si>
  <si>
    <t>576-31-4774</t>
  </si>
  <si>
    <t>811-03-8790</t>
  </si>
  <si>
    <t>648-94-3045</t>
  </si>
  <si>
    <t>130-67-4723</t>
  </si>
  <si>
    <t>528-87-5606</t>
  </si>
  <si>
    <t>370-96-0655</t>
  </si>
  <si>
    <t>241-96-5076</t>
  </si>
  <si>
    <t>767-97-4650</t>
  </si>
  <si>
    <t>266-20-6657</t>
  </si>
  <si>
    <t>689-05-1884</t>
  </si>
  <si>
    <t>196-01-2849</t>
  </si>
  <si>
    <t>182-52-7000</t>
  </si>
  <si>
    <t>826-58-8051</t>
  </si>
  <si>
    <t>751-41-9720</t>
  </si>
  <si>
    <t>626-43-7888</t>
  </si>
  <si>
    <t>729-06-2010</t>
  </si>
  <si>
    <t>640-48-5028</t>
  </si>
  <si>
    <t>268-20-3585</t>
  </si>
  <si>
    <t>258-92-7466</t>
  </si>
  <si>
    <t>418-05-0656</t>
  </si>
  <si>
    <t>592-46-1692</t>
  </si>
  <si>
    <t>434-35-9162</t>
  </si>
  <si>
    <t>149-14-0304</t>
  </si>
  <si>
    <t>442-44-6497</t>
  </si>
  <si>
    <t>174-64-0215</t>
  </si>
  <si>
    <t>299-29-0180</t>
  </si>
  <si>
    <t>247-11-2470</t>
  </si>
  <si>
    <t>756-49-0168</t>
  </si>
  <si>
    <t>238-45-6950</t>
  </si>
  <si>
    <t>607-65-2441</t>
  </si>
  <si>
    <t>197-77-7132</t>
  </si>
  <si>
    <t>373-14-0504</t>
  </si>
  <si>
    <t>345-68-9016</t>
  </si>
  <si>
    <t>390-17-5806</t>
  </si>
  <si>
    <t>457-13-1708</t>
  </si>
  <si>
    <t>585-86-8361</t>
  </si>
  <si>
    <t>652-43-6591</t>
  </si>
  <si>
    <t>406-46-7107</t>
  </si>
  <si>
    <t>842-40-8179</t>
  </si>
  <si>
    <t>593-14-4239</t>
  </si>
  <si>
    <t>801-88-0346</t>
  </si>
  <si>
    <t>471-06-8611</t>
  </si>
  <si>
    <t>102-77-2261</t>
  </si>
  <si>
    <t>875-31-8302</t>
  </si>
  <si>
    <t>534-53-3526</t>
  </si>
  <si>
    <t>307-04-2070</t>
  </si>
  <si>
    <t>468-99-7231</t>
  </si>
  <si>
    <t>404-91-5964</t>
  </si>
  <si>
    <t>651-96-5970</t>
  </si>
  <si>
    <t>401-09-4232</t>
  </si>
  <si>
    <t>751-15-6198</t>
  </si>
  <si>
    <t>324-41-6833</t>
  </si>
  <si>
    <t>759-29-9521</t>
  </si>
  <si>
    <t>257-60-7754</t>
  </si>
  <si>
    <t>815-04-6282</t>
  </si>
  <si>
    <t>190-59-3964</t>
  </si>
  <si>
    <t>784-21-9238</t>
  </si>
  <si>
    <t>276-75-6884</t>
  </si>
  <si>
    <t>416-17-9926</t>
  </si>
  <si>
    <t>343-75-9322</t>
  </si>
  <si>
    <t>427-45-9297</t>
  </si>
  <si>
    <t>288-62-1085</t>
  </si>
  <si>
    <t>670-71-7306</t>
  </si>
  <si>
    <t>271-77-8740</t>
  </si>
  <si>
    <t>860-73-6466</t>
  </si>
  <si>
    <t>845-94-6841</t>
  </si>
  <si>
    <t>770-42-8960</t>
  </si>
  <si>
    <t>748-45-2862</t>
  </si>
  <si>
    <t>840-76-5966</t>
  </si>
  <si>
    <t>533-66-5566</t>
  </si>
  <si>
    <t>124-31-1458</t>
  </si>
  <si>
    <t>631-34-1880</t>
  </si>
  <si>
    <t>852-82-2749</t>
  </si>
  <si>
    <t>885-56-0389</t>
  </si>
  <si>
    <t>490-95-0021</t>
  </si>
  <si>
    <t>325-89-4209</t>
  </si>
  <si>
    <t>114-35-5271</t>
  </si>
  <si>
    <t>607-76-6216</t>
  </si>
  <si>
    <t>715-20-1673</t>
  </si>
  <si>
    <t>811-35-1094</t>
  </si>
  <si>
    <t>409-49-6995</t>
  </si>
  <si>
    <t>725-54-0677</t>
  </si>
  <si>
    <t>146-09-5432</t>
  </si>
  <si>
    <t>509-10-0516</t>
  </si>
  <si>
    <t>450-42-3339</t>
  </si>
  <si>
    <t>453-33-6436</t>
  </si>
  <si>
    <t>717-96-4189</t>
  </si>
  <si>
    <t>749-81-8133</t>
  </si>
  <si>
    <t>636-98-3364</t>
  </si>
  <si>
    <t>246-55-6923</t>
  </si>
  <si>
    <t>181-82-6255</t>
  </si>
  <si>
    <t>887-42-0517</t>
  </si>
  <si>
    <t>226-34-0034</t>
  </si>
  <si>
    <t>825-94-5922</t>
  </si>
  <si>
    <t>756-93-1854</t>
  </si>
  <si>
    <t>501-61-1753</t>
  </si>
  <si>
    <t>433-08-7822</t>
  </si>
  <si>
    <t>720-72-2436</t>
  </si>
  <si>
    <t>489-82-1237</t>
  </si>
  <si>
    <t>676-10-2200</t>
  </si>
  <si>
    <t>373-88-1424</t>
  </si>
  <si>
    <t>305-89-2768</t>
  </si>
  <si>
    <t>200-40-6154</t>
  </si>
  <si>
    <t>846-10-0341</t>
  </si>
  <si>
    <t>577-34-7579</t>
  </si>
  <si>
    <t>430-02-3888</t>
  </si>
  <si>
    <t>867-47-1948</t>
  </si>
  <si>
    <t>324-92-3863</t>
  </si>
  <si>
    <t>172-42-8274</t>
  </si>
  <si>
    <t>558-60-5016</t>
  </si>
  <si>
    <t>214-30-2776</t>
  </si>
  <si>
    <t>746-04-1077</t>
  </si>
  <si>
    <t>448-34-8700</t>
  </si>
  <si>
    <t>531-56-4728</t>
  </si>
  <si>
    <t>744-82-9138</t>
  </si>
  <si>
    <t>883-69-1285</t>
  </si>
  <si>
    <t>221-25-5073</t>
  </si>
  <si>
    <t>156-20-0370</t>
  </si>
  <si>
    <t>151-33-7434</t>
  </si>
  <si>
    <t>189-40-5216</t>
  </si>
  <si>
    <t>374-38-5555</t>
  </si>
  <si>
    <t>552-44-5977</t>
  </si>
  <si>
    <t>745-74-0715</t>
  </si>
  <si>
    <t>303-96-2227</t>
  </si>
  <si>
    <t>727-02-1313</t>
  </si>
  <si>
    <t>C.O.G.S</t>
  </si>
  <si>
    <t>Day</t>
  </si>
  <si>
    <t>Month</t>
  </si>
  <si>
    <t>Year</t>
  </si>
  <si>
    <t>gross margin %</t>
  </si>
  <si>
    <t>Payment type</t>
  </si>
  <si>
    <t>DATE</t>
  </si>
  <si>
    <t>QUANTITY</t>
  </si>
  <si>
    <t>SALE TYPE</t>
  </si>
  <si>
    <t>PAYMENT MODE</t>
  </si>
  <si>
    <t>INVOICE ID</t>
  </si>
  <si>
    <t>CATEGORY TYPE</t>
  </si>
  <si>
    <t>TOTAL C.O.G.S</t>
  </si>
  <si>
    <t>TOTAL SELLING PRICE</t>
  </si>
  <si>
    <t>UNIT PRICE</t>
  </si>
  <si>
    <t>TAX 5%</t>
  </si>
  <si>
    <t>DAY</t>
  </si>
  <si>
    <t>MONTH</t>
  </si>
  <si>
    <t>YEAR</t>
  </si>
  <si>
    <t>BRANCH NAME</t>
  </si>
  <si>
    <t>Sum of TOTAL SELLING PRICE</t>
  </si>
  <si>
    <t>Row Labels</t>
  </si>
  <si>
    <t>Total sales</t>
  </si>
  <si>
    <t>January</t>
  </si>
  <si>
    <t>February</t>
  </si>
  <si>
    <t>March</t>
  </si>
  <si>
    <t>April</t>
  </si>
  <si>
    <t>May</t>
  </si>
  <si>
    <t>June</t>
  </si>
  <si>
    <t>July</t>
  </si>
  <si>
    <t>August</t>
  </si>
  <si>
    <t>September</t>
  </si>
  <si>
    <t>October</t>
  </si>
  <si>
    <t>November</t>
  </si>
  <si>
    <t>December</t>
  </si>
  <si>
    <t>Sum of TOTAL C.O.G.S</t>
  </si>
  <si>
    <t>TOTAL COGS</t>
  </si>
  <si>
    <t>TOTAL SALES</t>
  </si>
  <si>
    <t>Units</t>
  </si>
  <si>
    <t>Invoice</t>
  </si>
  <si>
    <t>Category</t>
  </si>
  <si>
    <t>Payment mode</t>
  </si>
  <si>
    <t>Profit %</t>
  </si>
  <si>
    <t>Total profit</t>
  </si>
  <si>
    <t>Profit</t>
  </si>
  <si>
    <t>Total Sales</t>
  </si>
  <si>
    <t>Grand Total</t>
  </si>
  <si>
    <t>01-Jan</t>
  </si>
  <si>
    <t>03-Jan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</si>
  <si>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</si>
  <si>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</si>
  <si>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</si>
  <si>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</si>
  <si>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</si>
  <si>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</si>
  <si>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</si>
  <si>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</si>
  <si>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</si>
  <si>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</si>
  <si>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</si>
  <si>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</si>
  <si>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</si>
  <si>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</si>
  <si>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</si>
  <si>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</si>
  <si>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</si>
  <si>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</si>
  <si>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</si>
  <si>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</si>
  <si>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</si>
  <si>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</si>
  <si>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13-Feb</t>
  </si>
  <si>
    <t>14-Feb</t>
  </si>
  <si>
    <t>15-Feb</t>
  </si>
  <si>
    <t>16-Feb</t>
  </si>
  <si>
    <t>17-Feb</t>
  </si>
  <si>
    <t>18-Feb</t>
  </si>
  <si>
    <t>19-Feb</t>
  </si>
  <si>
    <t>20-Feb</t>
  </si>
  <si>
    <t>21-Feb</t>
  </si>
  <si>
    <t>22-Feb</t>
  </si>
  <si>
    <t>23-Feb</t>
  </si>
  <si>
    <t>24-Feb</t>
  </si>
  <si>
    <t>25-Feb</t>
  </si>
  <si>
    <t>26-Feb</t>
  </si>
  <si>
    <t>27-Feb</t>
  </si>
  <si>
    <t>28-Feb</t>
  </si>
  <si>
    <t>01-Mar</t>
  </si>
  <si>
    <t>02-Mar</t>
  </si>
  <si>
    <t>03-Mar</t>
  </si>
  <si>
    <t>13-Mar</t>
  </si>
  <si>
    <t>14-Mar</t>
  </si>
  <si>
    <t>15-Mar</t>
  </si>
  <si>
    <t>16-Mar</t>
  </si>
  <si>
    <t>17-Mar</t>
  </si>
  <si>
    <t>18-Mar</t>
  </si>
  <si>
    <t>19-Mar</t>
  </si>
  <si>
    <t>20-Mar</t>
  </si>
  <si>
    <t>21-Mar</t>
  </si>
  <si>
    <t>22-Mar</t>
  </si>
  <si>
    <t>23-Mar</t>
  </si>
  <si>
    <t>24-Mar</t>
  </si>
  <si>
    <t>25-Mar</t>
  </si>
  <si>
    <t>26-Mar</t>
  </si>
  <si>
    <t>27-Mar</t>
  </si>
  <si>
    <t>28-Mar</t>
  </si>
  <si>
    <t>29-Mar</t>
  </si>
  <si>
    <t>30-Mar</t>
  </si>
  <si>
    <t>02-Apr</t>
  </si>
  <si>
    <t>03-Apr</t>
  </si>
  <si>
    <t>01-May</t>
  </si>
  <si>
    <t>02-May</t>
  </si>
  <si>
    <t>03-May</t>
  </si>
  <si>
    <t>01-Jun</t>
  </si>
  <si>
    <t>02-Jun</t>
  </si>
  <si>
    <t>03-Jun</t>
  </si>
  <si>
    <t>02-Jul</t>
  </si>
  <si>
    <t>03-Jul</t>
  </si>
  <si>
    <t>01-Aug</t>
  </si>
  <si>
    <t>02-Aug</t>
  </si>
  <si>
    <t>03-Aug</t>
  </si>
  <si>
    <t>01-Sep</t>
  </si>
  <si>
    <t>02-Sep</t>
  </si>
  <si>
    <t>03-Sep</t>
  </si>
  <si>
    <t>01-Oct</t>
  </si>
  <si>
    <t>02-Oct</t>
  </si>
  <si>
    <t>03-Oct</t>
  </si>
  <si>
    <t>01-Nov</t>
  </si>
  <si>
    <t>02-Nov</t>
  </si>
  <si>
    <t>03-Nov</t>
  </si>
  <si>
    <t>01-Dec</t>
  </si>
  <si>
    <t>02-Dec</t>
  </si>
  <si>
    <t>03-Dec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</si>
</sst>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F400]h:mm:ss\ AM/PM"/>
    <numFmt numFmtId="165" formatCode="&quot;Ksh&quot;#,##0.00"/>
    <numFmt numFmtId="166" formatCode="&quot;Ksh&quot;\ #,##0.00;[Red]&quot;Ksh&quot;\ #,##0.00"/>
    <numFmt numFmtId="167" formatCode="&quot;Ksh&quot;\ #,##0.00"/>
  </numFmts>
  <fonts count="5" x14ac:knownFonts="1">
    <font>
      <sz val="8"/>
      <color theme="1"/>
      <name val="Trebuchet MS"/>
      <family val="2"/>
    </font>
    <font>
      <sz val="8"/>
      <name val="Trebuchet MS"/>
      <family val="2"/>
    </font>
    <font>
      <b/>
      <sz val="8"/>
      <color theme="1"/>
      <name val="Trebuchet MS"/>
      <family val="2"/>
    </font>
    <font>
      <b/>
      <sz val="8"/>
      <color theme="0"/>
      <name val="Trebuchet MS"/>
      <family val="2"/>
    </font>
    <font>
      <sz val="8"/>
      <color theme="1"/>
      <name val="Trebuchet MS"/>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24">
    <xf numFmtId="0" fontId="0" fillId="0" borderId="0" xfId="0"/>
    <xf numFmtId="164" fontId="0" fillId="0" borderId="0" xfId="0" applyNumberFormat="1"/>
    <xf numFmtId="14" fontId="0" fillId="0" borderId="0" xfId="0" applyNumberFormat="1" applyAlignment="1">
      <alignment horizontal="center"/>
    </xf>
    <xf numFmtId="165" fontId="0" fillId="0" borderId="0" xfId="0" applyNumberFormat="1"/>
    <xf numFmtId="2"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14" fontId="3" fillId="2" borderId="0" xfId="0" applyNumberFormat="1" applyFont="1" applyFill="1" applyAlignment="1">
      <alignment horizontal="center"/>
    </xf>
    <xf numFmtId="0" fontId="3" fillId="2" borderId="0" xfId="0" applyFont="1" applyFill="1" applyAlignment="1">
      <alignment horizontal="center"/>
    </xf>
    <xf numFmtId="1" fontId="3" fillId="2" borderId="0" xfId="0" applyNumberFormat="1" applyFont="1" applyFill="1" applyAlignment="1">
      <alignment horizontal="center"/>
    </xf>
    <xf numFmtId="0" fontId="2" fillId="0" borderId="0" xfId="0" applyFont="1" applyAlignment="1">
      <alignment horizontal="center"/>
    </xf>
    <xf numFmtId="166" fontId="0" fillId="0" borderId="0" xfId="0" applyNumberFormat="1" applyAlignment="1">
      <alignment horizontal="center"/>
    </xf>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1" applyFont="1"/>
    <xf numFmtId="167" fontId="0" fillId="0" borderId="0" xfId="0" applyNumberFormat="1"/>
    <xf numFmtId="9" fontId="0" fillId="0" borderId="0" xfId="1" applyFont="1" applyAlignment="1">
      <alignment horizontal="center"/>
    </xf>
    <xf numFmtId="43" fontId="0" fillId="0" borderId="0" xfId="2" applyFont="1"/>
    <xf numFmtId="1" fontId="0" fillId="0" borderId="0" xfId="2" applyNumberFormat="1" applyFont="1"/>
    <xf numFmtId="167" fontId="0" fillId="0" borderId="0" xfId="2" applyNumberFormat="1" applyFont="1"/>
    <xf numFmtId="0" fontId="0" fillId="0" borderId="0" xfId="0" applyFill="1"/>
  </cellXfs>
  <cellStyles count="3">
    <cellStyle name="Comma" xfId="2" builtinId="3"/>
    <cellStyle name="Normal" xfId="0" builtinId="0"/>
    <cellStyle name="Percent" xfId="1" builtinId="5"/>
  </cellStyles>
  <dxfs count="35">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166" formatCode="&quot;Ksh&quot;\ #,##0.00;[Red]&quot;Ksh&quot;\ #,##0.00"/>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166" formatCode="&quot;Ksh&quot;\ #,##0.00;[Red]&quot;Ksh&quot;\ #,##0.00"/>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166" formatCode="&quot;Ksh&quot;\ #,##0.00;[Red]&quot;Ksh&quot;\ #,##0.00"/>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8"/>
        <color theme="1"/>
        <name val="Trebuchet MS"/>
        <family val="2"/>
        <scheme val="none"/>
      </font>
      <alignment horizontal="center" vertical="bottom" textRotation="0" wrapText="0" indent="0" justifyLastLine="0" shrinkToFit="0" readingOrder="0"/>
    </dxf>
    <dxf>
      <font>
        <b/>
        <i val="0"/>
        <strike val="0"/>
        <condense val="0"/>
        <extend val="0"/>
        <outline val="0"/>
        <shadow val="0"/>
        <u val="none"/>
        <vertAlign val="baseline"/>
        <sz val="8"/>
        <color theme="0"/>
        <name val="Trebuchet MS"/>
        <family val="2"/>
        <scheme val="none"/>
      </font>
      <fill>
        <patternFill patternType="solid">
          <fgColor indexed="64"/>
          <bgColor rgb="FF00B0F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Ksh&quot;#,##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quot;Ksh&quot;#,##0.00"/>
    </dxf>
    <dxf>
      <numFmt numFmtId="0" formatCode="General"/>
    </dxf>
    <dxf>
      <numFmt numFmtId="164" formatCode="[$-F400]h:mm:ss\ AM/PM"/>
    </dxf>
    <dxf>
      <numFmt numFmtId="19" formatCode="dd/mm/yyyy"/>
      <alignment horizontal="center" vertical="bottom" textRotation="0" wrapText="0" indent="0" justifyLastLine="0" shrinkToFit="0" readingOrder="0"/>
    </dxf>
    <dxf>
      <numFmt numFmtId="165" formatCode="&quot;Ksh&quot;#,##0.00"/>
    </dxf>
    <dxf>
      <numFmt numFmtId="165" formatCode="&quot;Ksh&quot;#,##0.00"/>
    </dxf>
    <dxf>
      <alignment horizontal="center" vertical="bottom" textRotation="0" wrapText="0" indent="0" justifyLastLine="0" shrinkToFit="0" readingOrder="0"/>
    </dxf>
    <dxf>
      <numFmt numFmtId="165" formatCode="&quot;Ksh&quot;#,##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1" pivot="0" table="0" count="1" xr9:uid="{D6CB915B-6337-4CDA-8E86-617DC145152C}"/>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Analysis!$AC$3:$AC$12</c:f>
              <c:strCache>
                <c:ptCount val="10"/>
                <c:pt idx="0">
                  <c:v>101-17-6199</c:v>
                </c:pt>
                <c:pt idx="1">
                  <c:v>102-77-2261</c:v>
                </c:pt>
                <c:pt idx="2">
                  <c:v>105-31-1824</c:v>
                </c:pt>
                <c:pt idx="3">
                  <c:v>106-35-6779</c:v>
                </c:pt>
                <c:pt idx="4">
                  <c:v>109-28-2512</c:v>
                </c:pt>
                <c:pt idx="5">
                  <c:v>110-05-6330</c:v>
                </c:pt>
                <c:pt idx="6">
                  <c:v>110-48-7033</c:v>
                </c:pt>
                <c:pt idx="7">
                  <c:v>114-35-5271</c:v>
                </c:pt>
                <c:pt idx="8">
                  <c:v>115-99-4379</c:v>
                </c:pt>
                <c:pt idx="9">
                  <c:v>120-06-4233</c:v>
                </c:pt>
              </c:strCache>
            </c:strRef>
          </c:cat>
          <c:val>
            <c:numRef>
              <c:f>Analysis!$AD$3:$AD$12</c:f>
              <c:numCache>
                <c:formatCode>_(* #,##0.00_);_(* \(#,##0.00\);_(* "-"??_);_(@_)</c:formatCode>
                <c:ptCount val="10"/>
                <c:pt idx="0">
                  <c:v>336.55650000000003</c:v>
                </c:pt>
                <c:pt idx="1">
                  <c:v>480.02850000000001</c:v>
                </c:pt>
                <c:pt idx="2">
                  <c:v>510.97199999999998</c:v>
                </c:pt>
                <c:pt idx="3">
                  <c:v>93.114000000000004</c:v>
                </c:pt>
                <c:pt idx="4">
                  <c:v>614.94299999999998</c:v>
                </c:pt>
                <c:pt idx="5">
                  <c:v>248.40899999999999</c:v>
                </c:pt>
                <c:pt idx="6">
                  <c:v>137.00399999999999</c:v>
                </c:pt>
                <c:pt idx="7">
                  <c:v>486.44400000000002</c:v>
                </c:pt>
                <c:pt idx="8">
                  <c:v>402.26549999999997</c:v>
                </c:pt>
                <c:pt idx="9">
                  <c:v>192.84299999999999</c:v>
                </c:pt>
              </c:numCache>
            </c:numRef>
          </c:val>
          <c:extLst>
            <c:ext xmlns:c16="http://schemas.microsoft.com/office/drawing/2014/chart" uri="{C3380CC4-5D6E-409C-BE32-E72D297353CC}">
              <c16:uniqueId val="{00000000-3016-44D3-9B02-E350CA1A6833}"/>
            </c:ext>
          </c:extLst>
        </c:ser>
        <c:dLbls>
          <c:showLegendKey val="0"/>
          <c:showVal val="0"/>
          <c:showCatName val="0"/>
          <c:showSerName val="0"/>
          <c:showPercent val="0"/>
          <c:showBubbleSize val="0"/>
        </c:dLbls>
        <c:gapWidth val="50"/>
        <c:axId val="489359512"/>
        <c:axId val="489359872"/>
      </c:barChart>
      <c:catAx>
        <c:axId val="489359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489359872"/>
        <c:crosses val="autoZero"/>
        <c:auto val="1"/>
        <c:lblAlgn val="ctr"/>
        <c:lblOffset val="100"/>
        <c:noMultiLvlLbl val="0"/>
      </c:catAx>
      <c:valAx>
        <c:axId val="489359872"/>
        <c:scaling>
          <c:orientation val="minMax"/>
        </c:scaling>
        <c:delete val="1"/>
        <c:axPos val="b"/>
        <c:numFmt formatCode="_(* #,##0.00_);_(* \(#,##0.00\);_(* &quot;-&quot;??_);_(@_)" sourceLinked="1"/>
        <c:majorTickMark val="none"/>
        <c:minorTickMark val="none"/>
        <c:tickLblPos val="nextTo"/>
        <c:crossAx val="48935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0F-42D5-91A2-D5C666C0A9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0F-42D5-91A2-D5C666C0A9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0F-42D5-91A2-D5C666C0A9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bestFit"/>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Analysis!$AR$7:$AR$9</c:f>
              <c:strCache>
                <c:ptCount val="3"/>
                <c:pt idx="0">
                  <c:v>Alex</c:v>
                </c:pt>
                <c:pt idx="1">
                  <c:v>Cairo</c:v>
                </c:pt>
                <c:pt idx="2">
                  <c:v>Giza</c:v>
                </c:pt>
              </c:strCache>
            </c:strRef>
          </c:cat>
          <c:val>
            <c:numRef>
              <c:f>Analysis!$AS$7:$AS$9</c:f>
              <c:numCache>
                <c:formatCode>"Ksh"\ #,##0.00</c:formatCode>
                <c:ptCount val="3"/>
                <c:pt idx="0">
                  <c:v>78510.610500000024</c:v>
                </c:pt>
                <c:pt idx="1">
                  <c:v>78728.653499999986</c:v>
                </c:pt>
                <c:pt idx="2">
                  <c:v>83395.871999999974</c:v>
                </c:pt>
              </c:numCache>
            </c:numRef>
          </c:val>
          <c:extLst>
            <c:ext xmlns:c16="http://schemas.microsoft.com/office/drawing/2014/chart" uri="{C3380CC4-5D6E-409C-BE32-E72D297353CC}">
              <c16:uniqueId val="{00000006-D20F-42D5-91A2-D5C666C0A9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E5-4A04-84F5-0D96AF1EE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E5-4A04-84F5-0D96AF1EE0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E5-4A04-84F5-0D96AF1EE022}"/>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KE"/>
              </a:p>
            </c:txPr>
            <c:dLblPos val="inEnd"/>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Analysis!$AO$7:$AO$9</c:f>
              <c:strCache>
                <c:ptCount val="3"/>
                <c:pt idx="0">
                  <c:v>Cash</c:v>
                </c:pt>
                <c:pt idx="1">
                  <c:v>Credit card</c:v>
                </c:pt>
                <c:pt idx="2">
                  <c:v>Ewallet</c:v>
                </c:pt>
              </c:strCache>
            </c:strRef>
          </c:cat>
          <c:val>
            <c:numRef>
              <c:f>Analysis!$AP$7:$AP$9</c:f>
              <c:numCache>
                <c:formatCode>"Ksh"\ #,##0.00</c:formatCode>
                <c:ptCount val="3"/>
                <c:pt idx="0">
                  <c:v>85657.309499999959</c:v>
                </c:pt>
                <c:pt idx="1">
                  <c:v>77393.568000000043</c:v>
                </c:pt>
                <c:pt idx="2">
                  <c:v>77584.258499999996</c:v>
                </c:pt>
              </c:numCache>
            </c:numRef>
          </c:val>
          <c:extLst>
            <c:ext xmlns:c16="http://schemas.microsoft.com/office/drawing/2014/chart" uri="{C3380CC4-5D6E-409C-BE32-E72D297353CC}">
              <c16:uniqueId val="{00000006-66E5-4A04-84F5-0D96AF1EE02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[S.MARKET DATA.xlsx]Analysis!Sales by month</c:name>
    <c:fmtId val="7"/>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Analysis!$E$2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Analysis!$D$3:$D$14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Analysis!$E$3:$E$14</c:f>
              <c:numCache>
                <c:formatCode>"Ksh"\ #,##0.00;[Red]"Ksh"\ #,##0.00</c:formatCode>
                <c:ptCount val="12"/>
                <c:pt idx="0">
                  <c:v>75160.511999999988</c:v>
                </c:pt>
                <c:pt idx="1">
                  <c:v>59986.237500000003</c:v>
                </c:pt>
                <c:pt idx="2">
                  <c:v>68749.275000000009</c:v>
                </c:pt>
                <c:pt idx="3">
                  <c:v>2870.4585000000002</c:v>
                </c:pt>
                <c:pt idx="4">
                  <c:v>5022.2550000000001</c:v>
                </c:pt>
                <c:pt idx="5">
                  <c:v>3199.9064999999996</c:v>
                </c:pt>
                <c:pt idx="6">
                  <c:v>3681.9929999999999</c:v>
                </c:pt>
                <c:pt idx="7">
                  <c:v>3854.1089999999995</c:v>
                </c:pt>
                <c:pt idx="8">
                  <c:v>5680.9199999999992</c:v>
                </c:pt>
                <c:pt idx="9">
                  <c:v>3698.3204999999998</c:v>
                </c:pt>
                <c:pt idx="10">
                  <c:v>3678.5385000000001</c:v>
                </c:pt>
                <c:pt idx="11">
                  <c:v>5052.6104999999989</c:v>
                </c:pt>
              </c:numCache>
            </c:numRef>
          </c:val>
          <c:extLst>
            <c:ext xmlns:c16="http://schemas.microsoft.com/office/drawing/2014/chart" uri="{C3380CC4-5D6E-409C-BE32-E72D297353CC}">
              <c16:uniqueId val="{00000000-B1CB-4F85-B1C8-8A1336BD04E7}"/>
            </c:ext>
          </c:extLst>
        </c:ser>
        <c:dLbls>
          <c:showLegendKey val="0"/>
          <c:showVal val="0"/>
          <c:showCatName val="0"/>
          <c:showSerName val="0"/>
          <c:showPercent val="0"/>
          <c:showBubbleSize val="0"/>
        </c:dLbls>
        <c:axId val="808609184"/>
        <c:axId val="808609544"/>
      </c:areaChart>
      <c:catAx>
        <c:axId val="808609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E"/>
          </a:p>
        </c:txPr>
        <c:crossAx val="808609544"/>
        <c:crosses val="autoZero"/>
        <c:auto val="1"/>
        <c:lblAlgn val="ctr"/>
        <c:lblOffset val="100"/>
        <c:noMultiLvlLbl val="0"/>
      </c:catAx>
      <c:valAx>
        <c:axId val="808609544"/>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 #,##0.00;[Red]&quot;Ksh&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E"/>
          </a:p>
        </c:txPr>
        <c:crossAx val="808609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[S.MARKET DATA.xlsx]Analysis!Day2day/monthly sales</c:name>
    <c:fmtId val="4"/>
  </c:pivotSource>
  <c:chart>
    <c:autoTitleDeleted val="1"/>
    <c:pivotFmts>
      <c:pivotFmt>
        <c:idx val="0"/>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Analysis!$AV$2</c:f>
              <c:strCache>
                <c:ptCount val="1"/>
                <c:pt idx="0">
                  <c:v>Total</c:v>
                </c:pt>
              </c:strCache>
            </c:strRef>
          </c:tx>
          <c:spPr>
            <a:ln w="28575" cap="rnd">
              <a:solidFill>
                <a:schemeClr val="accent2"/>
              </a:solidFill>
              <a:round/>
            </a:ln>
            <a:effectLst/>
          </c:spPr>
          <c:marker>
            <c:symbol val="none"/>
          </c:marker>
          <c:cat>
            <c:strRef>
              <c:f>Analysis!$AU$3:$AU$89</c:f>
              <c:strCache>
                <c:ptCount val="86"/>
                <c:pt idx="0">
                  <c:v>01-Jan</c:v>
                </c:pt>
                <c:pt idx="1">
                  <c:v>03-Jan</c:v>
                </c:pt>
                <c:pt idx="2">
                  <c:v>13-Jan</c:v>
                </c:pt>
                <c:pt idx="3">
                  <c:v>14-Jan</c:v>
                </c:pt>
                <c:pt idx="4">
                  <c:v>15-Jan</c:v>
                </c:pt>
                <c:pt idx="5">
                  <c:v>16-Jan</c:v>
                </c:pt>
                <c:pt idx="6">
                  <c:v>17-Jan</c:v>
                </c:pt>
                <c:pt idx="7">
                  <c:v>18-Jan</c:v>
                </c:pt>
                <c:pt idx="8">
                  <c:v>19-Jan</c:v>
                </c:pt>
                <c:pt idx="9">
                  <c:v>20-Jan</c:v>
                </c:pt>
                <c:pt idx="10">
                  <c:v>21-Jan</c:v>
                </c:pt>
                <c:pt idx="11">
                  <c:v>22-Jan</c:v>
                </c:pt>
                <c:pt idx="12">
                  <c:v>23-Jan</c:v>
                </c:pt>
                <c:pt idx="13">
                  <c:v>24-Jan</c:v>
                </c:pt>
                <c:pt idx="14">
                  <c:v>25-Jan</c:v>
                </c:pt>
                <c:pt idx="15">
                  <c:v>26-Jan</c:v>
                </c:pt>
                <c:pt idx="16">
                  <c:v>27-Jan</c:v>
                </c:pt>
                <c:pt idx="17">
                  <c:v>28-Jan</c:v>
                </c:pt>
                <c:pt idx="18">
                  <c:v>29-Jan</c:v>
                </c:pt>
                <c:pt idx="19">
                  <c:v>30-Jan</c:v>
                </c:pt>
                <c:pt idx="20">
                  <c:v>31-Jan</c:v>
                </c:pt>
                <c:pt idx="21">
                  <c:v>01-Feb</c:v>
                </c:pt>
                <c:pt idx="22">
                  <c:v>02-Feb</c:v>
                </c:pt>
                <c:pt idx="23">
                  <c:v>03-Feb</c:v>
                </c:pt>
                <c:pt idx="24">
                  <c:v>13-Feb</c:v>
                </c:pt>
                <c:pt idx="25">
                  <c:v>14-Feb</c:v>
                </c:pt>
                <c:pt idx="26">
                  <c:v>15-Feb</c:v>
                </c:pt>
                <c:pt idx="27">
                  <c:v>16-Feb</c:v>
                </c:pt>
                <c:pt idx="28">
                  <c:v>17-Feb</c:v>
                </c:pt>
                <c:pt idx="29">
                  <c:v>18-Feb</c:v>
                </c:pt>
                <c:pt idx="30">
                  <c:v>19-Feb</c:v>
                </c:pt>
                <c:pt idx="31">
                  <c:v>20-Feb</c:v>
                </c:pt>
                <c:pt idx="32">
                  <c:v>21-Feb</c:v>
                </c:pt>
                <c:pt idx="33">
                  <c:v>22-Feb</c:v>
                </c:pt>
                <c:pt idx="34">
                  <c:v>23-Feb</c:v>
                </c:pt>
                <c:pt idx="35">
                  <c:v>24-Feb</c:v>
                </c:pt>
                <c:pt idx="36">
                  <c:v>25-Feb</c:v>
                </c:pt>
                <c:pt idx="37">
                  <c:v>26-Feb</c:v>
                </c:pt>
                <c:pt idx="38">
                  <c:v>27-Feb</c:v>
                </c:pt>
                <c:pt idx="39">
                  <c:v>28-Feb</c:v>
                </c:pt>
                <c:pt idx="40">
                  <c:v>01-Mar</c:v>
                </c:pt>
                <c:pt idx="41">
                  <c:v>02-Mar</c:v>
                </c:pt>
                <c:pt idx="42">
                  <c:v>03-Mar</c:v>
                </c:pt>
                <c:pt idx="43">
                  <c:v>13-Mar</c:v>
                </c:pt>
                <c:pt idx="44">
                  <c:v>14-Mar</c:v>
                </c:pt>
                <c:pt idx="45">
                  <c:v>15-Mar</c:v>
                </c:pt>
                <c:pt idx="46">
                  <c:v>16-Mar</c:v>
                </c:pt>
                <c:pt idx="47">
                  <c:v>17-Mar</c:v>
                </c:pt>
                <c:pt idx="48">
                  <c:v>18-Mar</c:v>
                </c:pt>
                <c:pt idx="49">
                  <c:v>19-Mar</c:v>
                </c:pt>
                <c:pt idx="50">
                  <c:v>20-Mar</c:v>
                </c:pt>
                <c:pt idx="51">
                  <c:v>21-Mar</c:v>
                </c:pt>
                <c:pt idx="52">
                  <c:v>22-Mar</c:v>
                </c:pt>
                <c:pt idx="53">
                  <c:v>23-Mar</c:v>
                </c:pt>
                <c:pt idx="54">
                  <c:v>24-Mar</c:v>
                </c:pt>
                <c:pt idx="55">
                  <c:v>25-Mar</c:v>
                </c:pt>
                <c:pt idx="56">
                  <c:v>26-Mar</c:v>
                </c:pt>
                <c:pt idx="57">
                  <c:v>27-Mar</c:v>
                </c:pt>
                <c:pt idx="58">
                  <c:v>28-Mar</c:v>
                </c:pt>
                <c:pt idx="59">
                  <c:v>29-Mar</c:v>
                </c:pt>
                <c:pt idx="60">
                  <c:v>30-Mar</c:v>
                </c:pt>
                <c:pt idx="61">
                  <c:v>02-Apr</c:v>
                </c:pt>
                <c:pt idx="62">
                  <c:v>03-Apr</c:v>
                </c:pt>
                <c:pt idx="63">
                  <c:v>01-May</c:v>
                </c:pt>
                <c:pt idx="64">
                  <c:v>02-May</c:v>
                </c:pt>
                <c:pt idx="65">
                  <c:v>03-May</c:v>
                </c:pt>
                <c:pt idx="66">
                  <c:v>01-Jun</c:v>
                </c:pt>
                <c:pt idx="67">
                  <c:v>02-Jun</c:v>
                </c:pt>
                <c:pt idx="68">
                  <c:v>03-Jun</c:v>
                </c:pt>
                <c:pt idx="69">
                  <c:v>02-Jul</c:v>
                </c:pt>
                <c:pt idx="70">
                  <c:v>03-Jul</c:v>
                </c:pt>
                <c:pt idx="71">
                  <c:v>01-Aug</c:v>
                </c:pt>
                <c:pt idx="72">
                  <c:v>02-Aug</c:v>
                </c:pt>
                <c:pt idx="73">
                  <c:v>03-Aug</c:v>
                </c:pt>
                <c:pt idx="74">
                  <c:v>01-Sep</c:v>
                </c:pt>
                <c:pt idx="75">
                  <c:v>02-Sep</c:v>
                </c:pt>
                <c:pt idx="76">
                  <c:v>03-Sep</c:v>
                </c:pt>
                <c:pt idx="77">
                  <c:v>01-Oct</c:v>
                </c:pt>
                <c:pt idx="78">
                  <c:v>02-Oct</c:v>
                </c:pt>
                <c:pt idx="79">
                  <c:v>03-Oct</c:v>
                </c:pt>
                <c:pt idx="80">
                  <c:v>01-Nov</c:v>
                </c:pt>
                <c:pt idx="81">
                  <c:v>02-Nov</c:v>
                </c:pt>
                <c:pt idx="82">
                  <c:v>03-Nov</c:v>
                </c:pt>
                <c:pt idx="83">
                  <c:v>01-Dec</c:v>
                </c:pt>
                <c:pt idx="84">
                  <c:v>02-Dec</c:v>
                </c:pt>
                <c:pt idx="85">
                  <c:v>03-Dec</c:v>
                </c:pt>
              </c:strCache>
            </c:strRef>
          </c:cat>
          <c:val>
            <c:numRef>
              <c:f>Analysis!$AV$3:$AV$89</c:f>
              <c:numCache>
                <c:formatCode>"Ksh"\ #,##0.00;[Red]"Ksh"\ #,##0.00</c:formatCode>
                <c:ptCount val="86"/>
                <c:pt idx="0">
                  <c:v>2142.9870000000001</c:v>
                </c:pt>
                <c:pt idx="1">
                  <c:v>674.37300000000005</c:v>
                </c:pt>
                <c:pt idx="2">
                  <c:v>3540.2325000000001</c:v>
                </c:pt>
                <c:pt idx="3">
                  <c:v>2451.0464999999999</c:v>
                </c:pt>
                <c:pt idx="4">
                  <c:v>3860.1884999999997</c:v>
                </c:pt>
                <c:pt idx="5">
                  <c:v>2777.1239999999998</c:v>
                </c:pt>
                <c:pt idx="6">
                  <c:v>3278.415</c:v>
                </c:pt>
                <c:pt idx="7">
                  <c:v>2982.3255000000004</c:v>
                </c:pt>
                <c:pt idx="8">
                  <c:v>3659.3865000000005</c:v>
                </c:pt>
                <c:pt idx="9">
                  <c:v>3205.4715000000006</c:v>
                </c:pt>
                <c:pt idx="10">
                  <c:v>1521.5864999999999</c:v>
                </c:pt>
                <c:pt idx="11">
                  <c:v>1932.7140000000002</c:v>
                </c:pt>
                <c:pt idx="12">
                  <c:v>4465.2404999999999</c:v>
                </c:pt>
                <c:pt idx="13">
                  <c:v>3793.6710000000007</c:v>
                </c:pt>
                <c:pt idx="14">
                  <c:v>6653.7659999999996</c:v>
                </c:pt>
                <c:pt idx="15">
                  <c:v>3951.78</c:v>
                </c:pt>
                <c:pt idx="16">
                  <c:v>5273.3625000000002</c:v>
                </c:pt>
                <c:pt idx="17">
                  <c:v>3710.9519999999993</c:v>
                </c:pt>
                <c:pt idx="18">
                  <c:v>4267.4625000000005</c:v>
                </c:pt>
                <c:pt idx="19">
                  <c:v>4281.9944999999998</c:v>
                </c:pt>
                <c:pt idx="20">
                  <c:v>6736.4324999999981</c:v>
                </c:pt>
                <c:pt idx="21">
                  <c:v>547.197</c:v>
                </c:pt>
                <c:pt idx="22">
                  <c:v>626.82899999999995</c:v>
                </c:pt>
                <c:pt idx="23">
                  <c:v>3782.2574999999997</c:v>
                </c:pt>
                <c:pt idx="24">
                  <c:v>2469.5790000000002</c:v>
                </c:pt>
                <c:pt idx="25">
                  <c:v>1529.8394999999998</c:v>
                </c:pt>
                <c:pt idx="26">
                  <c:v>6825.9030000000012</c:v>
                </c:pt>
                <c:pt idx="27">
                  <c:v>2513.1645000000003</c:v>
                </c:pt>
                <c:pt idx="28">
                  <c:v>3408.4994999999999</c:v>
                </c:pt>
                <c:pt idx="29">
                  <c:v>1906.884</c:v>
                </c:pt>
                <c:pt idx="30">
                  <c:v>1835.8409999999999</c:v>
                </c:pt>
                <c:pt idx="31">
                  <c:v>4486.7655000000004</c:v>
                </c:pt>
                <c:pt idx="32">
                  <c:v>3113.7435</c:v>
                </c:pt>
                <c:pt idx="33">
                  <c:v>2801.3895000000002</c:v>
                </c:pt>
                <c:pt idx="34">
                  <c:v>3570.84</c:v>
                </c:pt>
                <c:pt idx="35">
                  <c:v>3985.1070000000004</c:v>
                </c:pt>
                <c:pt idx="36">
                  <c:v>5488.9169999999995</c:v>
                </c:pt>
                <c:pt idx="37">
                  <c:v>3984.8025000000007</c:v>
                </c:pt>
                <c:pt idx="38">
                  <c:v>4705.6485000000011</c:v>
                </c:pt>
                <c:pt idx="39">
                  <c:v>2403.0300000000002</c:v>
                </c:pt>
                <c:pt idx="40">
                  <c:v>1016.694</c:v>
                </c:pt>
                <c:pt idx="41">
                  <c:v>2055.0495000000001</c:v>
                </c:pt>
                <c:pt idx="42">
                  <c:v>1518.5415</c:v>
                </c:pt>
                <c:pt idx="43">
                  <c:v>3543.1095000000005</c:v>
                </c:pt>
                <c:pt idx="44">
                  <c:v>6208.9650000000011</c:v>
                </c:pt>
                <c:pt idx="45">
                  <c:v>4844.1224999999995</c:v>
                </c:pt>
                <c:pt idx="46">
                  <c:v>3574.3680000000004</c:v>
                </c:pt>
                <c:pt idx="47">
                  <c:v>2156.826</c:v>
                </c:pt>
                <c:pt idx="48">
                  <c:v>2558.7240000000002</c:v>
                </c:pt>
                <c:pt idx="49">
                  <c:v>5759.8170000000009</c:v>
                </c:pt>
                <c:pt idx="50">
                  <c:v>3668.0699999999997</c:v>
                </c:pt>
                <c:pt idx="51">
                  <c:v>2907.7754999999997</c:v>
                </c:pt>
                <c:pt idx="52">
                  <c:v>2217.7365000000004</c:v>
                </c:pt>
                <c:pt idx="53">
                  <c:v>3095.5259999999998</c:v>
                </c:pt>
                <c:pt idx="54">
                  <c:v>2366.4689999999996</c:v>
                </c:pt>
                <c:pt idx="55">
                  <c:v>4004.259</c:v>
                </c:pt>
                <c:pt idx="56">
                  <c:v>5575.353000000001</c:v>
                </c:pt>
                <c:pt idx="57">
                  <c:v>2803.1849999999999</c:v>
                </c:pt>
                <c:pt idx="58">
                  <c:v>3714.3645000000001</c:v>
                </c:pt>
                <c:pt idx="59">
                  <c:v>1890.0104999999999</c:v>
                </c:pt>
                <c:pt idx="60">
                  <c:v>3270.3089999999997</c:v>
                </c:pt>
                <c:pt idx="61">
                  <c:v>1052.4780000000001</c:v>
                </c:pt>
                <c:pt idx="62">
                  <c:v>1817.9805000000001</c:v>
                </c:pt>
                <c:pt idx="63">
                  <c:v>2058.42</c:v>
                </c:pt>
                <c:pt idx="64">
                  <c:v>702.99599999999998</c:v>
                </c:pt>
                <c:pt idx="65">
                  <c:v>2260.8389999999999</c:v>
                </c:pt>
                <c:pt idx="66">
                  <c:v>1605.807</c:v>
                </c:pt>
                <c:pt idx="67">
                  <c:v>987.59850000000006</c:v>
                </c:pt>
                <c:pt idx="68">
                  <c:v>606.50099999999998</c:v>
                </c:pt>
                <c:pt idx="69">
                  <c:v>3563.0909999999999</c:v>
                </c:pt>
                <c:pt idx="70">
                  <c:v>118.902</c:v>
                </c:pt>
                <c:pt idx="71">
                  <c:v>3083.0729999999999</c:v>
                </c:pt>
                <c:pt idx="72">
                  <c:v>598.25849999999991</c:v>
                </c:pt>
                <c:pt idx="73">
                  <c:v>172.7775</c:v>
                </c:pt>
                <c:pt idx="74">
                  <c:v>1555.7954999999999</c:v>
                </c:pt>
                <c:pt idx="75">
                  <c:v>1861.2719999999999</c:v>
                </c:pt>
                <c:pt idx="76">
                  <c:v>2263.8525</c:v>
                </c:pt>
                <c:pt idx="77">
                  <c:v>1146.0854999999999</c:v>
                </c:pt>
                <c:pt idx="78">
                  <c:v>1204.9589999999998</c:v>
                </c:pt>
                <c:pt idx="79">
                  <c:v>1347.2760000000003</c:v>
                </c:pt>
                <c:pt idx="80">
                  <c:v>1183.8855000000001</c:v>
                </c:pt>
                <c:pt idx="81">
                  <c:v>1915.9665</c:v>
                </c:pt>
                <c:pt idx="82">
                  <c:v>578.68650000000002</c:v>
                </c:pt>
                <c:pt idx="83">
                  <c:v>3187.3065000000006</c:v>
                </c:pt>
                <c:pt idx="84">
                  <c:v>1161.3944999999999</c:v>
                </c:pt>
                <c:pt idx="85">
                  <c:v>703.90949999999998</c:v>
                </c:pt>
              </c:numCache>
            </c:numRef>
          </c:val>
          <c:smooth val="0"/>
          <c:extLst>
            <c:ext xmlns:c16="http://schemas.microsoft.com/office/drawing/2014/chart" uri="{C3380CC4-5D6E-409C-BE32-E72D297353CC}">
              <c16:uniqueId val="{00000000-87D4-430D-916F-D9BBB09AE4E6}"/>
            </c:ext>
          </c:extLst>
        </c:ser>
        <c:dLbls>
          <c:showLegendKey val="0"/>
          <c:showVal val="0"/>
          <c:showCatName val="0"/>
          <c:showSerName val="0"/>
          <c:showPercent val="0"/>
          <c:showBubbleSize val="0"/>
        </c:dLbls>
        <c:smooth val="0"/>
        <c:axId val="1167052680"/>
        <c:axId val="1167049800"/>
      </c:lineChart>
      <c:catAx>
        <c:axId val="116705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7049800"/>
        <c:crosses val="autoZero"/>
        <c:auto val="1"/>
        <c:lblAlgn val="ctr"/>
        <c:lblOffset val="100"/>
        <c:noMultiLvlLbl val="0"/>
      </c:catAx>
      <c:valAx>
        <c:axId val="1167049800"/>
        <c:scaling>
          <c:orientation val="minMax"/>
        </c:scaling>
        <c:delete val="0"/>
        <c:axPos val="l"/>
        <c:numFmt formatCode="&quot;Ksh&quot;\ #,##0.00;[Red]&quot;Ksh&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7052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FB10AE3-68BF-4A16-B5D0-28444BE12FBF}" formatIdx="0">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O$1" lockText="1" noThreeD="1"/>
</file>

<file path=xl/ctrlProps/ctrlProp2.xml><?xml version="1.0" encoding="utf-8"?>
<formControlPr xmlns="http://schemas.microsoft.com/office/spreadsheetml/2009/9/main" objectType="CheckBox" fmlaLink="$P$1" lockText="1" noThreeD="1"/>
</file>

<file path=xl/ctrlProps/ctrlProp3.xml><?xml version="1.0" encoding="utf-8"?>
<formControlPr xmlns="http://schemas.microsoft.com/office/spreadsheetml/2009/9/main" objectType="CheckBox" fmlaLink="$Q$1" lockText="1" noThreeD="1"/>
</file>

<file path=xl/ctrlProps/ctrlProp4.xml><?xml version="1.0" encoding="utf-8"?>
<formControlPr xmlns="http://schemas.microsoft.com/office/spreadsheetml/2009/9/main" objectType="Scroll" dx="22" fmlaLink="$AC$1" max="100" min="1" page="10"/>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3.xml"/><Relationship Id="rId2" Type="http://schemas.openxmlformats.org/officeDocument/2006/relationships/image" Target="../media/image2.png"/><Relationship Id="rId16" Type="http://schemas.microsoft.com/office/2014/relationships/chartEx" Target="../charts/chartEx1.xml"/><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png"/><Relationship Id="rId19"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346842</xdr:colOff>
      <xdr:row>44</xdr:row>
      <xdr:rowOff>152399</xdr:rowOff>
    </xdr:to>
    <xdr:sp macro="" textlink="">
      <xdr:nvSpPr>
        <xdr:cNvPr id="63" name="Rectangle: Rounded Corners 62">
          <a:extLst>
            <a:ext uri="{FF2B5EF4-FFF2-40B4-BE49-F238E27FC236}">
              <a16:creationId xmlns:a16="http://schemas.microsoft.com/office/drawing/2014/main" id="{5B2366D3-1A52-2937-1855-41301E37C21B}"/>
            </a:ext>
          </a:extLst>
        </xdr:cNvPr>
        <xdr:cNvSpPr/>
      </xdr:nvSpPr>
      <xdr:spPr>
        <a:xfrm>
          <a:off x="0" y="0"/>
          <a:ext cx="13148442" cy="7696199"/>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21</xdr:col>
      <xdr:colOff>79375</xdr:colOff>
      <xdr:row>7</xdr:row>
      <xdr:rowOff>163131</xdr:rowOff>
    </xdr:from>
    <xdr:to>
      <xdr:col>24</xdr:col>
      <xdr:colOff>204107</xdr:colOff>
      <xdr:row>10</xdr:row>
      <xdr:rowOff>79374</xdr:rowOff>
    </xdr:to>
    <xdr:sp macro="" textlink="">
      <xdr:nvSpPr>
        <xdr:cNvPr id="64" name="Trapezoid 63">
          <a:extLst>
            <a:ext uri="{FF2B5EF4-FFF2-40B4-BE49-F238E27FC236}">
              <a16:creationId xmlns:a16="http://schemas.microsoft.com/office/drawing/2014/main" id="{E96C0675-CCF5-C87C-AB9F-5E32284A9150}"/>
            </a:ext>
          </a:extLst>
        </xdr:cNvPr>
        <xdr:cNvSpPr/>
      </xdr:nvSpPr>
      <xdr:spPr>
        <a:xfrm>
          <a:off x="11271250" y="1353756"/>
          <a:ext cx="1723571" cy="426511"/>
        </a:xfrm>
        <a:prstGeom prst="trapezoid">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17</xdr:col>
      <xdr:colOff>419554</xdr:colOff>
      <xdr:row>7</xdr:row>
      <xdr:rowOff>158750</xdr:rowOff>
    </xdr:from>
    <xdr:to>
      <xdr:col>21</xdr:col>
      <xdr:colOff>117431</xdr:colOff>
      <xdr:row>10</xdr:row>
      <xdr:rowOff>91335</xdr:rowOff>
    </xdr:to>
    <xdr:sp macro="" textlink="">
      <xdr:nvSpPr>
        <xdr:cNvPr id="65" name="Trapezoid 64">
          <a:extLst>
            <a:ext uri="{FF2B5EF4-FFF2-40B4-BE49-F238E27FC236}">
              <a16:creationId xmlns:a16="http://schemas.microsoft.com/office/drawing/2014/main" id="{484A241D-8B5F-F615-DFCE-C993D5419256}"/>
            </a:ext>
          </a:extLst>
        </xdr:cNvPr>
        <xdr:cNvSpPr/>
      </xdr:nvSpPr>
      <xdr:spPr>
        <a:xfrm>
          <a:off x="9513972" y="1346113"/>
          <a:ext cx="1837740" cy="441455"/>
        </a:xfrm>
        <a:prstGeom prst="trapezoid">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xdr:col>
      <xdr:colOff>119566</xdr:colOff>
      <xdr:row>3</xdr:row>
      <xdr:rowOff>63761</xdr:rowOff>
    </xdr:from>
    <xdr:to>
      <xdr:col>10</xdr:col>
      <xdr:colOff>178966</xdr:colOff>
      <xdr:row>7</xdr:row>
      <xdr:rowOff>97961</xdr:rowOff>
    </xdr:to>
    <xdr:sp macro="" textlink="">
      <xdr:nvSpPr>
        <xdr:cNvPr id="66" name="Rectangle: Rounded Corners 65">
          <a:extLst>
            <a:ext uri="{FF2B5EF4-FFF2-40B4-BE49-F238E27FC236}">
              <a16:creationId xmlns:a16="http://schemas.microsoft.com/office/drawing/2014/main" id="{A4886347-75C5-6965-BE88-35405322CF9E}"/>
            </a:ext>
          </a:extLst>
        </xdr:cNvPr>
        <xdr:cNvSpPr/>
      </xdr:nvSpPr>
      <xdr:spPr>
        <a:xfrm>
          <a:off x="652966" y="578111"/>
          <a:ext cx="4860000" cy="72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36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10</xdr:col>
      <xdr:colOff>358675</xdr:colOff>
      <xdr:row>3</xdr:row>
      <xdr:rowOff>63761</xdr:rowOff>
    </xdr:from>
    <xdr:to>
      <xdr:col>24</xdr:col>
      <xdr:colOff>90714</xdr:colOff>
      <xdr:row>7</xdr:row>
      <xdr:rowOff>97961</xdr:rowOff>
    </xdr:to>
    <xdr:sp macro="" textlink="">
      <xdr:nvSpPr>
        <xdr:cNvPr id="67" name="Rectangle: Rounded Corners 66">
          <a:extLst>
            <a:ext uri="{FF2B5EF4-FFF2-40B4-BE49-F238E27FC236}">
              <a16:creationId xmlns:a16="http://schemas.microsoft.com/office/drawing/2014/main" id="{5C0449F4-FC19-AA56-DEEA-157B6DFA5C06}"/>
            </a:ext>
          </a:extLst>
        </xdr:cNvPr>
        <xdr:cNvSpPr/>
      </xdr:nvSpPr>
      <xdr:spPr>
        <a:xfrm>
          <a:off x="5688139" y="574029"/>
          <a:ext cx="7193289" cy="714557"/>
        </a:xfrm>
        <a:prstGeom prst="roundRect">
          <a:avLst/>
        </a:prstGeom>
        <a:solidFill>
          <a:schemeClr val="bg2">
            <a:lumMod val="10000"/>
          </a:schemeClr>
        </a:solidFill>
        <a:ln>
          <a:solidFill>
            <a:srgbClr val="00B050"/>
          </a:solidFill>
        </a:ln>
        <a:effectLst>
          <a:innerShdw blurRad="114300">
            <a:prstClr val="black"/>
          </a:innerShdw>
        </a:effectLst>
      </xdr:spPr>
      <xdr:style>
        <a:lnRef idx="2">
          <a:schemeClr val="accent6">
            <a:shade val="15000"/>
          </a:schemeClr>
        </a:lnRef>
        <a:fillRef idx="1">
          <a:schemeClr val="accent6"/>
        </a:fillRef>
        <a:effectRef idx="0">
          <a:schemeClr val="accent6"/>
        </a:effectRef>
        <a:fontRef idx="minor">
          <a:schemeClr val="lt1"/>
        </a:fontRef>
      </xdr:style>
      <xdr:txBody>
        <a:bodyPr wrap="square" tIns="36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xdr:col>
      <xdr:colOff>125525</xdr:colOff>
      <xdr:row>8</xdr:row>
      <xdr:rowOff>17256</xdr:rowOff>
    </xdr:from>
    <xdr:to>
      <xdr:col>3</xdr:col>
      <xdr:colOff>318725</xdr:colOff>
      <xdr:row>14</xdr:row>
      <xdr:rowOff>68556</xdr:rowOff>
    </xdr:to>
    <xdr:sp macro="" textlink="">
      <xdr:nvSpPr>
        <xdr:cNvPr id="68" name="Rectangle: Rounded Corners 67">
          <a:extLst>
            <a:ext uri="{FF2B5EF4-FFF2-40B4-BE49-F238E27FC236}">
              <a16:creationId xmlns:a16="http://schemas.microsoft.com/office/drawing/2014/main" id="{8EBCB64E-A541-E442-A990-6963EB6F1330}"/>
            </a:ext>
          </a:extLst>
        </xdr:cNvPr>
        <xdr:cNvSpPr/>
      </xdr:nvSpPr>
      <xdr:spPr>
        <a:xfrm>
          <a:off x="658925" y="1388856"/>
          <a:ext cx="1260000" cy="108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xdr:col>
      <xdr:colOff>119566</xdr:colOff>
      <xdr:row>15</xdr:row>
      <xdr:rowOff>67423</xdr:rowOff>
    </xdr:from>
    <xdr:to>
      <xdr:col>3</xdr:col>
      <xdr:colOff>312766</xdr:colOff>
      <xdr:row>34</xdr:row>
      <xdr:rowOff>49873</xdr:rowOff>
    </xdr:to>
    <xdr:sp macro="" textlink="">
      <xdr:nvSpPr>
        <xdr:cNvPr id="69" name="Rectangle: Rounded Corners 68">
          <a:extLst>
            <a:ext uri="{FF2B5EF4-FFF2-40B4-BE49-F238E27FC236}">
              <a16:creationId xmlns:a16="http://schemas.microsoft.com/office/drawing/2014/main" id="{EADF588B-FD6E-EA9E-E321-E00D62185771}"/>
            </a:ext>
          </a:extLst>
        </xdr:cNvPr>
        <xdr:cNvSpPr/>
      </xdr:nvSpPr>
      <xdr:spPr>
        <a:xfrm>
          <a:off x="652966" y="2639173"/>
          <a:ext cx="1260000" cy="3240000"/>
        </a:xfrm>
        <a:prstGeom prst="roundRect">
          <a:avLst/>
        </a:prstGeom>
        <a:solidFill>
          <a:schemeClr val="bg2">
            <a:lumMod val="10000"/>
          </a:schemeClr>
        </a:solidFill>
        <a:ln/>
        <a:effectLst>
          <a:innerShdw blurRad="114300">
            <a:prstClr val="black"/>
          </a:innerShdw>
        </a:effectLst>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xdr:col>
      <xdr:colOff>119566</xdr:colOff>
      <xdr:row>35</xdr:row>
      <xdr:rowOff>139485</xdr:rowOff>
    </xdr:from>
    <xdr:to>
      <xdr:col>3</xdr:col>
      <xdr:colOff>312766</xdr:colOff>
      <xdr:row>42</xdr:row>
      <xdr:rowOff>19335</xdr:rowOff>
    </xdr:to>
    <xdr:sp macro="" textlink="">
      <xdr:nvSpPr>
        <xdr:cNvPr id="70" name="Rectangle: Rounded Corners 69">
          <a:extLst>
            <a:ext uri="{FF2B5EF4-FFF2-40B4-BE49-F238E27FC236}">
              <a16:creationId xmlns:a16="http://schemas.microsoft.com/office/drawing/2014/main" id="{DDE7DC79-66F4-4CA9-19BA-546CAAFA1B35}"/>
            </a:ext>
          </a:extLst>
        </xdr:cNvPr>
        <xdr:cNvSpPr/>
      </xdr:nvSpPr>
      <xdr:spPr>
        <a:xfrm>
          <a:off x="652966" y="6140235"/>
          <a:ext cx="1260000" cy="108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3</xdr:col>
      <xdr:colOff>461027</xdr:colOff>
      <xdr:row>7</xdr:row>
      <xdr:rowOff>141987</xdr:rowOff>
    </xdr:from>
    <xdr:to>
      <xdr:col>8</xdr:col>
      <xdr:colOff>134027</xdr:colOff>
      <xdr:row>12</xdr:row>
      <xdr:rowOff>6098</xdr:rowOff>
    </xdr:to>
    <xdr:sp macro="" textlink="">
      <xdr:nvSpPr>
        <xdr:cNvPr id="71" name="Rectangle: Rounded Corners 70">
          <a:extLst>
            <a:ext uri="{FF2B5EF4-FFF2-40B4-BE49-F238E27FC236}">
              <a16:creationId xmlns:a16="http://schemas.microsoft.com/office/drawing/2014/main" id="{B91878D1-8EC8-AB60-CE1F-90F81A3A7575}"/>
            </a:ext>
          </a:extLst>
        </xdr:cNvPr>
        <xdr:cNvSpPr/>
      </xdr:nvSpPr>
      <xdr:spPr>
        <a:xfrm>
          <a:off x="2059866" y="1332612"/>
          <a:ext cx="2337732" cy="714557"/>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8</xdr:col>
      <xdr:colOff>299007</xdr:colOff>
      <xdr:row>8</xdr:row>
      <xdr:rowOff>17256</xdr:rowOff>
    </xdr:from>
    <xdr:to>
      <xdr:col>12</xdr:col>
      <xdr:colOff>505407</xdr:colOff>
      <xdr:row>12</xdr:row>
      <xdr:rowOff>51456</xdr:rowOff>
    </xdr:to>
    <xdr:sp macro="" textlink="">
      <xdr:nvSpPr>
        <xdr:cNvPr id="72" name="Rectangle: Rounded Corners 71">
          <a:extLst>
            <a:ext uri="{FF2B5EF4-FFF2-40B4-BE49-F238E27FC236}">
              <a16:creationId xmlns:a16="http://schemas.microsoft.com/office/drawing/2014/main" id="{E3918912-F555-4FBF-0272-5F70008E80B7}"/>
            </a:ext>
          </a:extLst>
        </xdr:cNvPr>
        <xdr:cNvSpPr/>
      </xdr:nvSpPr>
      <xdr:spPr>
        <a:xfrm>
          <a:off x="4566207" y="1388856"/>
          <a:ext cx="2340000" cy="72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13</xdr:col>
      <xdr:colOff>125648</xdr:colOff>
      <xdr:row>8</xdr:row>
      <xdr:rowOff>17256</xdr:rowOff>
    </xdr:from>
    <xdr:to>
      <xdr:col>17</xdr:col>
      <xdr:colOff>332048</xdr:colOff>
      <xdr:row>12</xdr:row>
      <xdr:rowOff>51456</xdr:rowOff>
    </xdr:to>
    <xdr:sp macro="" textlink="">
      <xdr:nvSpPr>
        <xdr:cNvPr id="73" name="Rectangle: Rounded Corners 72">
          <a:extLst>
            <a:ext uri="{FF2B5EF4-FFF2-40B4-BE49-F238E27FC236}">
              <a16:creationId xmlns:a16="http://schemas.microsoft.com/office/drawing/2014/main" id="{FB0545FA-1FB5-255B-559A-8A481F5C8733}"/>
            </a:ext>
          </a:extLst>
        </xdr:cNvPr>
        <xdr:cNvSpPr/>
      </xdr:nvSpPr>
      <xdr:spPr>
        <a:xfrm>
          <a:off x="7059848" y="1388856"/>
          <a:ext cx="2340000" cy="72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3</xdr:col>
      <xdr:colOff>459331</xdr:colOff>
      <xdr:row>13</xdr:row>
      <xdr:rowOff>50323</xdr:rowOff>
    </xdr:from>
    <xdr:to>
      <xdr:col>9</xdr:col>
      <xdr:colOff>498931</xdr:colOff>
      <xdr:row>26</xdr:row>
      <xdr:rowOff>161473</xdr:rowOff>
    </xdr:to>
    <xdr:sp macro="" textlink="">
      <xdr:nvSpPr>
        <xdr:cNvPr id="74" name="Rectangle: Rounded Corners 73">
          <a:extLst>
            <a:ext uri="{FF2B5EF4-FFF2-40B4-BE49-F238E27FC236}">
              <a16:creationId xmlns:a16="http://schemas.microsoft.com/office/drawing/2014/main" id="{9471DFE0-E0BA-3237-DAAF-7B01F4337216}"/>
            </a:ext>
          </a:extLst>
        </xdr:cNvPr>
        <xdr:cNvSpPr/>
      </xdr:nvSpPr>
      <xdr:spPr>
        <a:xfrm>
          <a:off x="2059531" y="2279173"/>
          <a:ext cx="3240000" cy="234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10</xdr:col>
      <xdr:colOff>178966</xdr:colOff>
      <xdr:row>13</xdr:row>
      <xdr:rowOff>50323</xdr:rowOff>
    </xdr:from>
    <xdr:to>
      <xdr:col>14</xdr:col>
      <xdr:colOff>205366</xdr:colOff>
      <xdr:row>26</xdr:row>
      <xdr:rowOff>161473</xdr:rowOff>
    </xdr:to>
    <xdr:sp macro="" textlink="">
      <xdr:nvSpPr>
        <xdr:cNvPr id="75" name="Rectangle: Rounded Corners 74">
          <a:extLst>
            <a:ext uri="{FF2B5EF4-FFF2-40B4-BE49-F238E27FC236}">
              <a16:creationId xmlns:a16="http://schemas.microsoft.com/office/drawing/2014/main" id="{D4A78E38-9664-9FDC-E0D3-F6C53B36D4C5}"/>
            </a:ext>
          </a:extLst>
        </xdr:cNvPr>
        <xdr:cNvSpPr/>
      </xdr:nvSpPr>
      <xdr:spPr>
        <a:xfrm>
          <a:off x="5512966" y="2279173"/>
          <a:ext cx="2160000" cy="234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14</xdr:col>
      <xdr:colOff>312248</xdr:colOff>
      <xdr:row>13</xdr:row>
      <xdr:rowOff>35426</xdr:rowOff>
    </xdr:from>
    <xdr:to>
      <xdr:col>17</xdr:col>
      <xdr:colOff>332048</xdr:colOff>
      <xdr:row>26</xdr:row>
      <xdr:rowOff>146576</xdr:rowOff>
    </xdr:to>
    <xdr:sp macro="" textlink="">
      <xdr:nvSpPr>
        <xdr:cNvPr id="76" name="Rectangle: Rounded Corners 75">
          <a:extLst>
            <a:ext uri="{FF2B5EF4-FFF2-40B4-BE49-F238E27FC236}">
              <a16:creationId xmlns:a16="http://schemas.microsoft.com/office/drawing/2014/main" id="{89DB68D4-9754-C047-155D-DC23905AA757}"/>
            </a:ext>
          </a:extLst>
        </xdr:cNvPr>
        <xdr:cNvSpPr/>
      </xdr:nvSpPr>
      <xdr:spPr>
        <a:xfrm>
          <a:off x="7779848" y="2264276"/>
          <a:ext cx="1620000" cy="2340000"/>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14</xdr:col>
      <xdr:colOff>312248</xdr:colOff>
      <xdr:row>27</xdr:row>
      <xdr:rowOff>130547</xdr:rowOff>
    </xdr:from>
    <xdr:to>
      <xdr:col>17</xdr:col>
      <xdr:colOff>332048</xdr:colOff>
      <xdr:row>41</xdr:row>
      <xdr:rowOff>143527</xdr:rowOff>
    </xdr:to>
    <xdr:sp macro="" textlink="">
      <xdr:nvSpPr>
        <xdr:cNvPr id="77" name="Rectangle: Rounded Corners 76">
          <a:extLst>
            <a:ext uri="{FF2B5EF4-FFF2-40B4-BE49-F238E27FC236}">
              <a16:creationId xmlns:a16="http://schemas.microsoft.com/office/drawing/2014/main" id="{ACA1DC5F-93D2-A80D-4E56-AC3D9512BDA1}"/>
            </a:ext>
          </a:extLst>
        </xdr:cNvPr>
        <xdr:cNvSpPr/>
      </xdr:nvSpPr>
      <xdr:spPr>
        <a:xfrm>
          <a:off x="7801769" y="4710376"/>
          <a:ext cx="1624697" cy="2387706"/>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3</xdr:col>
      <xdr:colOff>450807</xdr:colOff>
      <xdr:row>27</xdr:row>
      <xdr:rowOff>130547</xdr:rowOff>
    </xdr:from>
    <xdr:to>
      <xdr:col>14</xdr:col>
      <xdr:colOff>174206</xdr:colOff>
      <xdr:row>41</xdr:row>
      <xdr:rowOff>156575</xdr:rowOff>
    </xdr:to>
    <xdr:sp macro="" textlink="">
      <xdr:nvSpPr>
        <xdr:cNvPr id="78" name="Rectangle: Rounded Corners 77">
          <a:extLst>
            <a:ext uri="{FF2B5EF4-FFF2-40B4-BE49-F238E27FC236}">
              <a16:creationId xmlns:a16="http://schemas.microsoft.com/office/drawing/2014/main" id="{BA955996-F7FA-B5ED-99DF-AC80A495D991}"/>
            </a:ext>
          </a:extLst>
        </xdr:cNvPr>
        <xdr:cNvSpPr/>
      </xdr:nvSpPr>
      <xdr:spPr>
        <a:xfrm>
          <a:off x="2055704" y="4710376"/>
          <a:ext cx="5608023" cy="2400754"/>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18</xdr:col>
      <xdr:colOff>11340</xdr:colOff>
      <xdr:row>8</xdr:row>
      <xdr:rowOff>0</xdr:rowOff>
    </xdr:from>
    <xdr:to>
      <xdr:col>21</xdr:col>
      <xdr:colOff>22679</xdr:colOff>
      <xdr:row>18</xdr:row>
      <xdr:rowOff>158751</xdr:rowOff>
    </xdr:to>
    <xdr:sp macro="" textlink="">
      <xdr:nvSpPr>
        <xdr:cNvPr id="79" name="Flowchart: Off-page Connector 78">
          <a:extLst>
            <a:ext uri="{FF2B5EF4-FFF2-40B4-BE49-F238E27FC236}">
              <a16:creationId xmlns:a16="http://schemas.microsoft.com/office/drawing/2014/main" id="{AC3B8DD3-FC20-AF30-FD5E-892A40E43873}"/>
            </a:ext>
          </a:extLst>
        </xdr:cNvPr>
        <xdr:cNvSpPr/>
      </xdr:nvSpPr>
      <xdr:spPr>
        <a:xfrm>
          <a:off x="9604376" y="1360714"/>
          <a:ext cx="1610178" cy="1859644"/>
        </a:xfrm>
        <a:prstGeom prst="flowChartOffpageConnector">
          <a:avLst/>
        </a:prstGeom>
        <a:solidFill>
          <a:schemeClr val="bg2">
            <a:lumMod val="10000"/>
          </a:schemeClr>
        </a:solidFill>
        <a:ln>
          <a:solidFill>
            <a:srgbClr val="00B050"/>
          </a:solidFill>
        </a:ln>
        <a:effectLst>
          <a:innerShdw blurRad="114300">
            <a:prstClr val="black"/>
          </a:innerShdw>
        </a:effectLst>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21</xdr:col>
      <xdr:colOff>181430</xdr:colOff>
      <xdr:row>8</xdr:row>
      <xdr:rowOff>1</xdr:rowOff>
    </xdr:from>
    <xdr:to>
      <xdr:col>24</xdr:col>
      <xdr:colOff>102055</xdr:colOff>
      <xdr:row>18</xdr:row>
      <xdr:rowOff>99654</xdr:rowOff>
    </xdr:to>
    <xdr:sp macro="" textlink="">
      <xdr:nvSpPr>
        <xdr:cNvPr id="80" name="Flowchart: Off-page Connector 79">
          <a:extLst>
            <a:ext uri="{FF2B5EF4-FFF2-40B4-BE49-F238E27FC236}">
              <a16:creationId xmlns:a16="http://schemas.microsoft.com/office/drawing/2014/main" id="{06D59AF4-7564-420A-A005-A7102B00DA8F}"/>
            </a:ext>
          </a:extLst>
        </xdr:cNvPr>
        <xdr:cNvSpPr/>
      </xdr:nvSpPr>
      <xdr:spPr>
        <a:xfrm>
          <a:off x="11373305" y="1360715"/>
          <a:ext cx="1519464" cy="1800546"/>
        </a:xfrm>
        <a:prstGeom prst="flowChartOffpageConnector">
          <a:avLst/>
        </a:prstGeom>
        <a:solidFill>
          <a:schemeClr val="bg2">
            <a:lumMod val="10000"/>
          </a:schemeClr>
        </a:solidFill>
        <a:ln>
          <a:solidFill>
            <a:srgbClr val="00B050"/>
          </a:solidFill>
        </a:ln>
        <a:effectLst>
          <a:innerShdw blurRad="114300">
            <a:prstClr val="black"/>
          </a:innerShdw>
        </a:effectLst>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18</xdr:col>
      <xdr:colOff>158750</xdr:colOff>
      <xdr:row>9</xdr:row>
      <xdr:rowOff>11340</xdr:rowOff>
    </xdr:from>
    <xdr:to>
      <xdr:col>20</xdr:col>
      <xdr:colOff>396875</xdr:colOff>
      <xdr:row>17</xdr:row>
      <xdr:rowOff>116756</xdr:rowOff>
    </xdr:to>
    <xdr:sp macro="" textlink="">
      <xdr:nvSpPr>
        <xdr:cNvPr id="81" name="Flowchart: Off-page Connector 80">
          <a:extLst>
            <a:ext uri="{FF2B5EF4-FFF2-40B4-BE49-F238E27FC236}">
              <a16:creationId xmlns:a16="http://schemas.microsoft.com/office/drawing/2014/main" id="{537234CE-287A-0ADA-3134-4FAB9E910373}"/>
            </a:ext>
          </a:extLst>
        </xdr:cNvPr>
        <xdr:cNvSpPr/>
      </xdr:nvSpPr>
      <xdr:spPr>
        <a:xfrm>
          <a:off x="9751786" y="1542144"/>
          <a:ext cx="1304018" cy="1466130"/>
        </a:xfrm>
        <a:prstGeom prst="flowChartOffpageConnector">
          <a:avLst/>
        </a:prstGeom>
        <a:solidFill>
          <a:schemeClr val="bg2">
            <a:lumMod val="10000"/>
          </a:schemeClr>
        </a:solidFill>
        <a:ln w="28575">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ln>
              <a:solidFill>
                <a:schemeClr val="bg1"/>
              </a:solidFill>
              <a:prstDash val="dash"/>
            </a:ln>
            <a:noFill/>
          </a:endParaRPr>
        </a:p>
      </xdr:txBody>
    </xdr:sp>
    <xdr:clientData/>
  </xdr:twoCellAnchor>
  <xdr:twoCellAnchor>
    <xdr:from>
      <xdr:col>17</xdr:col>
      <xdr:colOff>489122</xdr:colOff>
      <xdr:row>19</xdr:row>
      <xdr:rowOff>93512</xdr:rowOff>
    </xdr:from>
    <xdr:to>
      <xdr:col>23</xdr:col>
      <xdr:colOff>216765</xdr:colOff>
      <xdr:row>41</xdr:row>
      <xdr:rowOff>104383</xdr:rowOff>
    </xdr:to>
    <xdr:sp macro="" textlink="">
      <xdr:nvSpPr>
        <xdr:cNvPr id="82" name="Rectangle: Rounded Corners 81">
          <a:extLst>
            <a:ext uri="{FF2B5EF4-FFF2-40B4-BE49-F238E27FC236}">
              <a16:creationId xmlns:a16="http://schemas.microsoft.com/office/drawing/2014/main" id="{808DFDDE-7E4C-3B98-77C4-757A0DE250A3}"/>
            </a:ext>
          </a:extLst>
        </xdr:cNvPr>
        <xdr:cNvSpPr/>
      </xdr:nvSpPr>
      <xdr:spPr>
        <a:xfrm>
          <a:off x="9583540" y="3316354"/>
          <a:ext cx="2937437" cy="3742584"/>
        </a:xfrm>
        <a:prstGeom prst="roundRect">
          <a:avLst/>
        </a:prstGeom>
        <a:solidFill>
          <a:schemeClr val="bg2">
            <a:lumMod val="10000"/>
          </a:schemeClr>
        </a:solidFill>
        <a:ln/>
      </xdr:spPr>
      <xdr:style>
        <a:lnRef idx="1">
          <a:schemeClr val="accent6"/>
        </a:lnRef>
        <a:fillRef idx="3">
          <a:schemeClr val="accent6"/>
        </a:fillRef>
        <a:effectRef idx="2">
          <a:schemeClr val="accent6"/>
        </a:effectRef>
        <a:fontRef idx="minor">
          <a:schemeClr val="lt1"/>
        </a:fontRef>
      </xdr:style>
      <xdr:txBody>
        <a:bodyPr wrap="square" tIns="7200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p>
      </xdr:txBody>
    </xdr:sp>
    <xdr:clientData/>
  </xdr:twoCellAnchor>
  <xdr:twoCellAnchor>
    <xdr:from>
      <xdr:col>4</xdr:col>
      <xdr:colOff>96250</xdr:colOff>
      <xdr:row>16</xdr:row>
      <xdr:rowOff>6704</xdr:rowOff>
    </xdr:from>
    <xdr:to>
      <xdr:col>9</xdr:col>
      <xdr:colOff>345250</xdr:colOff>
      <xdr:row>16</xdr:row>
      <xdr:rowOff>6704</xdr:rowOff>
    </xdr:to>
    <xdr:cxnSp macro="">
      <xdr:nvCxnSpPr>
        <xdr:cNvPr id="83" name="Straight Connector 82">
          <a:extLst>
            <a:ext uri="{FF2B5EF4-FFF2-40B4-BE49-F238E27FC236}">
              <a16:creationId xmlns:a16="http://schemas.microsoft.com/office/drawing/2014/main" id="{DA84110E-13F0-4D1D-300B-B92A2BD91F5B}"/>
            </a:ext>
          </a:extLst>
        </xdr:cNvPr>
        <xdr:cNvCxnSpPr/>
      </xdr:nvCxnSpPr>
      <xdr:spPr>
        <a:xfrm>
          <a:off x="2229850" y="2749904"/>
          <a:ext cx="2916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226966</xdr:colOff>
      <xdr:row>16</xdr:row>
      <xdr:rowOff>6704</xdr:rowOff>
    </xdr:from>
    <xdr:to>
      <xdr:col>14</xdr:col>
      <xdr:colOff>109366</xdr:colOff>
      <xdr:row>16</xdr:row>
      <xdr:rowOff>6704</xdr:rowOff>
    </xdr:to>
    <xdr:cxnSp macro="">
      <xdr:nvCxnSpPr>
        <xdr:cNvPr id="84" name="Straight Connector 83">
          <a:extLst>
            <a:ext uri="{FF2B5EF4-FFF2-40B4-BE49-F238E27FC236}">
              <a16:creationId xmlns:a16="http://schemas.microsoft.com/office/drawing/2014/main" id="{981553B0-FD96-86B5-CE98-46BD82DEBFB3}"/>
            </a:ext>
          </a:extLst>
        </xdr:cNvPr>
        <xdr:cNvCxnSpPr/>
      </xdr:nvCxnSpPr>
      <xdr:spPr>
        <a:xfrm>
          <a:off x="5560966" y="2749904"/>
          <a:ext cx="2016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384248</xdr:colOff>
      <xdr:row>16</xdr:row>
      <xdr:rowOff>6704</xdr:rowOff>
    </xdr:from>
    <xdr:to>
      <xdr:col>17</xdr:col>
      <xdr:colOff>260048</xdr:colOff>
      <xdr:row>16</xdr:row>
      <xdr:rowOff>6704</xdr:rowOff>
    </xdr:to>
    <xdr:cxnSp macro="">
      <xdr:nvCxnSpPr>
        <xdr:cNvPr id="85" name="Straight Connector 84">
          <a:extLst>
            <a:ext uri="{FF2B5EF4-FFF2-40B4-BE49-F238E27FC236}">
              <a16:creationId xmlns:a16="http://schemas.microsoft.com/office/drawing/2014/main" id="{37200236-3695-8729-51B8-7598FB075C6F}"/>
            </a:ext>
          </a:extLst>
        </xdr:cNvPr>
        <xdr:cNvCxnSpPr/>
      </xdr:nvCxnSpPr>
      <xdr:spPr>
        <a:xfrm>
          <a:off x="7851848" y="2749904"/>
          <a:ext cx="1476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96250</xdr:colOff>
      <xdr:row>30</xdr:row>
      <xdr:rowOff>126404</xdr:rowOff>
    </xdr:from>
    <xdr:to>
      <xdr:col>13</xdr:col>
      <xdr:colOff>515650</xdr:colOff>
      <xdr:row>30</xdr:row>
      <xdr:rowOff>126404</xdr:rowOff>
    </xdr:to>
    <xdr:cxnSp macro="">
      <xdr:nvCxnSpPr>
        <xdr:cNvPr id="86" name="Straight Connector 85">
          <a:extLst>
            <a:ext uri="{FF2B5EF4-FFF2-40B4-BE49-F238E27FC236}">
              <a16:creationId xmlns:a16="http://schemas.microsoft.com/office/drawing/2014/main" id="{CE6A7C5D-ED4E-C4E7-82EA-9B115E8DF069}"/>
            </a:ext>
          </a:extLst>
        </xdr:cNvPr>
        <xdr:cNvCxnSpPr/>
      </xdr:nvCxnSpPr>
      <xdr:spPr>
        <a:xfrm>
          <a:off x="2229850" y="5269904"/>
          <a:ext cx="5220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384248</xdr:colOff>
      <xdr:row>30</xdr:row>
      <xdr:rowOff>126404</xdr:rowOff>
    </xdr:from>
    <xdr:to>
      <xdr:col>17</xdr:col>
      <xdr:colOff>260048</xdr:colOff>
      <xdr:row>30</xdr:row>
      <xdr:rowOff>126404</xdr:rowOff>
    </xdr:to>
    <xdr:cxnSp macro="">
      <xdr:nvCxnSpPr>
        <xdr:cNvPr id="87" name="Straight Connector 86">
          <a:extLst>
            <a:ext uri="{FF2B5EF4-FFF2-40B4-BE49-F238E27FC236}">
              <a16:creationId xmlns:a16="http://schemas.microsoft.com/office/drawing/2014/main" id="{43D8371A-6C16-9870-5B7E-7D5CD2655085}"/>
            </a:ext>
          </a:extLst>
        </xdr:cNvPr>
        <xdr:cNvCxnSpPr/>
      </xdr:nvCxnSpPr>
      <xdr:spPr>
        <a:xfrm>
          <a:off x="7851848" y="5269904"/>
          <a:ext cx="1476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42289</xdr:colOff>
      <xdr:row>22</xdr:row>
      <xdr:rowOff>130004</xdr:rowOff>
    </xdr:from>
    <xdr:to>
      <xdr:col>23</xdr:col>
      <xdr:colOff>111289</xdr:colOff>
      <xdr:row>22</xdr:row>
      <xdr:rowOff>130004</xdr:rowOff>
    </xdr:to>
    <xdr:cxnSp macro="">
      <xdr:nvCxnSpPr>
        <xdr:cNvPr id="88" name="Straight Connector 87">
          <a:extLst>
            <a:ext uri="{FF2B5EF4-FFF2-40B4-BE49-F238E27FC236}">
              <a16:creationId xmlns:a16="http://schemas.microsoft.com/office/drawing/2014/main" id="{CEBC72A1-4BBB-16BB-BAC8-7B0C4874EF44}"/>
            </a:ext>
          </a:extLst>
        </xdr:cNvPr>
        <xdr:cNvCxnSpPr/>
      </xdr:nvCxnSpPr>
      <xdr:spPr>
        <a:xfrm>
          <a:off x="9643489" y="3901904"/>
          <a:ext cx="2736000" cy="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340179</xdr:colOff>
      <xdr:row>9</xdr:row>
      <xdr:rowOff>7619</xdr:rowOff>
    </xdr:from>
    <xdr:to>
      <xdr:col>23</xdr:col>
      <xdr:colOff>476250</xdr:colOff>
      <xdr:row>17</xdr:row>
      <xdr:rowOff>127702</xdr:rowOff>
    </xdr:to>
    <xdr:sp macro="" textlink="">
      <xdr:nvSpPr>
        <xdr:cNvPr id="89" name="Flowchart: Off-page Connector 88">
          <a:extLst>
            <a:ext uri="{FF2B5EF4-FFF2-40B4-BE49-F238E27FC236}">
              <a16:creationId xmlns:a16="http://schemas.microsoft.com/office/drawing/2014/main" id="{8846A51A-FB4C-A060-C300-F1F7F30118BB}"/>
            </a:ext>
          </a:extLst>
        </xdr:cNvPr>
        <xdr:cNvSpPr/>
      </xdr:nvSpPr>
      <xdr:spPr>
        <a:xfrm>
          <a:off x="11532054" y="1538423"/>
          <a:ext cx="1201964" cy="1480797"/>
        </a:xfrm>
        <a:prstGeom prst="flowChartOffpageConnector">
          <a:avLst/>
        </a:prstGeom>
        <a:solidFill>
          <a:schemeClr val="bg2">
            <a:lumMod val="10000"/>
          </a:schemeClr>
        </a:solidFill>
        <a:ln w="28575">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KE">
            <a:ln>
              <a:solidFill>
                <a:schemeClr val="bg1"/>
              </a:solidFill>
              <a:prstDash val="dash"/>
            </a:ln>
            <a:noFill/>
          </a:endParaRPr>
        </a:p>
      </xdr:txBody>
    </xdr:sp>
    <xdr:clientData/>
  </xdr:twoCellAnchor>
  <xdr:twoCellAnchor editAs="oneCell">
    <xdr:from>
      <xdr:col>1</xdr:col>
      <xdr:colOff>195719</xdr:colOff>
      <xdr:row>3</xdr:row>
      <xdr:rowOff>104383</xdr:rowOff>
    </xdr:from>
    <xdr:to>
      <xdr:col>2</xdr:col>
      <xdr:colOff>326198</xdr:colOff>
      <xdr:row>7</xdr:row>
      <xdr:rowOff>41622</xdr:rowOff>
    </xdr:to>
    <xdr:pic>
      <xdr:nvPicPr>
        <xdr:cNvPr id="157" name="Picture 156">
          <a:extLst>
            <a:ext uri="{FF2B5EF4-FFF2-40B4-BE49-F238E27FC236}">
              <a16:creationId xmlns:a16="http://schemas.microsoft.com/office/drawing/2014/main" id="{1DC35534-6864-4522-946F-974FE4029F64}"/>
            </a:ext>
          </a:extLst>
        </xdr:cNvPr>
        <xdr:cNvPicPr>
          <a:picLocks noChangeAspect="1"/>
        </xdr:cNvPicPr>
      </xdr:nvPicPr>
      <xdr:blipFill>
        <a:blip xmlns:r="http://schemas.openxmlformats.org/officeDocument/2006/relationships" r:embed="rId1"/>
        <a:stretch>
          <a:fillRect/>
        </a:stretch>
      </xdr:blipFill>
      <xdr:spPr>
        <a:xfrm>
          <a:off x="730685" y="613253"/>
          <a:ext cx="665445" cy="615732"/>
        </a:xfrm>
        <a:prstGeom prst="rect">
          <a:avLst/>
        </a:prstGeom>
        <a:solidFill>
          <a:schemeClr val="bg2">
            <a:lumMod val="10000"/>
          </a:schemeClr>
        </a:solidFill>
      </xdr:spPr>
    </xdr:pic>
    <xdr:clientData/>
  </xdr:twoCellAnchor>
  <xdr:twoCellAnchor editAs="oneCell">
    <xdr:from>
      <xdr:col>1</xdr:col>
      <xdr:colOff>192768</xdr:colOff>
      <xdr:row>36</xdr:row>
      <xdr:rowOff>25186</xdr:rowOff>
    </xdr:from>
    <xdr:to>
      <xdr:col>3</xdr:col>
      <xdr:colOff>272143</xdr:colOff>
      <xdr:row>41</xdr:row>
      <xdr:rowOff>124732</xdr:rowOff>
    </xdr:to>
    <xdr:pic>
      <xdr:nvPicPr>
        <xdr:cNvPr id="158" name="Picture 157">
          <a:extLst>
            <a:ext uri="{FF2B5EF4-FFF2-40B4-BE49-F238E27FC236}">
              <a16:creationId xmlns:a16="http://schemas.microsoft.com/office/drawing/2014/main" id="{583ED85C-47FC-4026-9521-8BFE1467D3B5}"/>
            </a:ext>
          </a:extLst>
        </xdr:cNvPr>
        <xdr:cNvPicPr>
          <a:picLocks noChangeAspect="1"/>
        </xdr:cNvPicPr>
      </xdr:nvPicPr>
      <xdr:blipFill>
        <a:blip xmlns:r="http://schemas.openxmlformats.org/officeDocument/2006/relationships" r:embed="rId2"/>
        <a:stretch>
          <a:fillRect/>
        </a:stretch>
      </xdr:blipFill>
      <xdr:spPr>
        <a:xfrm>
          <a:off x="725714" y="6148400"/>
          <a:ext cx="1145268" cy="949993"/>
        </a:xfrm>
        <a:prstGeom prst="rect">
          <a:avLst/>
        </a:prstGeom>
        <a:solidFill>
          <a:schemeClr val="bg2">
            <a:lumMod val="10000"/>
          </a:schemeClr>
        </a:solidFill>
      </xdr:spPr>
    </xdr:pic>
    <xdr:clientData/>
  </xdr:twoCellAnchor>
  <xdr:twoCellAnchor editAs="oneCell">
    <xdr:from>
      <xdr:col>7</xdr:col>
      <xdr:colOff>234241</xdr:colOff>
      <xdr:row>8</xdr:row>
      <xdr:rowOff>36306</xdr:rowOff>
    </xdr:from>
    <xdr:to>
      <xdr:col>8</xdr:col>
      <xdr:colOff>91421</xdr:colOff>
      <xdr:row>10</xdr:row>
      <xdr:rowOff>38100</xdr:rowOff>
    </xdr:to>
    <xdr:pic>
      <xdr:nvPicPr>
        <xdr:cNvPr id="159" name="Picture 158">
          <a:extLst>
            <a:ext uri="{FF2B5EF4-FFF2-40B4-BE49-F238E27FC236}">
              <a16:creationId xmlns:a16="http://schemas.microsoft.com/office/drawing/2014/main" id="{3AF6F190-8EE0-46B6-A0D8-282D736151DC}"/>
            </a:ext>
          </a:extLst>
        </xdr:cNvPr>
        <xdr:cNvPicPr>
          <a:picLocks noChangeAspect="1"/>
        </xdr:cNvPicPr>
      </xdr:nvPicPr>
      <xdr:blipFill>
        <a:blip xmlns:r="http://schemas.openxmlformats.org/officeDocument/2006/relationships" r:embed="rId3"/>
        <a:stretch>
          <a:fillRect/>
        </a:stretch>
      </xdr:blipFill>
      <xdr:spPr>
        <a:xfrm>
          <a:off x="3968041" y="1407906"/>
          <a:ext cx="390580" cy="344694"/>
        </a:xfrm>
        <a:prstGeom prst="rect">
          <a:avLst/>
        </a:prstGeom>
        <a:solidFill>
          <a:schemeClr val="bg2">
            <a:lumMod val="10000"/>
          </a:schemeClr>
        </a:solidFill>
      </xdr:spPr>
    </xdr:pic>
    <xdr:clientData/>
  </xdr:twoCellAnchor>
  <xdr:twoCellAnchor editAs="oneCell">
    <xdr:from>
      <xdr:col>12</xdr:col>
      <xdr:colOff>79932</xdr:colOff>
      <xdr:row>8</xdr:row>
      <xdr:rowOff>55355</xdr:rowOff>
    </xdr:from>
    <xdr:to>
      <xdr:col>12</xdr:col>
      <xdr:colOff>495300</xdr:colOff>
      <xdr:row>10</xdr:row>
      <xdr:rowOff>104774</xdr:rowOff>
    </xdr:to>
    <xdr:pic>
      <xdr:nvPicPr>
        <xdr:cNvPr id="160" name="Picture 159">
          <a:extLst>
            <a:ext uri="{FF2B5EF4-FFF2-40B4-BE49-F238E27FC236}">
              <a16:creationId xmlns:a16="http://schemas.microsoft.com/office/drawing/2014/main" id="{A99EE4A0-371F-466F-93B8-8DA15B30F587}"/>
            </a:ext>
          </a:extLst>
        </xdr:cNvPr>
        <xdr:cNvPicPr>
          <a:picLocks noChangeAspect="1"/>
        </xdr:cNvPicPr>
      </xdr:nvPicPr>
      <xdr:blipFill>
        <a:blip xmlns:r="http://schemas.openxmlformats.org/officeDocument/2006/relationships" r:embed="rId4"/>
        <a:stretch>
          <a:fillRect/>
        </a:stretch>
      </xdr:blipFill>
      <xdr:spPr>
        <a:xfrm>
          <a:off x="6480732" y="1426955"/>
          <a:ext cx="415368" cy="392319"/>
        </a:xfrm>
        <a:prstGeom prst="rect">
          <a:avLst/>
        </a:prstGeom>
        <a:solidFill>
          <a:schemeClr val="bg2">
            <a:lumMod val="10000"/>
          </a:schemeClr>
        </a:solidFill>
      </xdr:spPr>
    </xdr:pic>
    <xdr:clientData/>
  </xdr:twoCellAnchor>
  <xdr:twoCellAnchor editAs="oneCell">
    <xdr:from>
      <xdr:col>16</xdr:col>
      <xdr:colOff>323850</xdr:colOff>
      <xdr:row>8</xdr:row>
      <xdr:rowOff>45831</xdr:rowOff>
    </xdr:from>
    <xdr:to>
      <xdr:col>17</xdr:col>
      <xdr:colOff>323850</xdr:colOff>
      <xdr:row>11</xdr:row>
      <xdr:rowOff>0</xdr:rowOff>
    </xdr:to>
    <xdr:pic>
      <xdr:nvPicPr>
        <xdr:cNvPr id="161" name="Picture 160">
          <a:extLst>
            <a:ext uri="{FF2B5EF4-FFF2-40B4-BE49-F238E27FC236}">
              <a16:creationId xmlns:a16="http://schemas.microsoft.com/office/drawing/2014/main" id="{9187F5ED-E265-41C6-80F7-446F25E81C36}"/>
            </a:ext>
          </a:extLst>
        </xdr:cNvPr>
        <xdr:cNvPicPr>
          <a:picLocks noChangeAspect="1"/>
        </xdr:cNvPicPr>
      </xdr:nvPicPr>
      <xdr:blipFill>
        <a:blip xmlns:r="http://schemas.openxmlformats.org/officeDocument/2006/relationships" r:embed="rId5"/>
        <a:stretch>
          <a:fillRect/>
        </a:stretch>
      </xdr:blipFill>
      <xdr:spPr>
        <a:xfrm>
          <a:off x="8858250" y="1417431"/>
          <a:ext cx="533400" cy="468519"/>
        </a:xfrm>
        <a:prstGeom prst="rect">
          <a:avLst/>
        </a:prstGeom>
        <a:solidFill>
          <a:schemeClr val="bg2">
            <a:lumMod val="10000"/>
          </a:schemeClr>
        </a:solidFill>
      </xdr:spPr>
    </xdr:pic>
    <xdr:clientData/>
  </xdr:twoCellAnchor>
  <xdr:twoCellAnchor editAs="oneCell">
    <xdr:from>
      <xdr:col>19</xdr:col>
      <xdr:colOff>84819</xdr:colOff>
      <xdr:row>15</xdr:row>
      <xdr:rowOff>22679</xdr:rowOff>
    </xdr:from>
    <xdr:to>
      <xdr:col>19</xdr:col>
      <xdr:colOff>484415</xdr:colOff>
      <xdr:row>17</xdr:row>
      <xdr:rowOff>2618</xdr:rowOff>
    </xdr:to>
    <xdr:pic>
      <xdr:nvPicPr>
        <xdr:cNvPr id="162" name="Picture 161">
          <a:extLst>
            <a:ext uri="{FF2B5EF4-FFF2-40B4-BE49-F238E27FC236}">
              <a16:creationId xmlns:a16="http://schemas.microsoft.com/office/drawing/2014/main" id="{5F8C2647-E4DE-479D-8367-B55D57864BC7}"/>
            </a:ext>
          </a:extLst>
        </xdr:cNvPr>
        <xdr:cNvPicPr>
          <a:picLocks noChangeAspect="1"/>
        </xdr:cNvPicPr>
      </xdr:nvPicPr>
      <xdr:blipFill>
        <a:blip xmlns:r="http://schemas.openxmlformats.org/officeDocument/2006/relationships" r:embed="rId6"/>
        <a:stretch>
          <a:fillRect/>
        </a:stretch>
      </xdr:blipFill>
      <xdr:spPr>
        <a:xfrm>
          <a:off x="10210801" y="2574018"/>
          <a:ext cx="399596" cy="320118"/>
        </a:xfrm>
        <a:prstGeom prst="rect">
          <a:avLst/>
        </a:prstGeom>
        <a:solidFill>
          <a:schemeClr val="bg2">
            <a:lumMod val="10000"/>
          </a:schemeClr>
        </a:solidFill>
      </xdr:spPr>
    </xdr:pic>
    <xdr:clientData/>
  </xdr:twoCellAnchor>
  <xdr:twoCellAnchor editAs="oneCell">
    <xdr:from>
      <xdr:col>22</xdr:col>
      <xdr:colOff>243568</xdr:colOff>
      <xdr:row>15</xdr:row>
      <xdr:rowOff>56697</xdr:rowOff>
    </xdr:from>
    <xdr:to>
      <xdr:col>23</xdr:col>
      <xdr:colOff>110218</xdr:colOff>
      <xdr:row>16</xdr:row>
      <xdr:rowOff>155070</xdr:rowOff>
    </xdr:to>
    <xdr:pic>
      <xdr:nvPicPr>
        <xdr:cNvPr id="163" name="Picture 162">
          <a:extLst>
            <a:ext uri="{FF2B5EF4-FFF2-40B4-BE49-F238E27FC236}">
              <a16:creationId xmlns:a16="http://schemas.microsoft.com/office/drawing/2014/main" id="{029A35B5-3417-425E-B843-57EEDD9B4167}"/>
            </a:ext>
          </a:extLst>
        </xdr:cNvPr>
        <xdr:cNvPicPr>
          <a:picLocks noChangeAspect="1"/>
        </xdr:cNvPicPr>
      </xdr:nvPicPr>
      <xdr:blipFill>
        <a:blip xmlns:r="http://schemas.openxmlformats.org/officeDocument/2006/relationships" r:embed="rId7"/>
        <a:stretch>
          <a:fillRect/>
        </a:stretch>
      </xdr:blipFill>
      <xdr:spPr>
        <a:xfrm>
          <a:off x="11968389" y="2608036"/>
          <a:ext cx="399597" cy="268463"/>
        </a:xfrm>
        <a:prstGeom prst="rect">
          <a:avLst/>
        </a:prstGeom>
        <a:solidFill>
          <a:schemeClr val="bg2">
            <a:lumMod val="10000"/>
          </a:schemeClr>
        </a:solidFill>
      </xdr:spPr>
    </xdr:pic>
    <xdr:clientData/>
  </xdr:twoCellAnchor>
  <xdr:twoCellAnchor editAs="oneCell">
    <xdr:from>
      <xdr:col>18</xdr:col>
      <xdr:colOff>203372</xdr:colOff>
      <xdr:row>20</xdr:row>
      <xdr:rowOff>104775</xdr:rowOff>
    </xdr:from>
    <xdr:to>
      <xdr:col>19</xdr:col>
      <xdr:colOff>28575</xdr:colOff>
      <xdr:row>22</xdr:row>
      <xdr:rowOff>24931</xdr:rowOff>
    </xdr:to>
    <xdr:pic>
      <xdr:nvPicPr>
        <xdr:cNvPr id="164" name="Picture 163">
          <a:extLst>
            <a:ext uri="{FF2B5EF4-FFF2-40B4-BE49-F238E27FC236}">
              <a16:creationId xmlns:a16="http://schemas.microsoft.com/office/drawing/2014/main" id="{856583EA-6C60-4556-A90B-9D7CA0271D4B}"/>
            </a:ext>
          </a:extLst>
        </xdr:cNvPr>
        <xdr:cNvPicPr>
          <a:picLocks noChangeAspect="1"/>
        </xdr:cNvPicPr>
      </xdr:nvPicPr>
      <xdr:blipFill>
        <a:blip xmlns:r="http://schemas.openxmlformats.org/officeDocument/2006/relationships" r:embed="rId8"/>
        <a:stretch>
          <a:fillRect/>
        </a:stretch>
      </xdr:blipFill>
      <xdr:spPr>
        <a:xfrm>
          <a:off x="9804572" y="3533775"/>
          <a:ext cx="358603" cy="263056"/>
        </a:xfrm>
        <a:prstGeom prst="rect">
          <a:avLst/>
        </a:prstGeom>
        <a:solidFill>
          <a:schemeClr val="bg2">
            <a:lumMod val="10000"/>
          </a:schemeClr>
        </a:solidFill>
      </xdr:spPr>
    </xdr:pic>
    <xdr:clientData/>
  </xdr:twoCellAnchor>
  <xdr:twoCellAnchor editAs="oneCell">
    <xdr:from>
      <xdr:col>4</xdr:col>
      <xdr:colOff>107907</xdr:colOff>
      <xdr:row>28</xdr:row>
      <xdr:rowOff>28575</xdr:rowOff>
    </xdr:from>
    <xdr:to>
      <xdr:col>5</xdr:col>
      <xdr:colOff>155532</xdr:colOff>
      <xdr:row>30</xdr:row>
      <xdr:rowOff>66675</xdr:rowOff>
    </xdr:to>
    <xdr:pic>
      <xdr:nvPicPr>
        <xdr:cNvPr id="165" name="Picture 164">
          <a:extLst>
            <a:ext uri="{FF2B5EF4-FFF2-40B4-BE49-F238E27FC236}">
              <a16:creationId xmlns:a16="http://schemas.microsoft.com/office/drawing/2014/main" id="{4468475C-F0FF-4C6A-86CC-58BDC05B2C08}"/>
            </a:ext>
          </a:extLst>
        </xdr:cNvPr>
        <xdr:cNvPicPr>
          <a:picLocks noChangeAspect="1"/>
        </xdr:cNvPicPr>
      </xdr:nvPicPr>
      <xdr:blipFill>
        <a:blip xmlns:r="http://schemas.openxmlformats.org/officeDocument/2006/relationships" r:embed="rId9"/>
        <a:stretch>
          <a:fillRect/>
        </a:stretch>
      </xdr:blipFill>
      <xdr:spPr>
        <a:xfrm>
          <a:off x="2241507" y="4829175"/>
          <a:ext cx="581025" cy="381000"/>
        </a:xfrm>
        <a:prstGeom prst="rect">
          <a:avLst/>
        </a:prstGeom>
        <a:solidFill>
          <a:schemeClr val="bg2">
            <a:lumMod val="10000"/>
          </a:schemeClr>
        </a:solidFill>
      </xdr:spPr>
    </xdr:pic>
    <xdr:clientData/>
  </xdr:twoCellAnchor>
  <xdr:twoCellAnchor editAs="oneCell">
    <xdr:from>
      <xdr:col>14</xdr:col>
      <xdr:colOff>417023</xdr:colOff>
      <xdr:row>28</xdr:row>
      <xdr:rowOff>73397</xdr:rowOff>
    </xdr:from>
    <xdr:to>
      <xdr:col>15</xdr:col>
      <xdr:colOff>293198</xdr:colOff>
      <xdr:row>30</xdr:row>
      <xdr:rowOff>41208</xdr:rowOff>
    </xdr:to>
    <xdr:pic>
      <xdr:nvPicPr>
        <xdr:cNvPr id="166" name="Picture 165">
          <a:extLst>
            <a:ext uri="{FF2B5EF4-FFF2-40B4-BE49-F238E27FC236}">
              <a16:creationId xmlns:a16="http://schemas.microsoft.com/office/drawing/2014/main" id="{30BFB95B-9512-4665-B68B-6B707A436F3F}"/>
            </a:ext>
          </a:extLst>
        </xdr:cNvPr>
        <xdr:cNvPicPr>
          <a:picLocks noChangeAspect="1"/>
        </xdr:cNvPicPr>
      </xdr:nvPicPr>
      <xdr:blipFill>
        <a:blip xmlns:r="http://schemas.openxmlformats.org/officeDocument/2006/relationships" r:embed="rId10"/>
        <a:stretch>
          <a:fillRect/>
        </a:stretch>
      </xdr:blipFill>
      <xdr:spPr>
        <a:xfrm>
          <a:off x="7884623" y="4873997"/>
          <a:ext cx="409575" cy="310711"/>
        </a:xfrm>
        <a:prstGeom prst="rect">
          <a:avLst/>
        </a:prstGeom>
        <a:solidFill>
          <a:schemeClr val="bg2">
            <a:lumMod val="10000"/>
          </a:schemeClr>
        </a:solidFill>
      </xdr:spPr>
    </xdr:pic>
    <xdr:clientData/>
  </xdr:twoCellAnchor>
  <xdr:twoCellAnchor editAs="oneCell">
    <xdr:from>
      <xdr:col>10</xdr:col>
      <xdr:colOff>331162</xdr:colOff>
      <xdr:row>13</xdr:row>
      <xdr:rowOff>142875</xdr:rowOff>
    </xdr:from>
    <xdr:to>
      <xdr:col>11</xdr:col>
      <xdr:colOff>74222</xdr:colOff>
      <xdr:row>15</xdr:row>
      <xdr:rowOff>88455</xdr:rowOff>
    </xdr:to>
    <xdr:pic>
      <xdr:nvPicPr>
        <xdr:cNvPr id="167" name="Picture 166">
          <a:extLst>
            <a:ext uri="{FF2B5EF4-FFF2-40B4-BE49-F238E27FC236}">
              <a16:creationId xmlns:a16="http://schemas.microsoft.com/office/drawing/2014/main" id="{081B70F6-2CDA-4A41-AC88-20B5DCB0FEAA}"/>
            </a:ext>
          </a:extLst>
        </xdr:cNvPr>
        <xdr:cNvPicPr>
          <a:picLocks noChangeAspect="1"/>
        </xdr:cNvPicPr>
      </xdr:nvPicPr>
      <xdr:blipFill>
        <a:blip xmlns:r="http://schemas.openxmlformats.org/officeDocument/2006/relationships" r:embed="rId11"/>
        <a:stretch>
          <a:fillRect/>
        </a:stretch>
      </xdr:blipFill>
      <xdr:spPr>
        <a:xfrm>
          <a:off x="5665162" y="2371725"/>
          <a:ext cx="276460" cy="288480"/>
        </a:xfrm>
        <a:prstGeom prst="rect">
          <a:avLst/>
        </a:prstGeom>
        <a:solidFill>
          <a:schemeClr val="bg2">
            <a:lumMod val="10000"/>
          </a:schemeClr>
        </a:solidFill>
      </xdr:spPr>
    </xdr:pic>
    <xdr:clientData/>
  </xdr:twoCellAnchor>
  <xdr:twoCellAnchor editAs="oneCell">
    <xdr:from>
      <xdr:col>14</xdr:col>
      <xdr:colOff>419101</xdr:colOff>
      <xdr:row>13</xdr:row>
      <xdr:rowOff>133350</xdr:rowOff>
    </xdr:from>
    <xdr:to>
      <xdr:col>15</xdr:col>
      <xdr:colOff>209551</xdr:colOff>
      <xdr:row>15</xdr:row>
      <xdr:rowOff>73559</xdr:rowOff>
    </xdr:to>
    <xdr:pic>
      <xdr:nvPicPr>
        <xdr:cNvPr id="168" name="Picture 167">
          <a:extLst>
            <a:ext uri="{FF2B5EF4-FFF2-40B4-BE49-F238E27FC236}">
              <a16:creationId xmlns:a16="http://schemas.microsoft.com/office/drawing/2014/main" id="{5E9DD03E-3B49-4D27-9FBF-B85B20DBCFE4}"/>
            </a:ext>
          </a:extLst>
        </xdr:cNvPr>
        <xdr:cNvPicPr>
          <a:picLocks noChangeAspect="1"/>
        </xdr:cNvPicPr>
      </xdr:nvPicPr>
      <xdr:blipFill>
        <a:blip xmlns:r="http://schemas.openxmlformats.org/officeDocument/2006/relationships" r:embed="rId12"/>
        <a:stretch>
          <a:fillRect/>
        </a:stretch>
      </xdr:blipFill>
      <xdr:spPr>
        <a:xfrm>
          <a:off x="7886701" y="2362200"/>
          <a:ext cx="323850" cy="283109"/>
        </a:xfrm>
        <a:prstGeom prst="rect">
          <a:avLst/>
        </a:prstGeom>
        <a:solidFill>
          <a:schemeClr val="bg2">
            <a:lumMod val="10000"/>
          </a:schemeClr>
        </a:solidFill>
      </xdr:spPr>
    </xdr:pic>
    <xdr:clientData/>
  </xdr:twoCellAnchor>
  <xdr:twoCellAnchor editAs="oneCell">
    <xdr:from>
      <xdr:col>4</xdr:col>
      <xdr:colOff>106906</xdr:colOff>
      <xdr:row>13</xdr:row>
      <xdr:rowOff>142875</xdr:rowOff>
    </xdr:from>
    <xdr:to>
      <xdr:col>4</xdr:col>
      <xdr:colOff>478380</xdr:colOff>
      <xdr:row>15</xdr:row>
      <xdr:rowOff>138212</xdr:rowOff>
    </xdr:to>
    <xdr:pic>
      <xdr:nvPicPr>
        <xdr:cNvPr id="169" name="Picture 168">
          <a:extLst>
            <a:ext uri="{FF2B5EF4-FFF2-40B4-BE49-F238E27FC236}">
              <a16:creationId xmlns:a16="http://schemas.microsoft.com/office/drawing/2014/main" id="{CB400D4A-1BCF-454A-AB83-7F6A4B14C1D7}"/>
            </a:ext>
          </a:extLst>
        </xdr:cNvPr>
        <xdr:cNvPicPr>
          <a:picLocks noChangeAspect="1"/>
        </xdr:cNvPicPr>
      </xdr:nvPicPr>
      <xdr:blipFill>
        <a:blip xmlns:r="http://schemas.openxmlformats.org/officeDocument/2006/relationships" r:embed="rId13"/>
        <a:stretch>
          <a:fillRect/>
        </a:stretch>
      </xdr:blipFill>
      <xdr:spPr>
        <a:xfrm>
          <a:off x="2240506" y="2371725"/>
          <a:ext cx="371474" cy="338237"/>
        </a:xfrm>
        <a:prstGeom prst="rect">
          <a:avLst/>
        </a:prstGeom>
        <a:solidFill>
          <a:schemeClr val="bg2">
            <a:lumMod val="10000"/>
          </a:schemeClr>
        </a:solidFill>
      </xdr:spPr>
    </xdr:pic>
    <xdr:clientData/>
  </xdr:twoCellAnchor>
  <xdr:twoCellAnchor>
    <xdr:from>
      <xdr:col>2</xdr:col>
      <xdr:colOff>249464</xdr:colOff>
      <xdr:row>3</xdr:row>
      <xdr:rowOff>102054</xdr:rowOff>
    </xdr:from>
    <xdr:to>
      <xdr:col>7</xdr:col>
      <xdr:colOff>340179</xdr:colOff>
      <xdr:row>6</xdr:row>
      <xdr:rowOff>11340</xdr:rowOff>
    </xdr:to>
    <xdr:sp macro="" textlink="">
      <xdr:nvSpPr>
        <xdr:cNvPr id="4" name="TextBox 3">
          <a:extLst>
            <a:ext uri="{FF2B5EF4-FFF2-40B4-BE49-F238E27FC236}">
              <a16:creationId xmlns:a16="http://schemas.microsoft.com/office/drawing/2014/main" id="{CCFFEF87-FF49-FD05-DB9F-FAB20C04E5BD}"/>
            </a:ext>
          </a:extLst>
        </xdr:cNvPr>
        <xdr:cNvSpPr txBox="1"/>
      </xdr:nvSpPr>
      <xdr:spPr>
        <a:xfrm>
          <a:off x="1315357" y="612322"/>
          <a:ext cx="2755447" cy="419554"/>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kern="1200">
              <a:solidFill>
                <a:schemeClr val="bg1"/>
              </a:solidFill>
            </a:rPr>
            <a:t>SALES</a:t>
          </a:r>
          <a:r>
            <a:rPr lang="en-US" sz="2400" b="1" kern="1200" baseline="0">
              <a:solidFill>
                <a:schemeClr val="bg1"/>
              </a:solidFill>
            </a:rPr>
            <a:t> DASHBOARD</a:t>
          </a:r>
          <a:endParaRPr lang="en-KE" sz="2400" b="1" kern="1200">
            <a:solidFill>
              <a:schemeClr val="bg1"/>
            </a:solidFill>
          </a:endParaRPr>
        </a:p>
      </xdr:txBody>
    </xdr:sp>
    <xdr:clientData/>
  </xdr:twoCellAnchor>
  <xdr:twoCellAnchor>
    <xdr:from>
      <xdr:col>2</xdr:col>
      <xdr:colOff>260803</xdr:colOff>
      <xdr:row>6</xdr:row>
      <xdr:rowOff>34018</xdr:rowOff>
    </xdr:from>
    <xdr:to>
      <xdr:col>5</xdr:col>
      <xdr:colOff>147411</xdr:colOff>
      <xdr:row>7</xdr:row>
      <xdr:rowOff>90713</xdr:rowOff>
    </xdr:to>
    <xdr:sp macro="" textlink="">
      <xdr:nvSpPr>
        <xdr:cNvPr id="7" name="TextBox 6">
          <a:extLst>
            <a:ext uri="{FF2B5EF4-FFF2-40B4-BE49-F238E27FC236}">
              <a16:creationId xmlns:a16="http://schemas.microsoft.com/office/drawing/2014/main" id="{848650F6-D4EF-4DAF-87CE-EE7494CBAEC6}"/>
            </a:ext>
          </a:extLst>
        </xdr:cNvPr>
        <xdr:cNvSpPr txBox="1"/>
      </xdr:nvSpPr>
      <xdr:spPr>
        <a:xfrm>
          <a:off x="1326696" y="1054554"/>
          <a:ext cx="1485447" cy="226784"/>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kern="1200">
              <a:solidFill>
                <a:srgbClr val="FFFF00"/>
              </a:solidFill>
            </a:rPr>
            <a:t>SUPERMARKET</a:t>
          </a:r>
          <a:r>
            <a:rPr lang="en-US" sz="900" b="1" kern="1200" baseline="0">
              <a:solidFill>
                <a:srgbClr val="FFFF00"/>
              </a:solidFill>
            </a:rPr>
            <a:t> SHOPS</a:t>
          </a:r>
          <a:endParaRPr lang="en-KE" sz="900" b="1" kern="1200">
            <a:solidFill>
              <a:srgbClr val="FFFF00"/>
            </a:solidFill>
          </a:endParaRPr>
        </a:p>
      </xdr:txBody>
    </xdr:sp>
    <xdr:clientData/>
  </xdr:twoCellAnchor>
  <xdr:twoCellAnchor>
    <xdr:from>
      <xdr:col>13</xdr:col>
      <xdr:colOff>192767</xdr:colOff>
      <xdr:row>8</xdr:row>
      <xdr:rowOff>79374</xdr:rowOff>
    </xdr:from>
    <xdr:to>
      <xdr:col>16</xdr:col>
      <xdr:colOff>40830</xdr:colOff>
      <xdr:row>9</xdr:row>
      <xdr:rowOff>158750</xdr:rowOff>
    </xdr:to>
    <xdr:sp macro="" textlink="">
      <xdr:nvSpPr>
        <xdr:cNvPr id="9" name="TextBox 8">
          <a:extLst>
            <a:ext uri="{FF2B5EF4-FFF2-40B4-BE49-F238E27FC236}">
              <a16:creationId xmlns:a16="http://schemas.microsoft.com/office/drawing/2014/main" id="{1C62F995-3D2B-4290-B888-650EA0097D63}"/>
            </a:ext>
          </a:extLst>
        </xdr:cNvPr>
        <xdr:cNvSpPr txBox="1"/>
      </xdr:nvSpPr>
      <xdr:spPr>
        <a:xfrm>
          <a:off x="7121071" y="1440088"/>
          <a:ext cx="1446902" cy="24946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kern="1200">
              <a:solidFill>
                <a:srgbClr val="FFFF00"/>
              </a:solidFill>
            </a:rPr>
            <a:t>PROFIT</a:t>
          </a:r>
          <a:r>
            <a:rPr lang="en-US" sz="1200" b="1" kern="1200" baseline="0">
              <a:solidFill>
                <a:srgbClr val="FFFF00"/>
              </a:solidFill>
            </a:rPr>
            <a:t> %</a:t>
          </a:r>
          <a:endParaRPr lang="en-KE" sz="1200" b="1" kern="1200">
            <a:solidFill>
              <a:srgbClr val="FFFF00"/>
            </a:solidFill>
          </a:endParaRPr>
        </a:p>
      </xdr:txBody>
    </xdr:sp>
    <xdr:clientData/>
  </xdr:twoCellAnchor>
  <xdr:twoCellAnchor>
    <xdr:from>
      <xdr:col>13</xdr:col>
      <xdr:colOff>208767</xdr:colOff>
      <xdr:row>9</xdr:row>
      <xdr:rowOff>171449</xdr:rowOff>
    </xdr:from>
    <xdr:to>
      <xdr:col>16</xdr:col>
      <xdr:colOff>333375</xdr:colOff>
      <xdr:row>12</xdr:row>
      <xdr:rowOff>45356</xdr:rowOff>
    </xdr:to>
    <xdr:sp macro="" textlink="Analysis!H7">
      <xdr:nvSpPr>
        <xdr:cNvPr id="11" name="TextBox 10">
          <a:extLst>
            <a:ext uri="{FF2B5EF4-FFF2-40B4-BE49-F238E27FC236}">
              <a16:creationId xmlns:a16="http://schemas.microsoft.com/office/drawing/2014/main" id="{212B50B8-59E2-43AE-87D4-8DCAA12AC21E}"/>
            </a:ext>
          </a:extLst>
        </xdr:cNvPr>
        <xdr:cNvSpPr txBox="1"/>
      </xdr:nvSpPr>
      <xdr:spPr>
        <a:xfrm>
          <a:off x="7142967" y="1714499"/>
          <a:ext cx="1724808" cy="388257"/>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E289FD-1E5A-408D-A284-916D1A899BCD}" type="TxLink">
            <a:rPr lang="en-US" sz="2400" b="1" i="0" u="none" strike="noStrike" kern="1200">
              <a:solidFill>
                <a:schemeClr val="bg1"/>
              </a:solidFill>
              <a:latin typeface="Trebuchet MS"/>
            </a:rPr>
            <a:pPr algn="ctr"/>
            <a:t>5%</a:t>
          </a:fld>
          <a:endParaRPr lang="en-KE" sz="2400" b="1" kern="1200">
            <a:solidFill>
              <a:schemeClr val="bg1"/>
            </a:solidFill>
          </a:endParaRPr>
        </a:p>
      </xdr:txBody>
    </xdr:sp>
    <xdr:clientData/>
  </xdr:twoCellAnchor>
  <xdr:twoCellAnchor>
    <xdr:from>
      <xdr:col>8</xdr:col>
      <xdr:colOff>385536</xdr:colOff>
      <xdr:row>8</xdr:row>
      <xdr:rowOff>68036</xdr:rowOff>
    </xdr:from>
    <xdr:to>
      <xdr:col>11</xdr:col>
      <xdr:colOff>211921</xdr:colOff>
      <xdr:row>9</xdr:row>
      <xdr:rowOff>124732</xdr:rowOff>
    </xdr:to>
    <xdr:sp macro="" textlink="">
      <xdr:nvSpPr>
        <xdr:cNvPr id="13" name="TextBox 12">
          <a:extLst>
            <a:ext uri="{FF2B5EF4-FFF2-40B4-BE49-F238E27FC236}">
              <a16:creationId xmlns:a16="http://schemas.microsoft.com/office/drawing/2014/main" id="{FDB2A407-D89C-4BC4-B75D-84D8961E5621}"/>
            </a:ext>
          </a:extLst>
        </xdr:cNvPr>
        <xdr:cNvSpPr txBox="1"/>
      </xdr:nvSpPr>
      <xdr:spPr>
        <a:xfrm>
          <a:off x="4649107" y="1428750"/>
          <a:ext cx="1425225" cy="22678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kern="1200">
              <a:solidFill>
                <a:srgbClr val="FFFF00"/>
              </a:solidFill>
            </a:rPr>
            <a:t>TOTAL</a:t>
          </a:r>
          <a:r>
            <a:rPr lang="en-US" sz="1200" b="1" kern="1200" baseline="0">
              <a:solidFill>
                <a:srgbClr val="FFFF00"/>
              </a:solidFill>
            </a:rPr>
            <a:t> PROFIT</a:t>
          </a:r>
          <a:endParaRPr lang="en-KE" sz="1200" b="1" kern="1200">
            <a:solidFill>
              <a:srgbClr val="FFFF00"/>
            </a:solidFill>
          </a:endParaRPr>
        </a:p>
      </xdr:txBody>
    </xdr:sp>
    <xdr:clientData/>
  </xdr:twoCellAnchor>
  <xdr:twoCellAnchor>
    <xdr:from>
      <xdr:col>8</xdr:col>
      <xdr:colOff>430582</xdr:colOff>
      <xdr:row>9</xdr:row>
      <xdr:rowOff>124733</xdr:rowOff>
    </xdr:from>
    <xdr:to>
      <xdr:col>12</xdr:col>
      <xdr:colOff>34018</xdr:colOff>
      <xdr:row>11</xdr:row>
      <xdr:rowOff>156577</xdr:rowOff>
    </xdr:to>
    <xdr:sp macro="" textlink="Analysis!H6">
      <xdr:nvSpPr>
        <xdr:cNvPr id="14" name="TextBox 13">
          <a:extLst>
            <a:ext uri="{FF2B5EF4-FFF2-40B4-BE49-F238E27FC236}">
              <a16:creationId xmlns:a16="http://schemas.microsoft.com/office/drawing/2014/main" id="{2FF0380F-E22F-4AA6-803C-67734461EAA3}"/>
            </a:ext>
          </a:extLst>
        </xdr:cNvPr>
        <xdr:cNvSpPr txBox="1"/>
      </xdr:nvSpPr>
      <xdr:spPr>
        <a:xfrm>
          <a:off x="4710308" y="1651343"/>
          <a:ext cx="1743299" cy="37109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294FC8-4505-4702-96C4-EDCE8D205A3C}" type="TxLink">
            <a:rPr lang="en-US" sz="1600" b="1" i="0" u="none" strike="noStrike" kern="1200">
              <a:solidFill>
                <a:schemeClr val="bg1"/>
              </a:solidFill>
              <a:latin typeface="Trebuchet MS"/>
            </a:rPr>
            <a:pPr algn="ctr"/>
            <a:t>Ksh 11,458.82</a:t>
          </a:fld>
          <a:endParaRPr lang="en-KE" sz="1600" b="1" kern="1200">
            <a:solidFill>
              <a:schemeClr val="bg1"/>
            </a:solidFill>
          </a:endParaRPr>
        </a:p>
      </xdr:txBody>
    </xdr:sp>
    <xdr:clientData/>
  </xdr:twoCellAnchor>
  <xdr:twoCellAnchor>
    <xdr:from>
      <xdr:col>18</xdr:col>
      <xdr:colOff>385535</xdr:colOff>
      <xdr:row>9</xdr:row>
      <xdr:rowOff>102052</xdr:rowOff>
    </xdr:from>
    <xdr:to>
      <xdr:col>20</xdr:col>
      <xdr:colOff>272141</xdr:colOff>
      <xdr:row>11</xdr:row>
      <xdr:rowOff>158749</xdr:rowOff>
    </xdr:to>
    <xdr:sp macro="" textlink="">
      <xdr:nvSpPr>
        <xdr:cNvPr id="16" name="TextBox 15">
          <a:extLst>
            <a:ext uri="{FF2B5EF4-FFF2-40B4-BE49-F238E27FC236}">
              <a16:creationId xmlns:a16="http://schemas.microsoft.com/office/drawing/2014/main" id="{D0949645-3F60-4DC2-BBB1-B473299D8F24}"/>
            </a:ext>
          </a:extLst>
        </xdr:cNvPr>
        <xdr:cNvSpPr txBox="1"/>
      </xdr:nvSpPr>
      <xdr:spPr>
        <a:xfrm>
          <a:off x="9978571" y="1632856"/>
          <a:ext cx="952499" cy="396875"/>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kern="1200">
              <a:solidFill>
                <a:srgbClr val="FFFF00"/>
              </a:solidFill>
            </a:rPr>
            <a:t>TOP</a:t>
          </a:r>
        </a:p>
        <a:p>
          <a:pPr algn="ctr"/>
          <a:r>
            <a:rPr lang="en-US" sz="900" b="1" kern="1200">
              <a:solidFill>
                <a:srgbClr val="FFFF00"/>
              </a:solidFill>
            </a:rPr>
            <a:t>INVOICE</a:t>
          </a:r>
          <a:endParaRPr lang="en-KE" sz="900" b="1" kern="1200">
            <a:solidFill>
              <a:srgbClr val="FFFF00"/>
            </a:solidFill>
          </a:endParaRPr>
        </a:p>
      </xdr:txBody>
    </xdr:sp>
    <xdr:clientData/>
  </xdr:twoCellAnchor>
  <xdr:twoCellAnchor>
    <xdr:from>
      <xdr:col>18</xdr:col>
      <xdr:colOff>215446</xdr:colOff>
      <xdr:row>12</xdr:row>
      <xdr:rowOff>11339</xdr:rowOff>
    </xdr:from>
    <xdr:to>
      <xdr:col>20</xdr:col>
      <xdr:colOff>351517</xdr:colOff>
      <xdr:row>13</xdr:row>
      <xdr:rowOff>68035</xdr:rowOff>
    </xdr:to>
    <xdr:sp macro="" textlink="Analysis!X1">
      <xdr:nvSpPr>
        <xdr:cNvPr id="17" name="TextBox 16">
          <a:extLst>
            <a:ext uri="{FF2B5EF4-FFF2-40B4-BE49-F238E27FC236}">
              <a16:creationId xmlns:a16="http://schemas.microsoft.com/office/drawing/2014/main" id="{0BA2418A-F9C1-417F-AA61-A9B46AF21D9E}"/>
            </a:ext>
          </a:extLst>
        </xdr:cNvPr>
        <xdr:cNvSpPr txBox="1"/>
      </xdr:nvSpPr>
      <xdr:spPr>
        <a:xfrm>
          <a:off x="9808482" y="2052410"/>
          <a:ext cx="1201964" cy="22678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4CDB30-DC55-4E26-8523-5ED21626D34A}" type="TxLink">
            <a:rPr lang="en-US" sz="1000" b="1" i="0" u="none" strike="noStrike" kern="1200">
              <a:solidFill>
                <a:schemeClr val="bg1"/>
              </a:solidFill>
              <a:latin typeface="Trebuchet MS"/>
            </a:rPr>
            <a:pPr algn="ctr"/>
            <a:t>860-79-0874</a:t>
          </a:fld>
          <a:endParaRPr lang="en-KE" sz="1000" b="1" kern="1200">
            <a:solidFill>
              <a:schemeClr val="bg1"/>
            </a:solidFill>
          </a:endParaRPr>
        </a:p>
      </xdr:txBody>
    </xdr:sp>
    <xdr:clientData/>
  </xdr:twoCellAnchor>
  <xdr:twoCellAnchor>
    <xdr:from>
      <xdr:col>18</xdr:col>
      <xdr:colOff>204108</xdr:colOff>
      <xdr:row>13</xdr:row>
      <xdr:rowOff>68035</xdr:rowOff>
    </xdr:from>
    <xdr:to>
      <xdr:col>20</xdr:col>
      <xdr:colOff>362857</xdr:colOff>
      <xdr:row>15</xdr:row>
      <xdr:rowOff>0</xdr:rowOff>
    </xdr:to>
    <xdr:sp macro="" textlink="Analysis!Z1">
      <xdr:nvSpPr>
        <xdr:cNvPr id="21" name="TextBox 20">
          <a:extLst>
            <a:ext uri="{FF2B5EF4-FFF2-40B4-BE49-F238E27FC236}">
              <a16:creationId xmlns:a16="http://schemas.microsoft.com/office/drawing/2014/main" id="{DF022B4E-DDED-482B-9700-748BFFEAAF5C}"/>
            </a:ext>
          </a:extLst>
        </xdr:cNvPr>
        <xdr:cNvSpPr txBox="1"/>
      </xdr:nvSpPr>
      <xdr:spPr>
        <a:xfrm>
          <a:off x="9797144" y="2279196"/>
          <a:ext cx="1224642" cy="272143"/>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F4257A-1FAB-40F9-A699-7D85B22CB1C7}" type="TxLink">
            <a:rPr lang="en-US" sz="1000" b="0" i="0" u="none" strike="noStrike" kern="1200">
              <a:solidFill>
                <a:schemeClr val="bg1"/>
              </a:solidFill>
              <a:latin typeface="Trebuchet MS"/>
            </a:rPr>
            <a:pPr algn="ctr"/>
            <a:t>Kshs. 1042.65</a:t>
          </a:fld>
          <a:endParaRPr lang="en-KE" sz="1000" b="1" kern="1200">
            <a:solidFill>
              <a:schemeClr val="bg1"/>
            </a:solidFill>
          </a:endParaRPr>
        </a:p>
      </xdr:txBody>
    </xdr:sp>
    <xdr:clientData/>
  </xdr:twoCellAnchor>
  <xdr:twoCellAnchor>
    <xdr:from>
      <xdr:col>22</xdr:col>
      <xdr:colOff>56697</xdr:colOff>
      <xdr:row>9</xdr:row>
      <xdr:rowOff>68035</xdr:rowOff>
    </xdr:from>
    <xdr:to>
      <xdr:col>23</xdr:col>
      <xdr:colOff>385536</xdr:colOff>
      <xdr:row>11</xdr:row>
      <xdr:rowOff>102054</xdr:rowOff>
    </xdr:to>
    <xdr:sp macro="" textlink="">
      <xdr:nvSpPr>
        <xdr:cNvPr id="23" name="TextBox 22">
          <a:extLst>
            <a:ext uri="{FF2B5EF4-FFF2-40B4-BE49-F238E27FC236}">
              <a16:creationId xmlns:a16="http://schemas.microsoft.com/office/drawing/2014/main" id="{B0251FF2-E593-4427-8213-D400E04EF199}"/>
            </a:ext>
          </a:extLst>
        </xdr:cNvPr>
        <xdr:cNvSpPr txBox="1"/>
      </xdr:nvSpPr>
      <xdr:spPr>
        <a:xfrm>
          <a:off x="11781518" y="1598839"/>
          <a:ext cx="861786" cy="374197"/>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kern="1200">
              <a:solidFill>
                <a:srgbClr val="FFFF00"/>
              </a:solidFill>
            </a:rPr>
            <a:t>TOP</a:t>
          </a:r>
          <a:r>
            <a:rPr lang="en-US" sz="900" b="1" kern="1200" baseline="0">
              <a:solidFill>
                <a:srgbClr val="FFFF00"/>
              </a:solidFill>
            </a:rPr>
            <a:t> CATEGORY</a:t>
          </a:r>
          <a:endParaRPr lang="en-KE" sz="900" b="1" kern="1200">
            <a:solidFill>
              <a:srgbClr val="FFFF00"/>
            </a:solidFill>
          </a:endParaRPr>
        </a:p>
      </xdr:txBody>
    </xdr:sp>
    <xdr:clientData/>
  </xdr:twoCellAnchor>
  <xdr:twoCellAnchor>
    <xdr:from>
      <xdr:col>21</xdr:col>
      <xdr:colOff>521607</xdr:colOff>
      <xdr:row>11</xdr:row>
      <xdr:rowOff>136071</xdr:rowOff>
    </xdr:from>
    <xdr:to>
      <xdr:col>23</xdr:col>
      <xdr:colOff>408213</xdr:colOff>
      <xdr:row>13</xdr:row>
      <xdr:rowOff>102053</xdr:rowOff>
    </xdr:to>
    <xdr:sp macro="" textlink="Analysis!AK1">
      <xdr:nvSpPr>
        <xdr:cNvPr id="24" name="TextBox 23">
          <a:extLst>
            <a:ext uri="{FF2B5EF4-FFF2-40B4-BE49-F238E27FC236}">
              <a16:creationId xmlns:a16="http://schemas.microsoft.com/office/drawing/2014/main" id="{573376F6-0E3B-4BCA-9930-ABB34A02FF6C}"/>
            </a:ext>
          </a:extLst>
        </xdr:cNvPr>
        <xdr:cNvSpPr txBox="1"/>
      </xdr:nvSpPr>
      <xdr:spPr>
        <a:xfrm>
          <a:off x="11713482" y="2007053"/>
          <a:ext cx="952499" cy="30616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2AB2EE-CDB4-4ADB-853E-8535EBFA08BA}" type="TxLink">
            <a:rPr lang="en-US" sz="700" b="1" i="0" u="none" strike="noStrike" kern="1200">
              <a:solidFill>
                <a:schemeClr val="bg1"/>
              </a:solidFill>
              <a:latin typeface="Trebuchet MS"/>
            </a:rPr>
            <a:pPr algn="ctr"/>
            <a:t>Food and beverages</a:t>
          </a:fld>
          <a:endParaRPr lang="en-KE" sz="700" b="1" kern="1200">
            <a:solidFill>
              <a:schemeClr val="bg1"/>
            </a:solidFill>
          </a:endParaRPr>
        </a:p>
      </xdr:txBody>
    </xdr:sp>
    <xdr:clientData/>
  </xdr:twoCellAnchor>
  <xdr:twoCellAnchor>
    <xdr:from>
      <xdr:col>21</xdr:col>
      <xdr:colOff>492803</xdr:colOff>
      <xdr:row>13</xdr:row>
      <xdr:rowOff>147410</xdr:rowOff>
    </xdr:from>
    <xdr:to>
      <xdr:col>23</xdr:col>
      <xdr:colOff>442232</xdr:colOff>
      <xdr:row>15</xdr:row>
      <xdr:rowOff>34018</xdr:rowOff>
    </xdr:to>
    <xdr:sp macro="" textlink="Analysis!AL1">
      <xdr:nvSpPr>
        <xdr:cNvPr id="29" name="TextBox 28">
          <a:extLst>
            <a:ext uri="{FF2B5EF4-FFF2-40B4-BE49-F238E27FC236}">
              <a16:creationId xmlns:a16="http://schemas.microsoft.com/office/drawing/2014/main" id="{ECBED23C-718B-41B3-98FD-5CA60CDA3459}"/>
            </a:ext>
          </a:extLst>
        </xdr:cNvPr>
        <xdr:cNvSpPr txBox="1"/>
      </xdr:nvSpPr>
      <xdr:spPr>
        <a:xfrm>
          <a:off x="11684678" y="2358571"/>
          <a:ext cx="1015322" cy="22678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40F69-8F0E-4F8C-BD89-1FB845E54864}" type="TxLink">
            <a:rPr lang="en-US" sz="900" b="1" i="0" u="none" strike="noStrike" kern="1200">
              <a:solidFill>
                <a:schemeClr val="bg1"/>
              </a:solidFill>
              <a:latin typeface="Trebuchet MS"/>
            </a:rPr>
            <a:pPr algn="ctr"/>
            <a:t>Ksh 43,831.11</a:t>
          </a:fld>
          <a:endParaRPr lang="en-KE" sz="900" b="1" kern="1200">
            <a:solidFill>
              <a:schemeClr val="bg1"/>
            </a:solidFill>
          </a:endParaRPr>
        </a:p>
      </xdr:txBody>
    </xdr:sp>
    <xdr:clientData/>
  </xdr:twoCellAnchor>
  <xdr:twoCellAnchor>
    <xdr:from>
      <xdr:col>4</xdr:col>
      <xdr:colOff>11339</xdr:colOff>
      <xdr:row>8</xdr:row>
      <xdr:rowOff>28142</xdr:rowOff>
    </xdr:from>
    <xdr:to>
      <xdr:col>6</xdr:col>
      <xdr:colOff>383012</xdr:colOff>
      <xdr:row>9</xdr:row>
      <xdr:rowOff>124732</xdr:rowOff>
    </xdr:to>
    <xdr:sp macro="" textlink="">
      <xdr:nvSpPr>
        <xdr:cNvPr id="30" name="TextBox 29">
          <a:extLst>
            <a:ext uri="{FF2B5EF4-FFF2-40B4-BE49-F238E27FC236}">
              <a16:creationId xmlns:a16="http://schemas.microsoft.com/office/drawing/2014/main" id="{17F4548E-083E-4F4C-9930-75CC68473D46}"/>
            </a:ext>
          </a:extLst>
        </xdr:cNvPr>
        <xdr:cNvSpPr txBox="1"/>
      </xdr:nvSpPr>
      <xdr:spPr>
        <a:xfrm>
          <a:off x="2143125" y="1388856"/>
          <a:ext cx="1437566" cy="26668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kern="1200">
              <a:solidFill>
                <a:srgbClr val="FFFF00"/>
              </a:solidFill>
            </a:rPr>
            <a:t>TOTAL</a:t>
          </a:r>
          <a:r>
            <a:rPr lang="en-US" sz="1200" b="1" kern="1200" baseline="0">
              <a:solidFill>
                <a:srgbClr val="FFFF00"/>
              </a:solidFill>
            </a:rPr>
            <a:t> SALES</a:t>
          </a:r>
          <a:endParaRPr lang="en-KE" sz="1200" b="1" kern="1200">
            <a:solidFill>
              <a:srgbClr val="FFFF00"/>
            </a:solidFill>
          </a:endParaRPr>
        </a:p>
      </xdr:txBody>
    </xdr:sp>
    <xdr:clientData/>
  </xdr:twoCellAnchor>
  <xdr:twoCellAnchor>
    <xdr:from>
      <xdr:col>3</xdr:col>
      <xdr:colOff>510268</xdr:colOff>
      <xdr:row>9</xdr:row>
      <xdr:rowOff>136071</xdr:rowOff>
    </xdr:from>
    <xdr:to>
      <xdr:col>7</xdr:col>
      <xdr:colOff>204107</xdr:colOff>
      <xdr:row>11</xdr:row>
      <xdr:rowOff>158750</xdr:rowOff>
    </xdr:to>
    <xdr:sp macro="" textlink="Analysis!H5">
      <xdr:nvSpPr>
        <xdr:cNvPr id="31" name="TextBox 30">
          <a:extLst>
            <a:ext uri="{FF2B5EF4-FFF2-40B4-BE49-F238E27FC236}">
              <a16:creationId xmlns:a16="http://schemas.microsoft.com/office/drawing/2014/main" id="{24BCB668-8B90-4A7A-842B-02106846CCD8}"/>
            </a:ext>
          </a:extLst>
        </xdr:cNvPr>
        <xdr:cNvSpPr txBox="1"/>
      </xdr:nvSpPr>
      <xdr:spPr>
        <a:xfrm>
          <a:off x="2109107" y="1666875"/>
          <a:ext cx="1825625" cy="362857"/>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4721F8A-52E1-4A1E-927A-98A4BA39A28E}" type="TxLink">
            <a:rPr lang="en-US" sz="1600" b="1" i="0" u="none" strike="noStrike" kern="1200">
              <a:solidFill>
                <a:schemeClr val="bg1"/>
              </a:solidFill>
              <a:latin typeface="Trebuchet MS"/>
            </a:rPr>
            <a:pPr algn="l"/>
            <a:t>Ksh 240,635.14</a:t>
          </a:fld>
          <a:endParaRPr lang="en-KE" sz="1600" b="1" kern="1200">
            <a:solidFill>
              <a:schemeClr val="bg1"/>
            </a:solidFill>
          </a:endParaRPr>
        </a:p>
      </xdr:txBody>
    </xdr:sp>
    <xdr:clientData/>
  </xdr:twoCellAnchor>
  <xdr:twoCellAnchor>
    <xdr:from>
      <xdr:col>4</xdr:col>
      <xdr:colOff>510268</xdr:colOff>
      <xdr:row>13</xdr:row>
      <xdr:rowOff>158749</xdr:rowOff>
    </xdr:from>
    <xdr:to>
      <xdr:col>6</xdr:col>
      <xdr:colOff>283482</xdr:colOff>
      <xdr:row>15</xdr:row>
      <xdr:rowOff>113392</xdr:rowOff>
    </xdr:to>
    <xdr:sp macro="" textlink="">
      <xdr:nvSpPr>
        <xdr:cNvPr id="33" name="TextBox 32">
          <a:extLst>
            <a:ext uri="{FF2B5EF4-FFF2-40B4-BE49-F238E27FC236}">
              <a16:creationId xmlns:a16="http://schemas.microsoft.com/office/drawing/2014/main" id="{6B2911A1-1923-434A-AEFD-ECCFDEA2B1E9}"/>
            </a:ext>
          </a:extLst>
        </xdr:cNvPr>
        <xdr:cNvSpPr txBox="1"/>
      </xdr:nvSpPr>
      <xdr:spPr>
        <a:xfrm>
          <a:off x="2642054" y="2369910"/>
          <a:ext cx="839107" cy="29482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kern="1200">
              <a:solidFill>
                <a:schemeClr val="bg1"/>
              </a:solidFill>
            </a:rPr>
            <a:t>MONTHLY</a:t>
          </a:r>
          <a:endParaRPr lang="en-KE" sz="1100" b="1" kern="1200">
            <a:solidFill>
              <a:schemeClr val="bg1"/>
            </a:solidFill>
          </a:endParaRPr>
        </a:p>
      </xdr:txBody>
    </xdr:sp>
    <xdr:clientData/>
  </xdr:twoCellAnchor>
  <xdr:twoCellAnchor>
    <xdr:from>
      <xdr:col>11</xdr:col>
      <xdr:colOff>113393</xdr:colOff>
      <xdr:row>13</xdr:row>
      <xdr:rowOff>147410</xdr:rowOff>
    </xdr:from>
    <xdr:to>
      <xdr:col>13</xdr:col>
      <xdr:colOff>396875</xdr:colOff>
      <xdr:row>15</xdr:row>
      <xdr:rowOff>34018</xdr:rowOff>
    </xdr:to>
    <xdr:sp macro="" textlink="">
      <xdr:nvSpPr>
        <xdr:cNvPr id="34" name="TextBox 33">
          <a:extLst>
            <a:ext uri="{FF2B5EF4-FFF2-40B4-BE49-F238E27FC236}">
              <a16:creationId xmlns:a16="http://schemas.microsoft.com/office/drawing/2014/main" id="{85A092CD-F28D-4D8F-8CF1-2510B0338A48}"/>
            </a:ext>
          </a:extLst>
        </xdr:cNvPr>
        <xdr:cNvSpPr txBox="1"/>
      </xdr:nvSpPr>
      <xdr:spPr>
        <a:xfrm>
          <a:off x="5975804" y="2358571"/>
          <a:ext cx="1349375" cy="22678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bg1"/>
              </a:solidFill>
            </a:rPr>
            <a:t>TOP</a:t>
          </a:r>
          <a:r>
            <a:rPr lang="en-US" sz="1100" b="1" kern="1200" baseline="0">
              <a:solidFill>
                <a:schemeClr val="bg1"/>
              </a:solidFill>
            </a:rPr>
            <a:t> 10 INVOICES</a:t>
          </a:r>
          <a:endParaRPr lang="en-KE" sz="1100" b="1" kern="1200">
            <a:solidFill>
              <a:schemeClr val="bg1"/>
            </a:solidFill>
          </a:endParaRPr>
        </a:p>
      </xdr:txBody>
    </xdr:sp>
    <xdr:clientData/>
  </xdr:twoCellAnchor>
  <xdr:twoCellAnchor>
    <xdr:from>
      <xdr:col>15</xdr:col>
      <xdr:colOff>215447</xdr:colOff>
      <xdr:row>13</xdr:row>
      <xdr:rowOff>124731</xdr:rowOff>
    </xdr:from>
    <xdr:to>
      <xdr:col>17</xdr:col>
      <xdr:colOff>226786</xdr:colOff>
      <xdr:row>15</xdr:row>
      <xdr:rowOff>56697</xdr:rowOff>
    </xdr:to>
    <xdr:sp macro="" textlink="">
      <xdr:nvSpPr>
        <xdr:cNvPr id="36" name="TextBox 35">
          <a:extLst>
            <a:ext uri="{FF2B5EF4-FFF2-40B4-BE49-F238E27FC236}">
              <a16:creationId xmlns:a16="http://schemas.microsoft.com/office/drawing/2014/main" id="{53E48598-E378-4581-8B0E-E8C5A08CF7C7}"/>
            </a:ext>
          </a:extLst>
        </xdr:cNvPr>
        <xdr:cNvSpPr txBox="1"/>
      </xdr:nvSpPr>
      <xdr:spPr>
        <a:xfrm>
          <a:off x="8209643" y="2335892"/>
          <a:ext cx="1077232" cy="272144"/>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kern="1200">
              <a:solidFill>
                <a:schemeClr val="bg1"/>
              </a:solidFill>
            </a:rPr>
            <a:t>BRANCH</a:t>
          </a:r>
          <a:r>
            <a:rPr lang="en-US" sz="1000" b="1" kern="1200" baseline="0">
              <a:solidFill>
                <a:schemeClr val="bg1"/>
              </a:solidFill>
            </a:rPr>
            <a:t> SALES</a:t>
          </a:r>
          <a:endParaRPr lang="en-KE" sz="1000" b="1" kern="1200">
            <a:solidFill>
              <a:schemeClr val="bg1"/>
            </a:solidFill>
          </a:endParaRPr>
        </a:p>
      </xdr:txBody>
    </xdr:sp>
    <xdr:clientData/>
  </xdr:twoCellAnchor>
  <xdr:twoCellAnchor>
    <xdr:from>
      <xdr:col>5</xdr:col>
      <xdr:colOff>204107</xdr:colOff>
      <xdr:row>28</xdr:row>
      <xdr:rowOff>45357</xdr:rowOff>
    </xdr:from>
    <xdr:to>
      <xdr:col>8</xdr:col>
      <xdr:colOff>521608</xdr:colOff>
      <xdr:row>29</xdr:row>
      <xdr:rowOff>136072</xdr:rowOff>
    </xdr:to>
    <xdr:sp macro="" textlink="">
      <xdr:nvSpPr>
        <xdr:cNvPr id="38" name="TextBox 37">
          <a:extLst>
            <a:ext uri="{FF2B5EF4-FFF2-40B4-BE49-F238E27FC236}">
              <a16:creationId xmlns:a16="http://schemas.microsoft.com/office/drawing/2014/main" id="{52DEDBFA-916A-416A-8139-2BA2A268E1C7}"/>
            </a:ext>
          </a:extLst>
        </xdr:cNvPr>
        <xdr:cNvSpPr txBox="1"/>
      </xdr:nvSpPr>
      <xdr:spPr>
        <a:xfrm>
          <a:off x="2868839" y="4807857"/>
          <a:ext cx="1916340" cy="260804"/>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kern="1200">
              <a:solidFill>
                <a:schemeClr val="bg1"/>
              </a:solidFill>
            </a:rPr>
            <a:t>DAY</a:t>
          </a:r>
          <a:r>
            <a:rPr lang="en-US" sz="1200" b="1" kern="1200" baseline="0">
              <a:solidFill>
                <a:schemeClr val="bg1"/>
              </a:solidFill>
            </a:rPr>
            <a:t> TO </a:t>
          </a:r>
          <a:r>
            <a:rPr lang="en-US" sz="1200" b="1" kern="1200">
              <a:solidFill>
                <a:schemeClr val="bg1"/>
              </a:solidFill>
            </a:rPr>
            <a:t>DAY</a:t>
          </a:r>
          <a:r>
            <a:rPr lang="en-US" sz="1200" b="1" kern="1200" baseline="0">
              <a:solidFill>
                <a:schemeClr val="bg1"/>
              </a:solidFill>
            </a:rPr>
            <a:t> SALES</a:t>
          </a:r>
          <a:endParaRPr lang="en-KE" sz="1200" b="1" kern="1200">
            <a:solidFill>
              <a:schemeClr val="bg1"/>
            </a:solidFill>
          </a:endParaRPr>
        </a:p>
      </xdr:txBody>
    </xdr:sp>
    <xdr:clientData/>
  </xdr:twoCellAnchor>
  <xdr:twoCellAnchor>
    <xdr:from>
      <xdr:col>15</xdr:col>
      <xdr:colOff>317500</xdr:colOff>
      <xdr:row>28</xdr:row>
      <xdr:rowOff>65240</xdr:rowOff>
    </xdr:from>
    <xdr:to>
      <xdr:col>17</xdr:col>
      <xdr:colOff>234863</xdr:colOff>
      <xdr:row>29</xdr:row>
      <xdr:rowOff>113393</xdr:rowOff>
    </xdr:to>
    <xdr:sp macro="" textlink="">
      <xdr:nvSpPr>
        <xdr:cNvPr id="40" name="TextBox 39">
          <a:extLst>
            <a:ext uri="{FF2B5EF4-FFF2-40B4-BE49-F238E27FC236}">
              <a16:creationId xmlns:a16="http://schemas.microsoft.com/office/drawing/2014/main" id="{2B045F3D-2CCC-4DAB-B674-961513DE77EF}"/>
            </a:ext>
          </a:extLst>
        </xdr:cNvPr>
        <xdr:cNvSpPr txBox="1"/>
      </xdr:nvSpPr>
      <xdr:spPr>
        <a:xfrm>
          <a:off x="8341986" y="4814692"/>
          <a:ext cx="987295" cy="21777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kern="1200">
              <a:solidFill>
                <a:schemeClr val="bg1"/>
              </a:solidFill>
            </a:rPr>
            <a:t>PAYMENT</a:t>
          </a:r>
          <a:r>
            <a:rPr lang="en-US" sz="1000" b="1" kern="1200" baseline="0">
              <a:solidFill>
                <a:schemeClr val="bg1"/>
              </a:solidFill>
            </a:rPr>
            <a:t> MODE</a:t>
          </a:r>
          <a:endParaRPr lang="en-KE" sz="1000" b="1" kern="1200">
            <a:solidFill>
              <a:schemeClr val="bg1"/>
            </a:solidFill>
          </a:endParaRPr>
        </a:p>
      </xdr:txBody>
    </xdr:sp>
    <xdr:clientData/>
  </xdr:twoCellAnchor>
  <xdr:twoCellAnchor>
    <xdr:from>
      <xdr:col>19</xdr:col>
      <xdr:colOff>124733</xdr:colOff>
      <xdr:row>20</xdr:row>
      <xdr:rowOff>56695</xdr:rowOff>
    </xdr:from>
    <xdr:to>
      <xdr:col>20</xdr:col>
      <xdr:colOff>464910</xdr:colOff>
      <xdr:row>21</xdr:row>
      <xdr:rowOff>158749</xdr:rowOff>
    </xdr:to>
    <xdr:sp macro="" textlink="">
      <xdr:nvSpPr>
        <xdr:cNvPr id="42" name="TextBox 41">
          <a:extLst>
            <a:ext uri="{FF2B5EF4-FFF2-40B4-BE49-F238E27FC236}">
              <a16:creationId xmlns:a16="http://schemas.microsoft.com/office/drawing/2014/main" id="{CA54D595-DF0F-4884-A83A-D421BC685F39}"/>
            </a:ext>
          </a:extLst>
        </xdr:cNvPr>
        <xdr:cNvSpPr txBox="1"/>
      </xdr:nvSpPr>
      <xdr:spPr>
        <a:xfrm>
          <a:off x="10250715" y="3458481"/>
          <a:ext cx="873124" cy="272143"/>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kern="1200" baseline="0"/>
            <a:t> </a:t>
          </a:r>
          <a:r>
            <a:rPr lang="en-US" sz="1100" b="1" kern="1200" baseline="0">
              <a:solidFill>
                <a:schemeClr val="bg1"/>
              </a:solidFill>
            </a:rPr>
            <a:t>CATEGORY</a:t>
          </a:r>
          <a:endParaRPr lang="en-KE" sz="1100" b="1" kern="1200">
            <a:solidFill>
              <a:schemeClr val="bg1"/>
            </a:solidFill>
          </a:endParaRPr>
        </a:p>
      </xdr:txBody>
    </xdr:sp>
    <xdr:clientData/>
  </xdr:twoCellAnchor>
  <xdr:twoCellAnchor editAs="oneCell">
    <xdr:from>
      <xdr:col>1</xdr:col>
      <xdr:colOff>181430</xdr:colOff>
      <xdr:row>15</xdr:row>
      <xdr:rowOff>158750</xdr:rowOff>
    </xdr:from>
    <xdr:to>
      <xdr:col>3</xdr:col>
      <xdr:colOff>249465</xdr:colOff>
      <xdr:row>33</xdr:row>
      <xdr:rowOff>68036</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89105F70-90AD-4D3B-A545-8C6E9CCCA67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4830" y="2730500"/>
              <a:ext cx="1134835" cy="299538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6</xdr:col>
          <xdr:colOff>504825</xdr:colOff>
          <xdr:row>13</xdr:row>
          <xdr:rowOff>152400</xdr:rowOff>
        </xdr:from>
        <xdr:to>
          <xdr:col>7</xdr:col>
          <xdr:colOff>152400</xdr:colOff>
          <xdr:row>14</xdr:row>
          <xdr:rowOff>161925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533400</xdr:colOff>
          <xdr:row>13</xdr:row>
          <xdr:rowOff>152400</xdr:rowOff>
        </xdr:from>
        <xdr:to>
          <xdr:col>8</xdr:col>
          <xdr:colOff>171450</xdr:colOff>
          <xdr:row>14</xdr:row>
          <xdr:rowOff>161925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13</xdr:row>
          <xdr:rowOff>152400</xdr:rowOff>
        </xdr:from>
        <xdr:to>
          <xdr:col>9</xdr:col>
          <xdr:colOff>200025</xdr:colOff>
          <xdr:row>14</xdr:row>
          <xdr:rowOff>161925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473561</xdr:colOff>
      <xdr:row>16</xdr:row>
      <xdr:rowOff>22678</xdr:rowOff>
    </xdr:from>
    <xdr:to>
      <xdr:col>14</xdr:col>
      <xdr:colOff>90715</xdr:colOff>
      <xdr:row>26</xdr:row>
      <xdr:rowOff>56697</xdr:rowOff>
    </xdr:to>
    <xdr:graphicFrame macro="">
      <xdr:nvGraphicFramePr>
        <xdr:cNvPr id="32" name="Chart 31">
          <a:extLst>
            <a:ext uri="{FF2B5EF4-FFF2-40B4-BE49-F238E27FC236}">
              <a16:creationId xmlns:a16="http://schemas.microsoft.com/office/drawing/2014/main" id="{A52382C0-C809-4766-A89D-42AE5470F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257175</xdr:colOff>
          <xdr:row>16</xdr:row>
          <xdr:rowOff>28575</xdr:rowOff>
        </xdr:from>
        <xdr:to>
          <xdr:col>10</xdr:col>
          <xdr:colOff>438150</xdr:colOff>
          <xdr:row>26</xdr:row>
          <xdr:rowOff>38100</xdr:rowOff>
        </xdr:to>
        <xdr:sp macro="" textlink="">
          <xdr:nvSpPr>
            <xdr:cNvPr id="4105" name="Scroll Bar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351518</xdr:colOff>
      <xdr:row>16</xdr:row>
      <xdr:rowOff>45357</xdr:rowOff>
    </xdr:from>
    <xdr:to>
      <xdr:col>17</xdr:col>
      <xdr:colOff>294822</xdr:colOff>
      <xdr:row>26</xdr:row>
      <xdr:rowOff>11340</xdr:rowOff>
    </xdr:to>
    <xdr:graphicFrame macro="">
      <xdr:nvGraphicFramePr>
        <xdr:cNvPr id="35" name="Chart 34">
          <a:extLst>
            <a:ext uri="{FF2B5EF4-FFF2-40B4-BE49-F238E27FC236}">
              <a16:creationId xmlns:a16="http://schemas.microsoft.com/office/drawing/2014/main" id="{EE4055C5-9F5F-4367-8AEB-7CAF0925F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239368</xdr:colOff>
      <xdr:row>3</xdr:row>
      <xdr:rowOff>147411</xdr:rowOff>
    </xdr:from>
    <xdr:to>
      <xdr:col>21</xdr:col>
      <xdr:colOff>67258</xdr:colOff>
      <xdr:row>7</xdr:row>
      <xdr:rowOff>56696</xdr:rowOff>
    </xdr:to>
    <mc:AlternateContent xmlns:mc="http://schemas.openxmlformats.org/markup-compatibility/2006" xmlns:a14="http://schemas.microsoft.com/office/drawing/2010/main">
      <mc:Choice Requires="a14">
        <xdr:graphicFrame macro="">
          <xdr:nvGraphicFramePr>
            <xdr:cNvPr id="37" name="PAYMENT MODE">
              <a:extLst>
                <a:ext uri="{FF2B5EF4-FFF2-40B4-BE49-F238E27FC236}">
                  <a16:creationId xmlns:a16="http://schemas.microsoft.com/office/drawing/2014/main" id="{2B11B208-A743-495F-8E2F-D4410F317F5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773768" y="661761"/>
              <a:ext cx="2494890" cy="59508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430892</xdr:colOff>
      <xdr:row>3</xdr:row>
      <xdr:rowOff>147412</xdr:rowOff>
    </xdr:from>
    <xdr:to>
      <xdr:col>16</xdr:col>
      <xdr:colOff>195719</xdr:colOff>
      <xdr:row>7</xdr:row>
      <xdr:rowOff>34019</xdr:rowOff>
    </xdr:to>
    <mc:AlternateContent xmlns:mc="http://schemas.openxmlformats.org/markup-compatibility/2006" xmlns:a14="http://schemas.microsoft.com/office/drawing/2010/main">
      <mc:Choice Requires="a14">
        <xdr:graphicFrame macro="">
          <xdr:nvGraphicFramePr>
            <xdr:cNvPr id="39" name="CATEGORY TYPE">
              <a:extLst>
                <a:ext uri="{FF2B5EF4-FFF2-40B4-BE49-F238E27FC236}">
                  <a16:creationId xmlns:a16="http://schemas.microsoft.com/office/drawing/2014/main" id="{32D39631-2123-4454-AA30-2BC595861391}"/>
                </a:ext>
              </a:extLst>
            </xdr:cNvPr>
            <xdr:cNvGraphicFramePr/>
          </xdr:nvGraphicFramePr>
          <xdr:xfrm>
            <a:off x="0" y="0"/>
            <a:ext cx="0" cy="0"/>
          </xdr:xfrm>
          <a:graphic>
            <a:graphicData uri="http://schemas.microsoft.com/office/drawing/2010/slicer">
              <sle:slicer xmlns:sle="http://schemas.microsoft.com/office/drawing/2010/slicer" name="CATEGORY TYPE"/>
            </a:graphicData>
          </a:graphic>
        </xdr:graphicFrame>
      </mc:Choice>
      <mc:Fallback xmlns="">
        <xdr:sp macro="" textlink="">
          <xdr:nvSpPr>
            <xdr:cNvPr id="0" name=""/>
            <xdr:cNvSpPr>
              <a:spLocks noTextEdit="1"/>
            </xdr:cNvSpPr>
          </xdr:nvSpPr>
          <xdr:spPr>
            <a:xfrm>
              <a:off x="5764892" y="661762"/>
              <a:ext cx="2965227" cy="57240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124731</xdr:colOff>
      <xdr:row>23</xdr:row>
      <xdr:rowOff>0</xdr:rowOff>
    </xdr:from>
    <xdr:to>
      <xdr:col>23</xdr:col>
      <xdr:colOff>56696</xdr:colOff>
      <xdr:row>40</xdr:row>
      <xdr:rowOff>79375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A2DF24B-A78A-49F7-8E67-CB196D8824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725931" y="3943350"/>
              <a:ext cx="2598965" cy="2994025"/>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385535</xdr:colOff>
      <xdr:row>31</xdr:row>
      <xdr:rowOff>22679</xdr:rowOff>
    </xdr:from>
    <xdr:to>
      <xdr:col>17</xdr:col>
      <xdr:colOff>249465</xdr:colOff>
      <xdr:row>40</xdr:row>
      <xdr:rowOff>136072</xdr:rowOff>
    </xdr:to>
    <xdr:graphicFrame macro="">
      <xdr:nvGraphicFramePr>
        <xdr:cNvPr id="12" name="Chart 11">
          <a:extLst>
            <a:ext uri="{FF2B5EF4-FFF2-40B4-BE49-F238E27FC236}">
              <a16:creationId xmlns:a16="http://schemas.microsoft.com/office/drawing/2014/main" id="{599CD744-0AB7-4636-93EC-AF06FA9F8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102052</xdr:colOff>
      <xdr:row>16</xdr:row>
      <xdr:rowOff>68036</xdr:rowOff>
    </xdr:from>
    <xdr:to>
      <xdr:col>9</xdr:col>
      <xdr:colOff>362857</xdr:colOff>
      <xdr:row>26</xdr:row>
      <xdr:rowOff>22680</xdr:rowOff>
    </xdr:to>
    <xdr:graphicFrame macro="">
      <xdr:nvGraphicFramePr>
        <xdr:cNvPr id="20" name="Chart 19">
          <a:extLst>
            <a:ext uri="{FF2B5EF4-FFF2-40B4-BE49-F238E27FC236}">
              <a16:creationId xmlns:a16="http://schemas.microsoft.com/office/drawing/2014/main" id="{D46457A5-4F15-4353-9C10-CEDB84FF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238125</xdr:colOff>
      <xdr:row>8</xdr:row>
      <xdr:rowOff>136072</xdr:rowOff>
    </xdr:from>
    <xdr:to>
      <xdr:col>3</xdr:col>
      <xdr:colOff>215447</xdr:colOff>
      <xdr:row>13</xdr:row>
      <xdr:rowOff>158750</xdr:rowOff>
    </xdr:to>
    <xdr:sp macro="" textlink="">
      <xdr:nvSpPr>
        <xdr:cNvPr id="26" name="TextBox 25">
          <a:extLst>
            <a:ext uri="{FF2B5EF4-FFF2-40B4-BE49-F238E27FC236}">
              <a16:creationId xmlns:a16="http://schemas.microsoft.com/office/drawing/2014/main" id="{6197E582-4AE1-B388-9ECB-8092199F7020}"/>
            </a:ext>
          </a:extLst>
        </xdr:cNvPr>
        <xdr:cNvSpPr txBox="1"/>
      </xdr:nvSpPr>
      <xdr:spPr>
        <a:xfrm>
          <a:off x="771071" y="1496786"/>
          <a:ext cx="1043215" cy="873125"/>
        </a:xfrm>
        <a:prstGeom prst="rect">
          <a:avLst/>
        </a:prstGeom>
        <a:solidFill>
          <a:schemeClr val="tx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kern="1200">
              <a:solidFill>
                <a:srgbClr val="FFFF00"/>
              </a:solidFill>
            </a:rPr>
            <a:t>YEAR</a:t>
          </a:r>
        </a:p>
        <a:p>
          <a:pPr algn="ctr"/>
          <a:r>
            <a:rPr lang="en-US" sz="3200" b="1" kern="1200">
              <a:solidFill>
                <a:schemeClr val="bg1"/>
              </a:solidFill>
            </a:rPr>
            <a:t>2019</a:t>
          </a:r>
          <a:endParaRPr lang="en-KE" sz="3200" b="1" kern="1200">
            <a:solidFill>
              <a:schemeClr val="bg1"/>
            </a:solidFill>
          </a:endParaRPr>
        </a:p>
      </xdr:txBody>
    </xdr:sp>
    <xdr:clientData/>
  </xdr:twoCellAnchor>
  <xdr:twoCellAnchor>
    <xdr:from>
      <xdr:col>4</xdr:col>
      <xdr:colOff>91335</xdr:colOff>
      <xdr:row>31</xdr:row>
      <xdr:rowOff>13048</xdr:rowOff>
    </xdr:from>
    <xdr:to>
      <xdr:col>14</xdr:col>
      <xdr:colOff>26094</xdr:colOff>
      <xdr:row>40</xdr:row>
      <xdr:rowOff>117431</xdr:rowOff>
    </xdr:to>
    <xdr:graphicFrame macro="">
      <xdr:nvGraphicFramePr>
        <xdr:cNvPr id="3" name="Chart 2">
          <a:extLst>
            <a:ext uri="{FF2B5EF4-FFF2-40B4-BE49-F238E27FC236}">
              <a16:creationId xmlns:a16="http://schemas.microsoft.com/office/drawing/2014/main" id="{D3CDE32C-DAB9-42F8-98E6-5F34E4D95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21</xdr:col>
      <xdr:colOff>417534</xdr:colOff>
      <xdr:row>3</xdr:row>
      <xdr:rowOff>104383</xdr:rowOff>
    </xdr:from>
    <xdr:to>
      <xdr:col>24</xdr:col>
      <xdr:colOff>39145</xdr:colOff>
      <xdr:row>7</xdr:row>
      <xdr:rowOff>78288</xdr:rowOff>
    </xdr:to>
    <xdr:pic>
      <xdr:nvPicPr>
        <xdr:cNvPr id="10" name="Picture 9">
          <a:extLst>
            <a:ext uri="{FF2B5EF4-FFF2-40B4-BE49-F238E27FC236}">
              <a16:creationId xmlns:a16="http://schemas.microsoft.com/office/drawing/2014/main" id="{1D27B234-C891-AE67-6C59-D0B76BEB2D26}"/>
            </a:ext>
          </a:extLst>
        </xdr:cNvPr>
        <xdr:cNvPicPr>
          <a:picLocks noChangeAspect="1"/>
        </xdr:cNvPicPr>
      </xdr:nvPicPr>
      <xdr:blipFill>
        <a:blip xmlns:r="http://schemas.openxmlformats.org/officeDocument/2006/relationships" r:embed="rId20"/>
        <a:stretch>
          <a:fillRect/>
        </a:stretch>
      </xdr:blipFill>
      <xdr:spPr>
        <a:xfrm>
          <a:off x="11651815" y="613253"/>
          <a:ext cx="1226508" cy="6523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lson Inyanya Mzungu" refreshedDate="45667.303288888892" createdVersion="8" refreshedVersion="8" minRefreshableVersion="3" recordCount="736" xr:uid="{34FE0E66-5EFB-4609-AF41-CD9D265DD783}">
  <cacheSource type="worksheet">
    <worksheetSource name="Input_Table[[INVOICE ID]:[YEAR]]"/>
  </cacheSource>
  <cacheFields count="13">
    <cacheField name="INVOICE ID" numFmtId="0">
      <sharedItems/>
    </cacheField>
    <cacheField name="QUANTITY" numFmtId="1">
      <sharedItems containsSemiMixedTypes="0" containsString="0" containsNumber="1" containsInteger="1" minValue="1" maxValue="10"/>
    </cacheField>
    <cacheField name="SALE TYPE" numFmtId="0">
      <sharedItems/>
    </cacheField>
    <cacheField name="PAYMENT MODE" numFmtId="0">
      <sharedItems count="3">
        <s v="Ewallet"/>
        <s v="Cash"/>
        <s v="Credit card"/>
      </sharedItems>
    </cacheField>
    <cacheField name="TAX 5%" numFmtId="0">
      <sharedItems containsSemiMixedTypes="0" containsString="0" containsNumber="1" minValue="0.50850000000000006" maxValue="49.650000000000006"/>
    </cacheField>
    <cacheField name="BRANCH NAME" numFmtId="0">
      <sharedItems count="3">
        <s v="Alex"/>
        <s v="Giza"/>
        <s v="Cairo"/>
      </sharedItems>
    </cacheField>
    <cacheField name="CATEGORY TYPE" numFmtId="0">
      <sharedItems count="6">
        <s v="Health and beauty"/>
        <s v="Electronic accessories"/>
        <s v="Home and lifestyle"/>
        <s v="Sports and travel"/>
        <s v="Food and beverages"/>
        <s v="Fashion accessories"/>
      </sharedItems>
    </cacheField>
    <cacheField name="UNIT PRICE" numFmtId="166">
      <sharedItems containsSemiMixedTypes="0" containsString="0" containsNumber="1" minValue="10.130000000000001" maxValue="99.96"/>
    </cacheField>
    <cacheField name="TOTAL C.O.G.S" numFmtId="166">
      <sharedItems containsSemiMixedTypes="0" containsString="0" containsNumber="1" minValue="10.17" maxValue="993"/>
    </cacheField>
    <cacheField name="TOTAL SELLING PRICE" numFmtId="166">
      <sharedItems containsSemiMixedTypes="0" containsString="0" containsNumber="1" minValue="10.6785" maxValue="1042.6500000000001"/>
    </cacheField>
    <cacheField name="DAY" numFmtId="0">
      <sharedItems containsSemiMixedTypes="0" containsString="0" containsNumber="1" containsInteger="1" minValue="1" maxValue="31" count="22">
        <n v="1"/>
        <n v="3"/>
        <n v="27"/>
        <n v="25"/>
        <n v="24"/>
        <n v="20"/>
        <n v="29"/>
        <n v="15"/>
        <n v="21"/>
        <n v="17"/>
        <n v="22"/>
        <n v="28"/>
        <n v="23"/>
        <n v="16"/>
        <n v="19"/>
        <n v="14"/>
        <n v="13"/>
        <n v="26"/>
        <n v="18"/>
        <n v="30"/>
        <n v="31"/>
        <n v="2"/>
      </sharedItems>
    </cacheField>
    <cacheField name="MONTH" numFmtId="0">
      <sharedItems count="12">
        <s v="May"/>
        <s v="August"/>
        <s v="March"/>
        <s v="January"/>
        <s v="February"/>
        <s v="July"/>
        <s v="October"/>
        <s v="September"/>
        <s v="December"/>
        <s v="June"/>
        <s v="April"/>
        <s v="November"/>
      </sharedItems>
    </cacheField>
    <cacheField name="YEAR" numFmtId="0">
      <sharedItems containsSemiMixedTypes="0" containsString="0" containsNumber="1" containsInteger="1" minValue="2019" maxValue="2019"/>
    </cacheField>
  </cacheFields>
  <extLst>
    <ext xmlns:x14="http://schemas.microsoft.com/office/spreadsheetml/2009/9/main" uri="{725AE2AE-9491-48be-B2B4-4EB974FC3084}">
      <x14:pivotCacheDefinition pivotCacheId="9692320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lson Inyanya Mzungu" refreshedDate="45667.304481944448" createdVersion="8" refreshedVersion="8" minRefreshableVersion="3" recordCount="736" xr:uid="{26E1B3AE-0B22-4B87-9194-7B8EC2982DDC}">
  <cacheSource type="worksheet">
    <worksheetSource name="Input_Table"/>
  </cacheSource>
  <cacheFields count="16">
    <cacheField name="DATE" numFmtId="14">
      <sharedItems containsSemiMixedTypes="0" containsNonDate="0" containsDate="1" containsString="0" minDate="2019-01-01T00:00:00" maxDate="2019-12-04T00:00:00" count="86">
        <d v="2019-05-01T00:00:00"/>
        <d v="2019-08-03T00:00:00"/>
        <d v="2019-03-03T00:00:00"/>
        <d v="2019-01-27T00:00:00"/>
        <d v="2019-03-25T00:00:00"/>
        <d v="2019-02-25T00:00:00"/>
        <d v="2019-02-24T00:00:00"/>
        <d v="2019-02-20T00:00:00"/>
        <d v="2019-03-29T00:00:00"/>
        <d v="2019-01-15T00:00:00"/>
        <d v="2019-01-21T00:00:00"/>
        <d v="2019-03-15T00:00:00"/>
        <d v="2019-02-17T00:00:00"/>
        <d v="2019-03-22T00:00:00"/>
        <d v="2019-01-25T00:00:00"/>
        <d v="2019-01-28T00:00:00"/>
        <d v="2019-03-23T00:00:00"/>
        <d v="2019-01-17T00:00:00"/>
        <d v="2019-03-16T00:00:00"/>
        <d v="2019-02-27T00:00:00"/>
        <d v="2019-03-19T00:00:00"/>
        <d v="2019-02-28T00:00:00"/>
        <d v="2019-03-27T00:00:00"/>
        <d v="2019-01-20T00:00:00"/>
        <d v="2019-02-15T00:00:00"/>
        <d v="2019-02-14T00:00:00"/>
        <d v="2019-03-13T00:00:00"/>
        <d v="2019-01-24T00:00:00"/>
        <d v="2019-01-22T00:00:00"/>
        <d v="2019-01-13T00:00:00"/>
        <d v="2019-01-26T00:00:00"/>
        <d v="2019-01-23T00:00:00"/>
        <d v="2019-02-23T00:00:00"/>
        <d v="2019-03-26T00:00:00"/>
        <d v="2019-03-28T00:00:00"/>
        <d v="2019-03-24T00:00:00"/>
        <d v="2019-01-19T00:00:00"/>
        <d v="2019-01-16T00:00:00"/>
        <d v="2019-02-18T00:00:00"/>
        <d v="2019-01-18T00:00:00"/>
        <d v="2019-02-16T00:00:00"/>
        <d v="2019-02-22T00:00:00"/>
        <d v="2019-01-29T00:00:00"/>
        <d v="2019-03-30T00:00:00"/>
        <d v="2019-01-30T00:00:00"/>
        <d v="2019-03-21T00:00:00"/>
        <d v="2019-02-13T00:00:00"/>
        <d v="2019-01-14T00:00:00"/>
        <d v="2019-03-18T00:00:00"/>
        <d v="2019-03-20T00:00:00"/>
        <d v="2019-02-21T00:00:00"/>
        <d v="2019-01-31T00:00:00"/>
        <d v="2019-02-26T00:00:00"/>
        <d v="2019-03-17T00:00:00"/>
        <d v="2019-03-14T00:00:00"/>
        <d v="2019-02-19T00:00:00"/>
        <d v="2019-07-02T00:00:00"/>
        <d v="2019-05-02T00:00:00"/>
        <d v="2019-01-03T00:00:00"/>
        <d v="2019-08-01T00:00:00"/>
        <d v="2019-08-02T00:00:00"/>
        <d v="2019-10-02T00:00:00"/>
        <d v="2019-09-03T00:00:00"/>
        <d v="2019-03-02T00:00:00"/>
        <d v="2019-12-01T00:00:00"/>
        <d v="2019-05-03T00:00:00"/>
        <d v="2019-06-03T00:00:00"/>
        <d v="2019-12-02T00:00:00"/>
        <d v="2019-04-02T00:00:00"/>
        <d v="2019-02-03T00:00:00"/>
        <d v="2019-11-01T00:00:00"/>
        <d v="2019-09-01T00:00:00"/>
        <d v="2019-12-03T00:00:00"/>
        <d v="2019-04-03T00:00:00"/>
        <d v="2019-01-01T00:00:00"/>
        <d v="2019-06-01T00:00:00"/>
        <d v="2019-06-02T00:00:00"/>
        <d v="2019-02-02T00:00:00"/>
        <d v="2019-10-03T00:00:00"/>
        <d v="2019-02-01T00:00:00"/>
        <d v="2019-11-02T00:00:00"/>
        <d v="2019-03-01T00:00:00"/>
        <d v="2019-07-03T00:00:00"/>
        <d v="2019-09-02T00:00:00"/>
        <d v="2019-11-03T00:00:00"/>
        <d v="2019-10-01T00:00:00"/>
      </sharedItems>
      <fieldGroup par="15"/>
    </cacheField>
    <cacheField name="INVOICE ID" numFmtId="0">
      <sharedItems count="736">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560-49-6611"/>
        <s v="880-35-0356"/>
        <s v="470-31-3286"/>
        <s v="484-22-8230"/>
        <s v="830-58-2383"/>
        <s v="559-98-9873"/>
        <s v="421-95-9805"/>
        <s v="277-35-5865"/>
        <s v="443-59-0061"/>
        <s v="641-96-3695"/>
        <s v="852-62-7105"/>
        <s v="816-57-2053"/>
        <s v="655-07-2265"/>
        <s v="610-46-4100"/>
        <s v="364-33-8584"/>
        <s v="742-04-5161"/>
        <s v="149-15-7606"/>
        <s v="322-02-2271"/>
        <s v="641-51-2661"/>
        <s v="518-17-2983"/>
        <s v="576-31-4774"/>
        <s v="811-03-8790"/>
        <s v="648-94-3045"/>
        <s v="130-67-4723"/>
        <s v="528-87-5606"/>
        <s v="370-96-0655"/>
        <s v="241-96-5076"/>
        <s v="767-97-4650"/>
        <s v="266-20-6657"/>
        <s v="689-05-1884"/>
        <s v="196-01-2849"/>
        <s v="182-52-7000"/>
        <s v="826-58-8051"/>
        <s v="751-41-9720"/>
        <s v="626-43-7888"/>
        <s v="729-06-2010"/>
        <s v="640-48-5028"/>
        <s v="268-20-3585"/>
        <s v="258-92-7466"/>
        <s v="418-05-0656"/>
        <s v="592-46-1692"/>
        <s v="434-35-9162"/>
        <s v="149-14-0304"/>
        <s v="442-44-6497"/>
        <s v="174-64-0215"/>
        <s v="299-29-0180"/>
        <s v="247-11-2470"/>
        <s v="756-49-0168"/>
        <s v="238-45-6950"/>
        <s v="607-65-2441"/>
        <s v="197-77-7132"/>
        <s v="373-14-0504"/>
        <s v="345-68-9016"/>
        <s v="390-17-5806"/>
        <s v="457-13-1708"/>
        <s v="585-86-8361"/>
        <s v="652-43-6591"/>
        <s v="406-46-7107"/>
        <s v="842-40-8179"/>
        <s v="593-14-4239"/>
        <s v="801-88-0346"/>
        <s v="471-06-8611"/>
        <s v="102-77-2261"/>
        <s v="875-31-8302"/>
        <s v="534-53-3526"/>
        <s v="307-04-2070"/>
        <s v="468-99-7231"/>
        <s v="404-91-5964"/>
        <s v="651-96-5970"/>
        <s v="401-09-4232"/>
        <s v="751-15-6198"/>
        <s v="324-41-6833"/>
        <s v="759-29-9521"/>
        <s v="257-60-7754"/>
        <s v="815-04-6282"/>
        <s v="190-59-3964"/>
        <s v="784-21-9238"/>
        <s v="276-75-6884"/>
        <s v="416-17-9926"/>
        <s v="343-75-9322"/>
        <s v="427-45-9297"/>
        <s v="288-62-1085"/>
        <s v="670-71-7306"/>
        <s v="271-77-8740"/>
        <s v="860-73-6466"/>
        <s v="845-94-6841"/>
        <s v="770-42-8960"/>
        <s v="748-45-2862"/>
        <s v="840-76-5966"/>
        <s v="533-66-5566"/>
        <s v="124-31-1458"/>
        <s v="631-34-1880"/>
        <s v="852-82-2749"/>
        <s v="885-56-0389"/>
        <s v="490-95-0021"/>
        <s v="325-89-4209"/>
        <s v="114-35-5271"/>
        <s v="607-76-6216"/>
        <s v="715-20-1673"/>
        <s v="811-35-1094"/>
        <s v="409-49-6995"/>
        <s v="725-54-0677"/>
        <s v="146-09-5432"/>
        <s v="509-10-0516"/>
        <s v="450-42-3339"/>
        <s v="453-33-6436"/>
        <s v="717-96-4189"/>
        <s v="749-81-8133"/>
        <s v="636-98-3364"/>
        <s v="246-55-6923"/>
        <s v="181-82-6255"/>
        <s v="887-42-0517"/>
        <s v="226-34-0034"/>
        <s v="825-94-5922"/>
        <s v="756-93-1854"/>
        <s v="501-61-1753"/>
        <s v="433-08-7822"/>
        <s v="720-72-2436"/>
        <s v="489-82-1237"/>
        <s v="676-10-2200"/>
        <s v="373-88-1424"/>
        <s v="305-89-2768"/>
        <s v="200-40-6154"/>
        <s v="846-10-0341"/>
        <s v="577-34-7579"/>
        <s v="430-02-3888"/>
        <s v="867-47-1948"/>
        <s v="324-92-3863"/>
        <s v="172-42-8274"/>
        <s v="558-60-5016"/>
        <s v="214-30-2776"/>
        <s v="746-04-1077"/>
        <s v="448-34-8700"/>
        <s v="531-56-4728"/>
        <s v="744-82-9138"/>
        <s v="883-69-1285"/>
        <s v="221-25-5073"/>
        <s v="156-20-0370"/>
        <s v="151-33-7434"/>
        <s v="189-40-5216"/>
        <s v="374-38-5555"/>
        <s v="552-44-5977"/>
        <s v="745-74-0715"/>
        <s v="303-96-2227"/>
        <s v="727-02-1313"/>
      </sharedItems>
    </cacheField>
    <cacheField name="QUANTITY" numFmtId="1">
      <sharedItems containsSemiMixedTypes="0" containsString="0" containsNumber="1" containsInteger="1" minValue="1" maxValue="10"/>
    </cacheField>
    <cacheField name="SALE TYPE" numFmtId="0">
      <sharedItems/>
    </cacheField>
    <cacheField name="PAYMENT MODE" numFmtId="0">
      <sharedItems count="3">
        <s v="Ewallet"/>
        <s v="Cash"/>
        <s v="Credit card"/>
      </sharedItems>
    </cacheField>
    <cacheField name="TAX 5%" numFmtId="0">
      <sharedItems containsSemiMixedTypes="0" containsString="0" containsNumber="1" minValue="0.50850000000000006" maxValue="49.650000000000006"/>
    </cacheField>
    <cacheField name="BRANCH NAME" numFmtId="0">
      <sharedItems count="3">
        <s v="Alex"/>
        <s v="Giza"/>
        <s v="Cairo"/>
      </sharedItems>
    </cacheField>
    <cacheField name="CATEGORY TYPE" numFmtId="0">
      <sharedItems count="6">
        <s v="Health and beauty"/>
        <s v="Electronic accessories"/>
        <s v="Home and lifestyle"/>
        <s v="Sports and travel"/>
        <s v="Food and beverages"/>
        <s v="Fashion accessories"/>
      </sharedItems>
    </cacheField>
    <cacheField name="UNIT PRICE" numFmtId="166">
      <sharedItems containsSemiMixedTypes="0" containsString="0" containsNumber="1" minValue="10.130000000000001" maxValue="99.96"/>
    </cacheField>
    <cacheField name="TOTAL C.O.G.S" numFmtId="166">
      <sharedItems containsSemiMixedTypes="0" containsString="0" containsNumber="1" minValue="10.17" maxValue="993"/>
    </cacheField>
    <cacheField name="TOTAL SELLING PRICE" numFmtId="166">
      <sharedItems containsSemiMixedTypes="0" containsString="0" containsNumber="1" minValue="10.6785" maxValue="1042.6500000000001"/>
    </cacheField>
    <cacheField name="DAY" numFmtId="0">
      <sharedItems containsSemiMixedTypes="0" containsString="0" containsNumber="1" containsInteger="1" minValue="1" maxValue="31"/>
    </cacheField>
    <cacheField name="MONTH" numFmtId="0">
      <sharedItems count="12">
        <s v="May"/>
        <s v="August"/>
        <s v="March"/>
        <s v="January"/>
        <s v="February"/>
        <s v="July"/>
        <s v="October"/>
        <s v="September"/>
        <s v="December"/>
        <s v="June"/>
        <s v="April"/>
        <s v="November"/>
      </sharedItems>
    </cacheField>
    <cacheField name="YEAR" numFmtId="0">
      <sharedItems containsSemiMixedTypes="0" containsString="0" containsNumber="1" containsInteger="1" minValue="2019" maxValue="2019"/>
    </cacheField>
    <cacheField name="Days (DATE)" numFmtId="0" databaseField="0">
      <fieldGroup base="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159692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
  <r>
    <s v="750-67-8428"/>
    <n v="7"/>
    <s v="Health and beauty"/>
    <x v="0"/>
    <n v="26.141500000000004"/>
    <x v="0"/>
    <x v="0"/>
    <n v="74.69"/>
    <n v="522.83000000000004"/>
    <n v="548.97149999999999"/>
    <x v="0"/>
    <x v="0"/>
    <n v="2019"/>
  </r>
  <r>
    <s v="226-31-3081"/>
    <n v="5"/>
    <s v="Electronic accessories"/>
    <x v="1"/>
    <n v="3.8200000000000003"/>
    <x v="1"/>
    <x v="1"/>
    <n v="15.28"/>
    <n v="76.400000000000006"/>
    <n v="80.22"/>
    <x v="1"/>
    <x v="1"/>
    <n v="2019"/>
  </r>
  <r>
    <s v="631-41-3108"/>
    <n v="7"/>
    <s v="Home and lifestyle"/>
    <x v="2"/>
    <n v="16.215500000000002"/>
    <x v="0"/>
    <x v="2"/>
    <n v="46.33"/>
    <n v="324.31"/>
    <n v="340.52550000000002"/>
    <x v="1"/>
    <x v="2"/>
    <n v="2019"/>
  </r>
  <r>
    <s v="123-19-1176"/>
    <n v="8"/>
    <s v="Health and beauty"/>
    <x v="0"/>
    <n v="23.288"/>
    <x v="0"/>
    <x v="0"/>
    <n v="58.22"/>
    <n v="465.76"/>
    <n v="489.048"/>
    <x v="2"/>
    <x v="3"/>
    <n v="2019"/>
  </r>
  <r>
    <s v="373-73-7910"/>
    <n v="7"/>
    <s v="Sports and travel"/>
    <x v="0"/>
    <n v="30.208500000000001"/>
    <x v="0"/>
    <x v="3"/>
    <n v="86.31"/>
    <n v="604.16999999999996"/>
    <n v="634.37850000000003"/>
    <x v="3"/>
    <x v="2"/>
    <n v="2019"/>
  </r>
  <r>
    <s v="699-14-3026"/>
    <n v="7"/>
    <s v="Electronic accessories"/>
    <x v="0"/>
    <n v="29.886500000000002"/>
    <x v="1"/>
    <x v="1"/>
    <n v="85.39"/>
    <n v="597.73"/>
    <n v="627.61649999999997"/>
    <x v="3"/>
    <x v="4"/>
    <n v="2019"/>
  </r>
  <r>
    <s v="355-53-5943"/>
    <n v="6"/>
    <s v="Electronic accessories"/>
    <x v="0"/>
    <n v="20.652000000000001"/>
    <x v="0"/>
    <x v="1"/>
    <n v="68.84"/>
    <n v="413.04"/>
    <n v="433.69200000000001"/>
    <x v="4"/>
    <x v="4"/>
    <n v="2019"/>
  </r>
  <r>
    <s v="315-22-5665"/>
    <n v="10"/>
    <s v="Home and lifestyle"/>
    <x v="0"/>
    <n v="36.78"/>
    <x v="1"/>
    <x v="2"/>
    <n v="73.56"/>
    <n v="735.6"/>
    <n v="772.38"/>
    <x v="5"/>
    <x v="4"/>
    <n v="2019"/>
  </r>
  <r>
    <s v="665-32-9167"/>
    <n v="2"/>
    <s v="Health and beauty"/>
    <x v="2"/>
    <n v="3.6259999999999999"/>
    <x v="0"/>
    <x v="0"/>
    <n v="36.26"/>
    <n v="72.52"/>
    <n v="76.146000000000001"/>
    <x v="6"/>
    <x v="2"/>
    <n v="2019"/>
  </r>
  <r>
    <s v="692-92-5582"/>
    <n v="3"/>
    <s v="Food and beverages"/>
    <x v="2"/>
    <n v="8.2260000000000009"/>
    <x v="2"/>
    <x v="4"/>
    <n v="54.84"/>
    <n v="164.52"/>
    <n v="172.74600000000001"/>
    <x v="7"/>
    <x v="3"/>
    <n v="2019"/>
  </r>
  <r>
    <s v="351-62-0822"/>
    <n v="4"/>
    <s v="Fashion accessories"/>
    <x v="0"/>
    <n v="2.8960000000000004"/>
    <x v="2"/>
    <x v="5"/>
    <n v="14.48"/>
    <n v="57.92"/>
    <n v="60.816000000000003"/>
    <x v="8"/>
    <x v="3"/>
    <n v="2019"/>
  </r>
  <r>
    <s v="529-56-3974"/>
    <n v="4"/>
    <s v="Electronic accessories"/>
    <x v="1"/>
    <n v="5.1020000000000003"/>
    <x v="2"/>
    <x v="1"/>
    <n v="25.51"/>
    <n v="102.04"/>
    <n v="107.142"/>
    <x v="3"/>
    <x v="4"/>
    <n v="2019"/>
  </r>
  <r>
    <s v="365-64-0515"/>
    <n v="5"/>
    <s v="Electronic accessories"/>
    <x v="0"/>
    <n v="11.737500000000001"/>
    <x v="0"/>
    <x v="1"/>
    <n v="46.95"/>
    <n v="234.75"/>
    <n v="246.48750000000001"/>
    <x v="7"/>
    <x v="2"/>
    <n v="2019"/>
  </r>
  <r>
    <s v="252-56-2699"/>
    <n v="10"/>
    <s v="Food and beverages"/>
    <x v="0"/>
    <n v="21.594999999999999"/>
    <x v="0"/>
    <x v="4"/>
    <n v="43.19"/>
    <n v="431.9"/>
    <n v="453.495"/>
    <x v="9"/>
    <x v="4"/>
    <n v="2019"/>
  </r>
  <r>
    <s v="829-34-3910"/>
    <n v="10"/>
    <s v="Health and beauty"/>
    <x v="1"/>
    <n v="35.69"/>
    <x v="0"/>
    <x v="0"/>
    <n v="71.38"/>
    <n v="713.8"/>
    <n v="749.49"/>
    <x v="10"/>
    <x v="2"/>
    <n v="2019"/>
  </r>
  <r>
    <s v="299-46-1805"/>
    <n v="6"/>
    <s v="Sports and travel"/>
    <x v="1"/>
    <n v="28.116000000000003"/>
    <x v="2"/>
    <x v="3"/>
    <n v="93.72"/>
    <n v="562.32000000000005"/>
    <n v="590.43600000000004"/>
    <x v="3"/>
    <x v="3"/>
    <n v="2019"/>
  </r>
  <r>
    <s v="656-95-9349"/>
    <n v="7"/>
    <s v="Health and beauty"/>
    <x v="2"/>
    <n v="24.125500000000002"/>
    <x v="0"/>
    <x v="0"/>
    <n v="68.930000000000007"/>
    <n v="482.51"/>
    <n v="506.63549999999998"/>
    <x v="7"/>
    <x v="2"/>
    <n v="2019"/>
  </r>
  <r>
    <s v="765-26-6951"/>
    <n v="6"/>
    <s v="Sports and travel"/>
    <x v="2"/>
    <n v="21.783000000000001"/>
    <x v="0"/>
    <x v="3"/>
    <n v="72.61"/>
    <n v="435.66"/>
    <n v="457.44299999999998"/>
    <x v="3"/>
    <x v="4"/>
    <n v="2019"/>
  </r>
  <r>
    <s v="329-62-1586"/>
    <n v="3"/>
    <s v="Food and beverages"/>
    <x v="2"/>
    <n v="8.2004999999999999"/>
    <x v="0"/>
    <x v="4"/>
    <n v="54.67"/>
    <n v="164.01"/>
    <n v="172.2105"/>
    <x v="11"/>
    <x v="3"/>
    <n v="2019"/>
  </r>
  <r>
    <s v="319-50-3348"/>
    <n v="2"/>
    <s v="Home and lifestyle"/>
    <x v="0"/>
    <n v="4.03"/>
    <x v="2"/>
    <x v="2"/>
    <n v="40.299999999999997"/>
    <n v="80.599999999999994"/>
    <n v="84.63"/>
    <x v="7"/>
    <x v="2"/>
    <n v="2019"/>
  </r>
  <r>
    <s v="300-71-4605"/>
    <n v="5"/>
    <s v="Electronic accessories"/>
    <x v="0"/>
    <n v="21.51"/>
    <x v="1"/>
    <x v="1"/>
    <n v="86.04"/>
    <n v="430.2"/>
    <n v="451.71"/>
    <x v="7"/>
    <x v="3"/>
    <n v="2019"/>
  </r>
  <r>
    <s v="371-85-5789"/>
    <n v="3"/>
    <s v="Health and beauty"/>
    <x v="0"/>
    <n v="13.197000000000001"/>
    <x v="2"/>
    <x v="0"/>
    <n v="87.98"/>
    <n v="263.94"/>
    <n v="277.137"/>
    <x v="12"/>
    <x v="2"/>
    <n v="2019"/>
  </r>
  <r>
    <s v="273-16-6619"/>
    <n v="2"/>
    <s v="Home and lifestyle"/>
    <x v="2"/>
    <n v="3.3200000000000003"/>
    <x v="2"/>
    <x v="2"/>
    <n v="33.200000000000003"/>
    <n v="66.400000000000006"/>
    <n v="69.72"/>
    <x v="9"/>
    <x v="3"/>
    <n v="2019"/>
  </r>
  <r>
    <s v="636-48-8204"/>
    <n v="5"/>
    <s v="Electronic accessories"/>
    <x v="0"/>
    <n v="8.64"/>
    <x v="0"/>
    <x v="1"/>
    <n v="34.56"/>
    <n v="172.8"/>
    <n v="181.44"/>
    <x v="13"/>
    <x v="2"/>
    <n v="2019"/>
  </r>
  <r>
    <s v="549-59-1358"/>
    <n v="3"/>
    <s v="Sports and travel"/>
    <x v="0"/>
    <n v="13.294499999999999"/>
    <x v="0"/>
    <x v="3"/>
    <n v="88.63"/>
    <n v="265.89"/>
    <n v="279.18450000000001"/>
    <x v="2"/>
    <x v="4"/>
    <n v="2019"/>
  </r>
  <r>
    <s v="227-03-5010"/>
    <n v="8"/>
    <s v="Home and lifestyle"/>
    <x v="2"/>
    <n v="21.036000000000001"/>
    <x v="0"/>
    <x v="2"/>
    <n v="52.59"/>
    <n v="420.72"/>
    <n v="441.75599999999997"/>
    <x v="14"/>
    <x v="2"/>
    <n v="2019"/>
  </r>
  <r>
    <s v="649-29-6775"/>
    <n v="1"/>
    <s v="Fashion accessories"/>
    <x v="1"/>
    <n v="1.6760000000000002"/>
    <x v="2"/>
    <x v="5"/>
    <n v="33.520000000000003"/>
    <n v="33.520000000000003"/>
    <n v="35.195999999999998"/>
    <x v="10"/>
    <x v="2"/>
    <n v="2019"/>
  </r>
  <r>
    <s v="189-17-4241"/>
    <n v="2"/>
    <s v="Fashion accessories"/>
    <x v="2"/>
    <n v="8.7670000000000012"/>
    <x v="0"/>
    <x v="5"/>
    <n v="87.67"/>
    <n v="175.34"/>
    <n v="184.107"/>
    <x v="3"/>
    <x v="3"/>
    <n v="2019"/>
  </r>
  <r>
    <s v="145-94-9061"/>
    <n v="5"/>
    <s v="Food and beverages"/>
    <x v="1"/>
    <n v="22.090000000000003"/>
    <x v="2"/>
    <x v="4"/>
    <n v="88.36"/>
    <n v="441.8"/>
    <n v="463.89"/>
    <x v="11"/>
    <x v="4"/>
    <n v="2019"/>
  </r>
  <r>
    <s v="848-62-7243"/>
    <n v="9"/>
    <s v="Health and beauty"/>
    <x v="1"/>
    <n v="11.2005"/>
    <x v="0"/>
    <x v="0"/>
    <n v="24.89"/>
    <n v="224.01"/>
    <n v="235.2105"/>
    <x v="2"/>
    <x v="2"/>
    <n v="2019"/>
  </r>
  <r>
    <s v="871-79-8483"/>
    <n v="5"/>
    <s v="Fashion accessories"/>
    <x v="2"/>
    <n v="23.532499999999999"/>
    <x v="2"/>
    <x v="5"/>
    <n v="94.13"/>
    <n v="470.65"/>
    <n v="494.1825"/>
    <x v="5"/>
    <x v="3"/>
    <n v="2019"/>
  </r>
  <r>
    <s v="149-71-6266"/>
    <n v="9"/>
    <s v="Sports and travel"/>
    <x v="1"/>
    <n v="35.131500000000003"/>
    <x v="2"/>
    <x v="3"/>
    <n v="78.069999999999993"/>
    <n v="702.63"/>
    <n v="737.76149999999996"/>
    <x v="7"/>
    <x v="4"/>
    <n v="2019"/>
  </r>
  <r>
    <s v="640-49-2076"/>
    <n v="8"/>
    <s v="Sports and travel"/>
    <x v="1"/>
    <n v="33.512"/>
    <x v="2"/>
    <x v="3"/>
    <n v="83.78"/>
    <n v="670.24"/>
    <n v="703.75199999999995"/>
    <x v="4"/>
    <x v="4"/>
    <n v="2019"/>
  </r>
  <r>
    <s v="595-11-5460"/>
    <n v="2"/>
    <s v="Health and beauty"/>
    <x v="2"/>
    <n v="9.6580000000000013"/>
    <x v="0"/>
    <x v="0"/>
    <n v="96.58"/>
    <n v="193.16"/>
    <n v="202.81800000000001"/>
    <x v="15"/>
    <x v="4"/>
    <n v="2019"/>
  </r>
  <r>
    <s v="183-56-6882"/>
    <n v="4"/>
    <s v="Food and beverages"/>
    <x v="0"/>
    <n v="19.884"/>
    <x v="1"/>
    <x v="4"/>
    <n v="99.42"/>
    <n v="397.68"/>
    <n v="417.56400000000002"/>
    <x v="16"/>
    <x v="2"/>
    <n v="2019"/>
  </r>
  <r>
    <s v="232-16-2483"/>
    <n v="1"/>
    <s v="Sports and travel"/>
    <x v="0"/>
    <n v="3.4060000000000006"/>
    <x v="1"/>
    <x v="3"/>
    <n v="68.12"/>
    <n v="68.12"/>
    <n v="71.525999999999996"/>
    <x v="4"/>
    <x v="3"/>
    <n v="2019"/>
  </r>
  <r>
    <s v="129-29-8530"/>
    <n v="5"/>
    <s v="Sports and travel"/>
    <x v="0"/>
    <n v="15.655000000000001"/>
    <x v="0"/>
    <x v="3"/>
    <n v="62.62"/>
    <n v="313.10000000000002"/>
    <n v="328.755"/>
    <x v="10"/>
    <x v="3"/>
    <n v="2019"/>
  </r>
  <r>
    <s v="272-65-1806"/>
    <n v="9"/>
    <s v="Electronic accessories"/>
    <x v="0"/>
    <n v="27.396000000000001"/>
    <x v="0"/>
    <x v="1"/>
    <n v="60.88"/>
    <n v="547.91999999999996"/>
    <n v="575.31600000000003"/>
    <x v="16"/>
    <x v="3"/>
    <n v="2019"/>
  </r>
  <r>
    <s v="333-73-7901"/>
    <n v="8"/>
    <s v="Health and beauty"/>
    <x v="0"/>
    <n v="21.968000000000004"/>
    <x v="1"/>
    <x v="0"/>
    <n v="54.92"/>
    <n v="439.36"/>
    <n v="461.32799999999997"/>
    <x v="10"/>
    <x v="3"/>
    <n v="2019"/>
  </r>
  <r>
    <s v="777-82-7220"/>
    <n v="8"/>
    <s v="Home and lifestyle"/>
    <x v="1"/>
    <n v="12.048000000000002"/>
    <x v="2"/>
    <x v="2"/>
    <n v="30.12"/>
    <n v="240.96"/>
    <n v="253.00800000000001"/>
    <x v="8"/>
    <x v="3"/>
    <n v="2019"/>
  </r>
  <r>
    <s v="280-35-5823"/>
    <n v="1"/>
    <s v="Home and lifestyle"/>
    <x v="0"/>
    <n v="4.3360000000000003"/>
    <x v="2"/>
    <x v="2"/>
    <n v="86.72"/>
    <n v="86.72"/>
    <n v="91.055999999999997"/>
    <x v="17"/>
    <x v="3"/>
    <n v="2019"/>
  </r>
  <r>
    <s v="554-53-8700"/>
    <n v="2"/>
    <s v="Home and lifestyle"/>
    <x v="1"/>
    <n v="5.6110000000000007"/>
    <x v="1"/>
    <x v="2"/>
    <n v="56.11"/>
    <n v="112.22"/>
    <n v="117.831"/>
    <x v="12"/>
    <x v="3"/>
    <n v="2019"/>
  </r>
  <r>
    <s v="354-25-5821"/>
    <n v="6"/>
    <s v="Sports and travel"/>
    <x v="1"/>
    <n v="20.736000000000004"/>
    <x v="2"/>
    <x v="3"/>
    <n v="69.12"/>
    <n v="414.72"/>
    <n v="435.45600000000002"/>
    <x v="12"/>
    <x v="4"/>
    <n v="2019"/>
  </r>
  <r>
    <s v="228-96-1411"/>
    <n v="8"/>
    <s v="Food and beverages"/>
    <x v="1"/>
    <n v="39.480000000000004"/>
    <x v="1"/>
    <x v="4"/>
    <n v="98.7"/>
    <n v="789.6"/>
    <n v="829.08"/>
    <x v="3"/>
    <x v="2"/>
    <n v="2019"/>
  </r>
  <r>
    <s v="617-15-4209"/>
    <n v="2"/>
    <s v="Health and beauty"/>
    <x v="1"/>
    <n v="1.5369999999999999"/>
    <x v="1"/>
    <x v="0"/>
    <n v="15.37"/>
    <n v="30.74"/>
    <n v="32.277000000000001"/>
    <x v="2"/>
    <x v="2"/>
    <n v="2019"/>
  </r>
  <r>
    <s v="132-32-9879"/>
    <n v="4"/>
    <s v="Electronic accessories"/>
    <x v="1"/>
    <n v="18.791999999999998"/>
    <x v="2"/>
    <x v="1"/>
    <n v="93.96"/>
    <n v="375.84"/>
    <n v="394.63200000000001"/>
    <x v="2"/>
    <x v="4"/>
    <n v="2019"/>
  </r>
  <r>
    <s v="370-41-7321"/>
    <n v="9"/>
    <s v="Health and beauty"/>
    <x v="2"/>
    <n v="25.5105"/>
    <x v="2"/>
    <x v="0"/>
    <n v="56.69"/>
    <n v="510.21"/>
    <n v="535.72050000000002"/>
    <x v="12"/>
    <x v="3"/>
    <n v="2019"/>
  </r>
  <r>
    <s v="727-46-3608"/>
    <n v="9"/>
    <s v="Food and beverages"/>
    <x v="0"/>
    <n v="9.0045000000000002"/>
    <x v="2"/>
    <x v="4"/>
    <n v="20.010000000000002"/>
    <n v="180.09"/>
    <n v="189.09450000000001"/>
    <x v="17"/>
    <x v="3"/>
    <n v="2019"/>
  </r>
  <r>
    <s v="669-54-1719"/>
    <n v="6"/>
    <s v="Electronic accessories"/>
    <x v="2"/>
    <n v="5.6790000000000003"/>
    <x v="2"/>
    <x v="1"/>
    <n v="18.93"/>
    <n v="113.58"/>
    <n v="119.259"/>
    <x v="6"/>
    <x v="2"/>
    <n v="2019"/>
  </r>
  <r>
    <s v="574-22-5561"/>
    <n v="10"/>
    <s v="Fashion accessories"/>
    <x v="0"/>
    <n v="41.314999999999998"/>
    <x v="1"/>
    <x v="5"/>
    <n v="82.63"/>
    <n v="826.3"/>
    <n v="867.61500000000001"/>
    <x v="12"/>
    <x v="2"/>
    <n v="2019"/>
  </r>
  <r>
    <s v="326-78-5178"/>
    <n v="7"/>
    <s v="Food and beverages"/>
    <x v="1"/>
    <n v="31.99"/>
    <x v="1"/>
    <x v="4"/>
    <n v="91.4"/>
    <n v="639.79999999999995"/>
    <n v="671.79"/>
    <x v="17"/>
    <x v="2"/>
    <n v="2019"/>
  </r>
  <r>
    <s v="162-48-8011"/>
    <n v="5"/>
    <s v="Food and beverages"/>
    <x v="1"/>
    <n v="11.147500000000001"/>
    <x v="0"/>
    <x v="4"/>
    <n v="44.59"/>
    <n v="222.95"/>
    <n v="234.0975"/>
    <x v="11"/>
    <x v="2"/>
    <n v="2019"/>
  </r>
  <r>
    <s v="616-24-2851"/>
    <n v="4"/>
    <s v="Fashion accessories"/>
    <x v="0"/>
    <n v="3.5740000000000003"/>
    <x v="2"/>
    <x v="5"/>
    <n v="17.87"/>
    <n v="71.48"/>
    <n v="75.054000000000002"/>
    <x v="14"/>
    <x v="2"/>
    <n v="2019"/>
  </r>
  <r>
    <s v="778-71-5554"/>
    <n v="1"/>
    <s v="Fashion accessories"/>
    <x v="2"/>
    <n v="0.77150000000000007"/>
    <x v="1"/>
    <x v="5"/>
    <n v="15.43"/>
    <n v="15.43"/>
    <n v="16.201499999999999"/>
    <x v="10"/>
    <x v="2"/>
    <n v="2019"/>
  </r>
  <r>
    <s v="242-55-6721"/>
    <n v="2"/>
    <s v="Home and lifestyle"/>
    <x v="0"/>
    <n v="1.6160000000000001"/>
    <x v="2"/>
    <x v="2"/>
    <n v="16.16"/>
    <n v="32.32"/>
    <n v="33.936"/>
    <x v="4"/>
    <x v="2"/>
    <n v="2019"/>
  </r>
  <r>
    <s v="399-46-5918"/>
    <n v="8"/>
    <s v="Electronic accessories"/>
    <x v="1"/>
    <n v="34.392000000000003"/>
    <x v="1"/>
    <x v="1"/>
    <n v="85.98"/>
    <n v="687.84"/>
    <n v="722.23199999999997"/>
    <x v="7"/>
    <x v="4"/>
    <n v="2019"/>
  </r>
  <r>
    <s v="106-35-6779"/>
    <n v="2"/>
    <s v="Home and lifestyle"/>
    <x v="1"/>
    <n v="4.4340000000000002"/>
    <x v="0"/>
    <x v="2"/>
    <n v="44.34"/>
    <n v="88.68"/>
    <n v="93.114000000000004"/>
    <x v="14"/>
    <x v="3"/>
    <n v="2019"/>
  </r>
  <r>
    <s v="635-40-6220"/>
    <n v="8"/>
    <s v="Health and beauty"/>
    <x v="0"/>
    <n v="35.839999999999996"/>
    <x v="0"/>
    <x v="0"/>
    <n v="89.6"/>
    <n v="716.8"/>
    <n v="752.64"/>
    <x v="13"/>
    <x v="3"/>
    <n v="2019"/>
  </r>
  <r>
    <s v="817-48-8732"/>
    <n v="10"/>
    <s v="Home and lifestyle"/>
    <x v="1"/>
    <n v="36.175000000000004"/>
    <x v="0"/>
    <x v="2"/>
    <n v="72.349999999999994"/>
    <n v="723.5"/>
    <n v="759.67499999999995"/>
    <x v="5"/>
    <x v="3"/>
    <n v="2019"/>
  </r>
  <r>
    <s v="120-06-4233"/>
    <n v="6"/>
    <s v="Electronic accessories"/>
    <x v="1"/>
    <n v="9.1829999999999998"/>
    <x v="1"/>
    <x v="1"/>
    <n v="30.61"/>
    <n v="183.66"/>
    <n v="192.84299999999999"/>
    <x v="15"/>
    <x v="4"/>
    <n v="2019"/>
  </r>
  <r>
    <s v="285-68-5083"/>
    <n v="3"/>
    <s v="Sports and travel"/>
    <x v="2"/>
    <n v="3.7110000000000003"/>
    <x v="1"/>
    <x v="3"/>
    <n v="24.74"/>
    <n v="74.22"/>
    <n v="77.930999999999997"/>
    <x v="16"/>
    <x v="2"/>
    <n v="2019"/>
  </r>
  <r>
    <s v="803-83-5989"/>
    <n v="6"/>
    <s v="Home and lifestyle"/>
    <x v="0"/>
    <n v="16.719000000000001"/>
    <x v="1"/>
    <x v="2"/>
    <n v="55.73"/>
    <n v="334.38"/>
    <n v="351.09899999999999"/>
    <x v="2"/>
    <x v="3"/>
    <n v="2019"/>
  </r>
  <r>
    <s v="347-34-2234"/>
    <n v="9"/>
    <s v="Sports and travel"/>
    <x v="0"/>
    <n v="24.781500000000001"/>
    <x v="2"/>
    <x v="3"/>
    <n v="55.07"/>
    <n v="495.63"/>
    <n v="520.41150000000005"/>
    <x v="3"/>
    <x v="3"/>
    <n v="2019"/>
  </r>
  <r>
    <s v="199-75-8169"/>
    <n v="10"/>
    <s v="Sports and travel"/>
    <x v="2"/>
    <n v="7.9050000000000002"/>
    <x v="0"/>
    <x v="3"/>
    <n v="15.81"/>
    <n v="158.1"/>
    <n v="166.005"/>
    <x v="9"/>
    <x v="4"/>
    <n v="2019"/>
  </r>
  <r>
    <s v="853-23-2453"/>
    <n v="4"/>
    <s v="Health and beauty"/>
    <x v="1"/>
    <n v="15.148"/>
    <x v="2"/>
    <x v="0"/>
    <n v="75.739999999999995"/>
    <n v="302.95999999999998"/>
    <n v="318.108"/>
    <x v="18"/>
    <x v="4"/>
    <n v="2019"/>
  </r>
  <r>
    <s v="877-22-3308"/>
    <n v="10"/>
    <s v="Health and beauty"/>
    <x v="1"/>
    <n v="7.9349999999999996"/>
    <x v="0"/>
    <x v="0"/>
    <n v="15.87"/>
    <n v="158.69999999999999"/>
    <n v="166.63499999999999"/>
    <x v="18"/>
    <x v="3"/>
    <n v="2019"/>
  </r>
  <r>
    <s v="838-78-4295"/>
    <n v="2"/>
    <s v="Health and beauty"/>
    <x v="0"/>
    <n v="3.347"/>
    <x v="1"/>
    <x v="0"/>
    <n v="33.47"/>
    <n v="66.94"/>
    <n v="70.287000000000006"/>
    <x v="18"/>
    <x v="4"/>
    <n v="2019"/>
  </r>
  <r>
    <s v="109-28-2512"/>
    <n v="6"/>
    <s v="Fashion accessories"/>
    <x v="0"/>
    <n v="29.283000000000001"/>
    <x v="2"/>
    <x v="5"/>
    <n v="97.61"/>
    <n v="585.66"/>
    <n v="614.94299999999998"/>
    <x v="13"/>
    <x v="4"/>
    <n v="2019"/>
  </r>
  <r>
    <s v="232-11-3025"/>
    <n v="10"/>
    <s v="Sports and travel"/>
    <x v="1"/>
    <n v="39.385000000000005"/>
    <x v="0"/>
    <x v="3"/>
    <n v="78.77"/>
    <n v="787.7"/>
    <n v="827.08500000000004"/>
    <x v="13"/>
    <x v="2"/>
    <n v="2019"/>
  </r>
  <r>
    <s v="382-03-4532"/>
    <n v="1"/>
    <s v="Health and beauty"/>
    <x v="1"/>
    <n v="0.91649999999999998"/>
    <x v="0"/>
    <x v="0"/>
    <n v="18.329999999999998"/>
    <n v="18.329999999999998"/>
    <n v="19.246500000000001"/>
    <x v="12"/>
    <x v="3"/>
    <n v="2019"/>
  </r>
  <r>
    <s v="393-65-2792"/>
    <n v="10"/>
    <s v="Food and beverages"/>
    <x v="2"/>
    <n v="44.74"/>
    <x v="1"/>
    <x v="4"/>
    <n v="89.48"/>
    <n v="894.8"/>
    <n v="939.54"/>
    <x v="3"/>
    <x v="3"/>
    <n v="2019"/>
  </r>
  <r>
    <s v="796-12-2025"/>
    <n v="10"/>
    <s v="Fashion accessories"/>
    <x v="1"/>
    <n v="31.060000000000002"/>
    <x v="1"/>
    <x v="5"/>
    <n v="62.12"/>
    <n v="621.20000000000005"/>
    <n v="652.26"/>
    <x v="10"/>
    <x v="4"/>
    <n v="2019"/>
  </r>
  <r>
    <s v="510-95-6347"/>
    <n v="3"/>
    <s v="Food and beverages"/>
    <x v="0"/>
    <n v="7.2780000000000005"/>
    <x v="2"/>
    <x v="4"/>
    <n v="48.52"/>
    <n v="145.56"/>
    <n v="152.83799999999999"/>
    <x v="8"/>
    <x v="3"/>
    <n v="2019"/>
  </r>
  <r>
    <s v="841-35-6630"/>
    <n v="6"/>
    <s v="Electronic accessories"/>
    <x v="1"/>
    <n v="22.773"/>
    <x v="1"/>
    <x v="1"/>
    <n v="75.91"/>
    <n v="455.46"/>
    <n v="478.233"/>
    <x v="14"/>
    <x v="2"/>
    <n v="2019"/>
  </r>
  <r>
    <s v="287-21-9091"/>
    <n v="9"/>
    <s v="Home and lifestyle"/>
    <x v="0"/>
    <n v="33.601500000000001"/>
    <x v="0"/>
    <x v="2"/>
    <n v="74.67"/>
    <n v="672.03"/>
    <n v="705.63149999999996"/>
    <x v="2"/>
    <x v="2"/>
    <n v="2019"/>
  </r>
  <r>
    <s v="732-94-0499"/>
    <n v="10"/>
    <s v="Electronic accessories"/>
    <x v="2"/>
    <n v="20.825000000000003"/>
    <x v="1"/>
    <x v="1"/>
    <n v="41.65"/>
    <n v="416.5"/>
    <n v="437.32499999999999"/>
    <x v="12"/>
    <x v="2"/>
    <n v="2019"/>
  </r>
  <r>
    <s v="263-10-3913"/>
    <n v="9"/>
    <s v="Fashion accessories"/>
    <x v="2"/>
    <n v="22.068000000000001"/>
    <x v="1"/>
    <x v="5"/>
    <n v="49.04"/>
    <n v="441.36"/>
    <n v="463.428"/>
    <x v="6"/>
    <x v="3"/>
    <n v="2019"/>
  </r>
  <r>
    <s v="381-20-0914"/>
    <n v="9"/>
    <s v="Fashion accessories"/>
    <x v="2"/>
    <n v="9.0045000000000002"/>
    <x v="0"/>
    <x v="5"/>
    <n v="20.010000000000002"/>
    <n v="180.09"/>
    <n v="189.09450000000001"/>
    <x v="11"/>
    <x v="3"/>
    <n v="2019"/>
  </r>
  <r>
    <s v="829-49-1914"/>
    <n v="10"/>
    <s v="Food and beverages"/>
    <x v="0"/>
    <n v="39.155000000000001"/>
    <x v="1"/>
    <x v="4"/>
    <n v="78.31"/>
    <n v="783.1"/>
    <n v="822.255"/>
    <x v="5"/>
    <x v="4"/>
    <n v="2019"/>
  </r>
  <r>
    <s v="756-01-7507"/>
    <n v="5"/>
    <s v="Health and beauty"/>
    <x v="1"/>
    <n v="5.0950000000000006"/>
    <x v="1"/>
    <x v="0"/>
    <n v="20.38"/>
    <n v="101.9"/>
    <n v="106.995"/>
    <x v="19"/>
    <x v="2"/>
    <n v="2019"/>
  </r>
  <r>
    <s v="870-72-4431"/>
    <n v="6"/>
    <s v="Health and beauty"/>
    <x v="2"/>
    <n v="29.757000000000001"/>
    <x v="1"/>
    <x v="0"/>
    <n v="99.19"/>
    <n v="595.14"/>
    <n v="624.89700000000005"/>
    <x v="2"/>
    <x v="2"/>
    <n v="2019"/>
  </r>
  <r>
    <s v="847-38-7188"/>
    <n v="3"/>
    <s v="Food and beverages"/>
    <x v="0"/>
    <n v="14.502000000000002"/>
    <x v="2"/>
    <x v="4"/>
    <n v="96.68"/>
    <n v="290.04000000000002"/>
    <n v="304.54199999999997"/>
    <x v="14"/>
    <x v="3"/>
    <n v="2019"/>
  </r>
  <r>
    <s v="480-63-2856"/>
    <n v="8"/>
    <s v="Food and beverages"/>
    <x v="0"/>
    <n v="7.7"/>
    <x v="1"/>
    <x v="4"/>
    <n v="19.25"/>
    <n v="154"/>
    <n v="161.69999999999999"/>
    <x v="3"/>
    <x v="4"/>
    <n v="2019"/>
  </r>
  <r>
    <s v="787-56-0757"/>
    <n v="4"/>
    <s v="Food and beverages"/>
    <x v="2"/>
    <n v="16.071999999999999"/>
    <x v="1"/>
    <x v="4"/>
    <n v="80.36"/>
    <n v="321.44"/>
    <n v="337.512"/>
    <x v="16"/>
    <x v="2"/>
    <n v="2019"/>
  </r>
  <r>
    <s v="360-39-5055"/>
    <n v="5"/>
    <s v="Sports and travel"/>
    <x v="1"/>
    <n v="12.227500000000001"/>
    <x v="1"/>
    <x v="3"/>
    <n v="48.91"/>
    <n v="244.55"/>
    <n v="256.77749999999997"/>
    <x v="19"/>
    <x v="3"/>
    <n v="2019"/>
  </r>
  <r>
    <s v="730-50-9884"/>
    <n v="7"/>
    <s v="Sports and travel"/>
    <x v="0"/>
    <n v="29.070999999999998"/>
    <x v="1"/>
    <x v="3"/>
    <n v="83.06"/>
    <n v="581.41999999999996"/>
    <n v="610.49099999999999"/>
    <x v="5"/>
    <x v="4"/>
    <n v="2019"/>
  </r>
  <r>
    <s v="362-58-8315"/>
    <n v="5"/>
    <s v="Fashion accessories"/>
    <x v="1"/>
    <n v="19.130000000000003"/>
    <x v="1"/>
    <x v="5"/>
    <n v="76.52"/>
    <n v="382.6"/>
    <n v="401.73"/>
    <x v="3"/>
    <x v="4"/>
    <n v="2019"/>
  </r>
  <r>
    <s v="633-44-8566"/>
    <n v="7"/>
    <s v="Food and beverages"/>
    <x v="2"/>
    <n v="17.283000000000001"/>
    <x v="0"/>
    <x v="4"/>
    <n v="49.38"/>
    <n v="345.66"/>
    <n v="362.94299999999998"/>
    <x v="13"/>
    <x v="3"/>
    <n v="2019"/>
  </r>
  <r>
    <s v="504-35-8843"/>
    <n v="1"/>
    <s v="Sports and travel"/>
    <x v="1"/>
    <n v="2.1234999999999999"/>
    <x v="0"/>
    <x v="3"/>
    <n v="42.47"/>
    <n v="42.47"/>
    <n v="44.593499999999999"/>
    <x v="14"/>
    <x v="3"/>
    <n v="2019"/>
  </r>
  <r>
    <s v="318-68-5053"/>
    <n v="6"/>
    <s v="Health and beauty"/>
    <x v="1"/>
    <n v="23.097000000000001"/>
    <x v="2"/>
    <x v="0"/>
    <n v="76.989999999999995"/>
    <n v="461.94"/>
    <n v="485.03699999999998"/>
    <x v="17"/>
    <x v="3"/>
    <n v="2019"/>
  </r>
  <r>
    <s v="565-80-5980"/>
    <n v="4"/>
    <s v="Home and lifestyle"/>
    <x v="1"/>
    <n v="9.4760000000000009"/>
    <x v="1"/>
    <x v="2"/>
    <n v="47.38"/>
    <n v="189.52"/>
    <n v="198.99600000000001"/>
    <x v="14"/>
    <x v="3"/>
    <n v="2019"/>
  </r>
  <r>
    <s v="225-32-0908"/>
    <n v="10"/>
    <s v="Sports and travel"/>
    <x v="0"/>
    <n v="22.430000000000003"/>
    <x v="1"/>
    <x v="3"/>
    <n v="44.86"/>
    <n v="448.6"/>
    <n v="471.03"/>
    <x v="18"/>
    <x v="3"/>
    <n v="2019"/>
  </r>
  <r>
    <s v="873-51-0671"/>
    <n v="7"/>
    <s v="Sports and travel"/>
    <x v="0"/>
    <n v="7.6930000000000014"/>
    <x v="0"/>
    <x v="3"/>
    <n v="21.98"/>
    <n v="153.86000000000001"/>
    <n v="161.553"/>
    <x v="8"/>
    <x v="2"/>
    <n v="2019"/>
  </r>
  <r>
    <s v="152-08-9985"/>
    <n v="9"/>
    <s v="Health and beauty"/>
    <x v="2"/>
    <n v="28.962000000000003"/>
    <x v="2"/>
    <x v="0"/>
    <n v="64.36"/>
    <n v="579.24"/>
    <n v="608.202"/>
    <x v="16"/>
    <x v="4"/>
    <n v="2019"/>
  </r>
  <r>
    <s v="512-91-0811"/>
    <n v="1"/>
    <s v="Health and beauty"/>
    <x v="2"/>
    <n v="4.4874999999999998"/>
    <x v="1"/>
    <x v="0"/>
    <n v="89.75"/>
    <n v="89.75"/>
    <n v="94.237499999999997"/>
    <x v="12"/>
    <x v="2"/>
    <n v="2019"/>
  </r>
  <r>
    <s v="594-34-4444"/>
    <n v="1"/>
    <s v="Electronic accessories"/>
    <x v="0"/>
    <n v="4.8580000000000005"/>
    <x v="0"/>
    <x v="1"/>
    <n v="97.16"/>
    <n v="97.16"/>
    <n v="102.018"/>
    <x v="11"/>
    <x v="3"/>
    <n v="2019"/>
  </r>
  <r>
    <s v="766-85-7061"/>
    <n v="10"/>
    <s v="Health and beauty"/>
    <x v="0"/>
    <n v="43.935000000000002"/>
    <x v="2"/>
    <x v="0"/>
    <n v="87.87"/>
    <n v="878.7"/>
    <n v="922.63499999999999"/>
    <x v="12"/>
    <x v="3"/>
    <n v="2019"/>
  </r>
  <r>
    <s v="871-39-9221"/>
    <n v="6"/>
    <s v="Electronic accessories"/>
    <x v="1"/>
    <n v="3.7350000000000003"/>
    <x v="1"/>
    <x v="1"/>
    <n v="12.45"/>
    <n v="74.7"/>
    <n v="78.435000000000002"/>
    <x v="12"/>
    <x v="2"/>
    <n v="2019"/>
  </r>
  <r>
    <s v="865-92-6136"/>
    <n v="3"/>
    <s v="Food and beverages"/>
    <x v="0"/>
    <n v="7.9125000000000005"/>
    <x v="0"/>
    <x v="4"/>
    <n v="52.75"/>
    <n v="158.25"/>
    <n v="166.16249999999999"/>
    <x v="3"/>
    <x v="3"/>
    <n v="2019"/>
  </r>
  <r>
    <s v="733-01-9107"/>
    <n v="6"/>
    <s v="Home and lifestyle"/>
    <x v="1"/>
    <n v="24.810000000000002"/>
    <x v="2"/>
    <x v="2"/>
    <n v="82.7"/>
    <n v="496.2"/>
    <n v="521.01"/>
    <x v="11"/>
    <x v="3"/>
    <n v="2019"/>
  </r>
  <r>
    <s v="163-56-7055"/>
    <n v="1"/>
    <s v="Fashion accessories"/>
    <x v="1"/>
    <n v="2.4355000000000002"/>
    <x v="1"/>
    <x v="5"/>
    <n v="48.71"/>
    <n v="48.71"/>
    <n v="51.145499999999998"/>
    <x v="7"/>
    <x v="3"/>
    <n v="2019"/>
  </r>
  <r>
    <s v="189-98-2939"/>
    <n v="9"/>
    <s v="Fashion accessories"/>
    <x v="1"/>
    <n v="35.347500000000004"/>
    <x v="1"/>
    <x v="5"/>
    <n v="78.55"/>
    <n v="706.95"/>
    <n v="742.29750000000001"/>
    <x v="13"/>
    <x v="2"/>
    <n v="2019"/>
  </r>
  <r>
    <s v="551-21-3069"/>
    <n v="9"/>
    <s v="Electronic accessories"/>
    <x v="1"/>
    <n v="10.381500000000001"/>
    <x v="1"/>
    <x v="1"/>
    <n v="23.07"/>
    <n v="207.63"/>
    <n v="218.01150000000001"/>
    <x v="17"/>
    <x v="3"/>
    <n v="2019"/>
  </r>
  <r>
    <s v="212-62-1842"/>
    <n v="6"/>
    <s v="Food and beverages"/>
    <x v="1"/>
    <n v="17.478000000000002"/>
    <x v="0"/>
    <x v="4"/>
    <n v="58.26"/>
    <n v="349.56"/>
    <n v="367.03800000000001"/>
    <x v="14"/>
    <x v="2"/>
    <n v="2019"/>
  </r>
  <r>
    <s v="716-39-1409"/>
    <n v="7"/>
    <s v="Health and beauty"/>
    <x v="1"/>
    <n v="10.6225"/>
    <x v="2"/>
    <x v="0"/>
    <n v="30.35"/>
    <n v="212.45"/>
    <n v="223.07249999999999"/>
    <x v="16"/>
    <x v="3"/>
    <n v="2019"/>
  </r>
  <r>
    <s v="704-48-3927"/>
    <n v="10"/>
    <s v="Electronic accessories"/>
    <x v="0"/>
    <n v="44.335000000000008"/>
    <x v="0"/>
    <x v="1"/>
    <n v="88.67"/>
    <n v="886.7"/>
    <n v="931.03499999999997"/>
    <x v="17"/>
    <x v="2"/>
    <n v="2019"/>
  </r>
  <r>
    <s v="628-34-3388"/>
    <n v="6"/>
    <s v="Fashion accessories"/>
    <x v="2"/>
    <n v="8.2140000000000004"/>
    <x v="1"/>
    <x v="5"/>
    <n v="27.38"/>
    <n v="164.28"/>
    <n v="172.494"/>
    <x v="12"/>
    <x v="2"/>
    <n v="2019"/>
  </r>
  <r>
    <s v="630-74-5166"/>
    <n v="6"/>
    <s v="Sports and travel"/>
    <x v="1"/>
    <n v="18.638999999999999"/>
    <x v="0"/>
    <x v="3"/>
    <n v="62.13"/>
    <n v="372.78"/>
    <n v="391.41899999999998"/>
    <x v="9"/>
    <x v="4"/>
    <n v="2019"/>
  </r>
  <r>
    <s v="588-01-7461"/>
    <n v="9"/>
    <s v="Food and beverages"/>
    <x v="1"/>
    <n v="15.291"/>
    <x v="1"/>
    <x v="4"/>
    <n v="33.979999999999997"/>
    <n v="305.82"/>
    <n v="321.11099999999999"/>
    <x v="6"/>
    <x v="3"/>
    <n v="2019"/>
  </r>
  <r>
    <s v="861-77-0145"/>
    <n v="10"/>
    <s v="Electronic accessories"/>
    <x v="1"/>
    <n v="40.985000000000007"/>
    <x v="1"/>
    <x v="1"/>
    <n v="81.97"/>
    <n v="819.7"/>
    <n v="860.68499999999995"/>
    <x v="7"/>
    <x v="2"/>
    <n v="2019"/>
  </r>
  <r>
    <s v="479-26-8945"/>
    <n v="2"/>
    <s v="Sports and travel"/>
    <x v="0"/>
    <n v="1.649"/>
    <x v="2"/>
    <x v="3"/>
    <n v="16.489999999999998"/>
    <n v="32.979999999999997"/>
    <n v="34.628999999999998"/>
    <x v="15"/>
    <x v="3"/>
    <n v="2019"/>
  </r>
  <r>
    <s v="210-67-5886"/>
    <n v="3"/>
    <s v="Health and beauty"/>
    <x v="2"/>
    <n v="14.7315"/>
    <x v="1"/>
    <x v="0"/>
    <n v="98.21"/>
    <n v="294.63"/>
    <n v="309.36149999999998"/>
    <x v="7"/>
    <x v="4"/>
    <n v="2019"/>
  </r>
  <r>
    <s v="227-78-1148"/>
    <n v="7"/>
    <s v="Fashion accessories"/>
    <x v="1"/>
    <n v="25.494"/>
    <x v="2"/>
    <x v="5"/>
    <n v="72.84"/>
    <n v="509.88"/>
    <n v="535.37400000000002"/>
    <x v="18"/>
    <x v="2"/>
    <n v="2019"/>
  </r>
  <r>
    <s v="645-44-1170"/>
    <n v="9"/>
    <s v="Home and lifestyle"/>
    <x v="0"/>
    <n v="26.131500000000003"/>
    <x v="0"/>
    <x v="2"/>
    <n v="58.07"/>
    <n v="522.63"/>
    <n v="548.76149999999996"/>
    <x v="11"/>
    <x v="2"/>
    <n v="2019"/>
  </r>
  <r>
    <s v="237-01-6122"/>
    <n v="9"/>
    <s v="Home and lifestyle"/>
    <x v="2"/>
    <n v="36.355499999999999"/>
    <x v="1"/>
    <x v="2"/>
    <n v="80.790000000000006"/>
    <n v="727.11"/>
    <n v="763.46550000000002"/>
    <x v="3"/>
    <x v="3"/>
    <n v="2019"/>
  </r>
  <r>
    <s v="225-98-1496"/>
    <n v="3"/>
    <s v="Fashion accessories"/>
    <x v="2"/>
    <n v="4.0529999999999999"/>
    <x v="1"/>
    <x v="5"/>
    <n v="27.02"/>
    <n v="81.06"/>
    <n v="85.113"/>
    <x v="13"/>
    <x v="3"/>
    <n v="2019"/>
  </r>
  <r>
    <s v="291-32-1427"/>
    <n v="5"/>
    <s v="Fashion accessories"/>
    <x v="0"/>
    <n v="5.4850000000000003"/>
    <x v="2"/>
    <x v="5"/>
    <n v="21.94"/>
    <n v="109.7"/>
    <n v="115.185"/>
    <x v="5"/>
    <x v="2"/>
    <n v="2019"/>
  </r>
  <r>
    <s v="659-65-8956"/>
    <n v="1"/>
    <s v="Fashion accessories"/>
    <x v="0"/>
    <n v="2.5680000000000001"/>
    <x v="2"/>
    <x v="5"/>
    <n v="51.36"/>
    <n v="51.36"/>
    <n v="53.927999999999997"/>
    <x v="10"/>
    <x v="2"/>
    <n v="2019"/>
  </r>
  <r>
    <s v="642-32-2990"/>
    <n v="10"/>
    <s v="Food and beverages"/>
    <x v="0"/>
    <n v="5.48"/>
    <x v="0"/>
    <x v="4"/>
    <n v="10.96"/>
    <n v="109.6"/>
    <n v="115.08"/>
    <x v="4"/>
    <x v="2"/>
    <n v="2019"/>
  </r>
  <r>
    <s v="378-24-2715"/>
    <n v="2"/>
    <s v="Home and lifestyle"/>
    <x v="0"/>
    <n v="5.3440000000000003"/>
    <x v="2"/>
    <x v="2"/>
    <n v="53.44"/>
    <n v="106.88"/>
    <n v="112.224"/>
    <x v="8"/>
    <x v="4"/>
    <n v="2019"/>
  </r>
  <r>
    <s v="638-60-7125"/>
    <n v="8"/>
    <s v="Electronic accessories"/>
    <x v="2"/>
    <n v="39.824000000000005"/>
    <x v="0"/>
    <x v="1"/>
    <n v="99.56"/>
    <n v="796.48"/>
    <n v="836.30399999999997"/>
    <x v="20"/>
    <x v="3"/>
    <n v="2019"/>
  </r>
  <r>
    <s v="659-36-1684"/>
    <n v="7"/>
    <s v="Sports and travel"/>
    <x v="2"/>
    <n v="19.992000000000001"/>
    <x v="1"/>
    <x v="3"/>
    <n v="57.12"/>
    <n v="399.84"/>
    <n v="419.83199999999999"/>
    <x v="9"/>
    <x v="4"/>
    <n v="2019"/>
  </r>
  <r>
    <s v="219-22-9386"/>
    <n v="9"/>
    <s v="Sports and travel"/>
    <x v="2"/>
    <n v="44.981999999999999"/>
    <x v="2"/>
    <x v="3"/>
    <n v="99.96"/>
    <n v="899.64"/>
    <n v="944.62199999999996"/>
    <x v="8"/>
    <x v="4"/>
    <n v="2019"/>
  </r>
  <r>
    <s v="336-78-2147"/>
    <n v="8"/>
    <s v="Home and lifestyle"/>
    <x v="2"/>
    <n v="25.564"/>
    <x v="1"/>
    <x v="2"/>
    <n v="63.91"/>
    <n v="511.28"/>
    <n v="536.84400000000005"/>
    <x v="5"/>
    <x v="2"/>
    <n v="2019"/>
  </r>
  <r>
    <s v="268-27-6179"/>
    <n v="8"/>
    <s v="Fashion accessories"/>
    <x v="0"/>
    <n v="22.588000000000001"/>
    <x v="2"/>
    <x v="5"/>
    <n v="56.47"/>
    <n v="451.76"/>
    <n v="474.34800000000001"/>
    <x v="17"/>
    <x v="3"/>
    <n v="2019"/>
  </r>
  <r>
    <s v="668-90-8900"/>
    <n v="7"/>
    <s v="Home and lifestyle"/>
    <x v="2"/>
    <n v="32.791500000000006"/>
    <x v="0"/>
    <x v="2"/>
    <n v="93.69"/>
    <n v="655.83"/>
    <n v="688.62149999999997"/>
    <x v="20"/>
    <x v="3"/>
    <n v="2019"/>
  </r>
  <r>
    <s v="870-54-3162"/>
    <n v="5"/>
    <s v="Sports and travel"/>
    <x v="1"/>
    <n v="8.0625"/>
    <x v="0"/>
    <x v="3"/>
    <n v="32.25"/>
    <n v="161.25"/>
    <n v="169.3125"/>
    <x v="17"/>
    <x v="4"/>
    <n v="2019"/>
  </r>
  <r>
    <s v="189-08-9157"/>
    <n v="9"/>
    <s v="Fashion accessories"/>
    <x v="2"/>
    <n v="14.278500000000001"/>
    <x v="1"/>
    <x v="5"/>
    <n v="31.73"/>
    <n v="285.57"/>
    <n v="299.8485"/>
    <x v="17"/>
    <x v="3"/>
    <n v="2019"/>
  </r>
  <r>
    <s v="663-86-9076"/>
    <n v="8"/>
    <s v="Food and beverages"/>
    <x v="0"/>
    <n v="27.416000000000004"/>
    <x v="1"/>
    <x v="4"/>
    <n v="68.540000000000006"/>
    <n v="548.32000000000005"/>
    <n v="575.73599999999999"/>
    <x v="8"/>
    <x v="4"/>
    <n v="2019"/>
  </r>
  <r>
    <s v="549-84-7482"/>
    <n v="9"/>
    <s v="Sports and travel"/>
    <x v="0"/>
    <n v="40.626000000000005"/>
    <x v="2"/>
    <x v="3"/>
    <n v="90.28"/>
    <n v="812.52"/>
    <n v="853.14599999999996"/>
    <x v="5"/>
    <x v="3"/>
    <n v="2019"/>
  </r>
  <r>
    <s v="191-10-6171"/>
    <n v="7"/>
    <s v="Fashion accessories"/>
    <x v="1"/>
    <n v="13.866999999999999"/>
    <x v="2"/>
    <x v="5"/>
    <n v="39.619999999999997"/>
    <n v="277.33999999999997"/>
    <n v="291.20699999999999"/>
    <x v="11"/>
    <x v="3"/>
    <n v="2019"/>
  </r>
  <r>
    <s v="802-70-5316"/>
    <n v="6"/>
    <s v="Sports and travel"/>
    <x v="1"/>
    <n v="27.638999999999999"/>
    <x v="0"/>
    <x v="3"/>
    <n v="92.13"/>
    <n v="552.78"/>
    <n v="580.41899999999998"/>
    <x v="11"/>
    <x v="4"/>
    <n v="2019"/>
  </r>
  <r>
    <s v="695-51-0018"/>
    <n v="4"/>
    <s v="Sports and travel"/>
    <x v="1"/>
    <n v="6.9680000000000009"/>
    <x v="2"/>
    <x v="3"/>
    <n v="34.840000000000003"/>
    <n v="139.36000000000001"/>
    <n v="146.328"/>
    <x v="12"/>
    <x v="3"/>
    <n v="2019"/>
  </r>
  <r>
    <s v="590-83-4591"/>
    <n v="6"/>
    <s v="Electronic accessories"/>
    <x v="2"/>
    <n v="26.235000000000003"/>
    <x v="2"/>
    <x v="1"/>
    <n v="87.45"/>
    <n v="524.70000000000005"/>
    <n v="550.93499999999995"/>
    <x v="15"/>
    <x v="3"/>
    <n v="2019"/>
  </r>
  <r>
    <s v="483-71-1164"/>
    <n v="6"/>
    <s v="Health and beauty"/>
    <x v="0"/>
    <n v="24.39"/>
    <x v="1"/>
    <x v="0"/>
    <n v="81.3"/>
    <n v="487.8"/>
    <n v="512.19000000000005"/>
    <x v="9"/>
    <x v="2"/>
    <n v="2019"/>
  </r>
  <r>
    <s v="597-78-7908"/>
    <n v="3"/>
    <s v="Fashion accessories"/>
    <x v="1"/>
    <n v="13.533000000000001"/>
    <x v="1"/>
    <x v="5"/>
    <n v="90.22"/>
    <n v="270.66000000000003"/>
    <n v="284.19299999999998"/>
    <x v="13"/>
    <x v="2"/>
    <n v="2019"/>
  </r>
  <r>
    <s v="700-81-1757"/>
    <n v="5"/>
    <s v="Electronic accessories"/>
    <x v="2"/>
    <n v="6.5775000000000006"/>
    <x v="0"/>
    <x v="1"/>
    <n v="26.31"/>
    <n v="131.55000000000001"/>
    <n v="138.1275"/>
    <x v="6"/>
    <x v="3"/>
    <n v="2019"/>
  </r>
  <r>
    <s v="354-39-5160"/>
    <n v="6"/>
    <s v="Home and lifestyle"/>
    <x v="1"/>
    <n v="10.326000000000001"/>
    <x v="0"/>
    <x v="2"/>
    <n v="34.42"/>
    <n v="206.52"/>
    <n v="216.846"/>
    <x v="20"/>
    <x v="3"/>
    <n v="2019"/>
  </r>
  <r>
    <s v="241-72-9525"/>
    <n v="10"/>
    <s v="Sports and travel"/>
    <x v="1"/>
    <n v="25.955000000000002"/>
    <x v="2"/>
    <x v="3"/>
    <n v="51.91"/>
    <n v="519.1"/>
    <n v="545.05499999999995"/>
    <x v="16"/>
    <x v="4"/>
    <n v="2019"/>
  </r>
  <r>
    <s v="575-30-8091"/>
    <n v="8"/>
    <s v="Sports and travel"/>
    <x v="0"/>
    <n v="29"/>
    <x v="0"/>
    <x v="3"/>
    <n v="72.5"/>
    <n v="580"/>
    <n v="609"/>
    <x v="14"/>
    <x v="2"/>
    <n v="2019"/>
  </r>
  <r>
    <s v="731-81-9469"/>
    <n v="10"/>
    <s v="Sports and travel"/>
    <x v="2"/>
    <n v="44.900000000000006"/>
    <x v="1"/>
    <x v="3"/>
    <n v="89.8"/>
    <n v="898"/>
    <n v="942.9"/>
    <x v="16"/>
    <x v="2"/>
    <n v="2019"/>
  </r>
  <r>
    <s v="280-17-4359"/>
    <n v="10"/>
    <s v="Health and beauty"/>
    <x v="1"/>
    <n v="45.25"/>
    <x v="1"/>
    <x v="0"/>
    <n v="90.5"/>
    <n v="905"/>
    <n v="950.25"/>
    <x v="17"/>
    <x v="4"/>
    <n v="2019"/>
  </r>
  <r>
    <s v="338-65-2210"/>
    <n v="10"/>
    <s v="Health and beauty"/>
    <x v="1"/>
    <n v="34.300000000000004"/>
    <x v="1"/>
    <x v="0"/>
    <n v="68.599999999999994"/>
    <n v="686"/>
    <n v="720.3"/>
    <x v="15"/>
    <x v="2"/>
    <n v="2019"/>
  </r>
  <r>
    <s v="488-25-4221"/>
    <n v="1"/>
    <s v="Food and beverages"/>
    <x v="2"/>
    <n v="1.5205000000000002"/>
    <x v="1"/>
    <x v="4"/>
    <n v="30.41"/>
    <n v="30.41"/>
    <n v="31.930499999999999"/>
    <x v="2"/>
    <x v="3"/>
    <n v="2019"/>
  </r>
  <r>
    <s v="239-10-7476"/>
    <n v="6"/>
    <s v="Home and lifestyle"/>
    <x v="0"/>
    <n v="23.385000000000002"/>
    <x v="0"/>
    <x v="2"/>
    <n v="77.95"/>
    <n v="467.7"/>
    <n v="491.08499999999998"/>
    <x v="17"/>
    <x v="4"/>
    <n v="2019"/>
  </r>
  <r>
    <s v="458-41-1477"/>
    <n v="6"/>
    <s v="Health and beauty"/>
    <x v="2"/>
    <n v="13.878"/>
    <x v="1"/>
    <x v="0"/>
    <n v="46.26"/>
    <n v="277.56"/>
    <n v="291.43799999999999"/>
    <x v="5"/>
    <x v="2"/>
    <n v="2019"/>
  </r>
  <r>
    <s v="685-64-1609"/>
    <n v="10"/>
    <s v="Fashion accessories"/>
    <x v="0"/>
    <n v="15.07"/>
    <x v="0"/>
    <x v="5"/>
    <n v="30.14"/>
    <n v="301.39999999999998"/>
    <n v="316.47000000000003"/>
    <x v="5"/>
    <x v="2"/>
    <n v="2019"/>
  </r>
  <r>
    <s v="568-90-5112"/>
    <n v="4"/>
    <s v="Health and beauty"/>
    <x v="2"/>
    <n v="13.228000000000002"/>
    <x v="1"/>
    <x v="0"/>
    <n v="66.14"/>
    <n v="264.56"/>
    <n v="277.78800000000001"/>
    <x v="7"/>
    <x v="4"/>
    <n v="2019"/>
  </r>
  <r>
    <s v="262-47-2794"/>
    <n v="8"/>
    <s v="Home and lifestyle"/>
    <x v="2"/>
    <n v="28.744"/>
    <x v="2"/>
    <x v="2"/>
    <n v="71.86"/>
    <n v="574.88"/>
    <n v="603.62400000000002"/>
    <x v="5"/>
    <x v="4"/>
    <n v="2019"/>
  </r>
  <r>
    <s v="238-49-0436"/>
    <n v="8"/>
    <s v="Health and beauty"/>
    <x v="2"/>
    <n v="12.984000000000002"/>
    <x v="0"/>
    <x v="0"/>
    <n v="32.46"/>
    <n v="259.68"/>
    <n v="272.66399999999999"/>
    <x v="4"/>
    <x v="2"/>
    <n v="2019"/>
  </r>
  <r>
    <s v="608-96-3517"/>
    <n v="4"/>
    <s v="Fashion accessories"/>
    <x v="2"/>
    <n v="18.308000000000003"/>
    <x v="2"/>
    <x v="5"/>
    <n v="91.54"/>
    <n v="366.16"/>
    <n v="384.46800000000002"/>
    <x v="20"/>
    <x v="3"/>
    <n v="2019"/>
  </r>
  <r>
    <s v="584-86-7256"/>
    <n v="7"/>
    <s v="Sports and travel"/>
    <x v="2"/>
    <n v="12.096"/>
    <x v="1"/>
    <x v="3"/>
    <n v="34.56"/>
    <n v="241.92"/>
    <n v="254.01599999999999"/>
    <x v="3"/>
    <x v="3"/>
    <n v="2019"/>
  </r>
  <r>
    <s v="746-94-0204"/>
    <n v="9"/>
    <s v="Fashion accessories"/>
    <x v="2"/>
    <n v="37.457999999999998"/>
    <x v="0"/>
    <x v="5"/>
    <n v="83.24"/>
    <n v="749.16"/>
    <n v="786.61800000000005"/>
    <x v="4"/>
    <x v="3"/>
    <n v="2019"/>
  </r>
  <r>
    <s v="214-17-6927"/>
    <n v="6"/>
    <s v="Food and beverages"/>
    <x v="0"/>
    <n v="4.944"/>
    <x v="1"/>
    <x v="4"/>
    <n v="16.48"/>
    <n v="98.88"/>
    <n v="103.824"/>
    <x v="15"/>
    <x v="2"/>
    <n v="2019"/>
  </r>
  <r>
    <s v="400-89-4171"/>
    <n v="8"/>
    <s v="Sports and travel"/>
    <x v="1"/>
    <n v="32.387999999999998"/>
    <x v="1"/>
    <x v="3"/>
    <n v="80.97"/>
    <n v="647.76"/>
    <n v="680.14800000000002"/>
    <x v="18"/>
    <x v="4"/>
    <n v="2019"/>
  </r>
  <r>
    <s v="782-95-9291"/>
    <n v="5"/>
    <s v="Food and beverages"/>
    <x v="2"/>
    <n v="23.072500000000002"/>
    <x v="0"/>
    <x v="4"/>
    <n v="92.29"/>
    <n v="461.45"/>
    <n v="484.52249999999998"/>
    <x v="8"/>
    <x v="3"/>
    <n v="2019"/>
  </r>
  <r>
    <s v="279-74-2924"/>
    <n v="1"/>
    <s v="Electronic accessories"/>
    <x v="1"/>
    <n v="3.6085000000000003"/>
    <x v="2"/>
    <x v="1"/>
    <n v="72.17"/>
    <n v="72.17"/>
    <n v="75.778499999999994"/>
    <x v="16"/>
    <x v="2"/>
    <n v="2019"/>
  </r>
  <r>
    <s v="307-85-2293"/>
    <n v="5"/>
    <s v="Home and lifestyle"/>
    <x v="0"/>
    <n v="12.57"/>
    <x v="2"/>
    <x v="2"/>
    <n v="50.28"/>
    <n v="251.4"/>
    <n v="263.97000000000003"/>
    <x v="6"/>
    <x v="2"/>
    <n v="2019"/>
  </r>
  <r>
    <s v="743-04-1105"/>
    <n v="9"/>
    <s v="Health and beauty"/>
    <x v="0"/>
    <n v="43.749000000000002"/>
    <x v="2"/>
    <x v="0"/>
    <n v="97.22"/>
    <n v="874.98"/>
    <n v="918.72900000000004"/>
    <x v="3"/>
    <x v="3"/>
    <n v="2019"/>
  </r>
  <r>
    <s v="423-57-2993"/>
    <n v="6"/>
    <s v="Sports and travel"/>
    <x v="0"/>
    <n v="28.017000000000003"/>
    <x v="2"/>
    <x v="3"/>
    <n v="93.39"/>
    <n v="560.34"/>
    <n v="588.35699999999997"/>
    <x v="14"/>
    <x v="3"/>
    <n v="2019"/>
  </r>
  <r>
    <s v="894-41-5205"/>
    <n v="8"/>
    <s v="Food and beverages"/>
    <x v="2"/>
    <n v="17.272000000000002"/>
    <x v="1"/>
    <x v="4"/>
    <n v="43.18"/>
    <n v="345.44"/>
    <n v="362.71199999999999"/>
    <x v="3"/>
    <x v="4"/>
    <n v="2019"/>
  </r>
  <r>
    <s v="275-28-0149"/>
    <n v="1"/>
    <s v="Sports and travel"/>
    <x v="1"/>
    <n v="3.1844999999999999"/>
    <x v="0"/>
    <x v="3"/>
    <n v="63.69"/>
    <n v="63.69"/>
    <n v="66.874499999999998"/>
    <x v="18"/>
    <x v="2"/>
    <n v="2019"/>
  </r>
  <r>
    <s v="101-17-6199"/>
    <n v="7"/>
    <s v="Food and beverages"/>
    <x v="2"/>
    <n v="16.026499999999999"/>
    <x v="0"/>
    <x v="4"/>
    <n v="45.79"/>
    <n v="320.52999999999997"/>
    <n v="336.55650000000003"/>
    <x v="12"/>
    <x v="4"/>
    <n v="2019"/>
  </r>
  <r>
    <s v="423-80-0988"/>
    <n v="2"/>
    <s v="Sports and travel"/>
    <x v="0"/>
    <n v="7.6400000000000006"/>
    <x v="1"/>
    <x v="3"/>
    <n v="76.400000000000006"/>
    <n v="152.80000000000001"/>
    <n v="160.44"/>
    <x v="17"/>
    <x v="2"/>
    <n v="2019"/>
  </r>
  <r>
    <s v="548-46-9322"/>
    <n v="10"/>
    <s v="Food and beverages"/>
    <x v="2"/>
    <n v="19.950000000000003"/>
    <x v="2"/>
    <x v="4"/>
    <n v="39.9"/>
    <n v="399"/>
    <n v="418.95"/>
    <x v="19"/>
    <x v="2"/>
    <n v="2019"/>
  </r>
  <r>
    <s v="505-02-0892"/>
    <n v="8"/>
    <s v="Health and beauty"/>
    <x v="0"/>
    <n v="17.028000000000002"/>
    <x v="2"/>
    <x v="0"/>
    <n v="42.57"/>
    <n v="340.56"/>
    <n v="357.58800000000002"/>
    <x v="9"/>
    <x v="4"/>
    <n v="2019"/>
  </r>
  <r>
    <s v="234-65-2137"/>
    <n v="10"/>
    <s v="Home and lifestyle"/>
    <x v="1"/>
    <n v="47.79"/>
    <x v="1"/>
    <x v="2"/>
    <n v="95.58"/>
    <n v="955.8"/>
    <n v="1003.59"/>
    <x v="8"/>
    <x v="2"/>
    <n v="2019"/>
  </r>
  <r>
    <s v="687-47-8271"/>
    <n v="10"/>
    <s v="Fashion accessories"/>
    <x v="2"/>
    <n v="49.49"/>
    <x v="0"/>
    <x v="5"/>
    <n v="98.98"/>
    <n v="989.8"/>
    <n v="1039.29"/>
    <x v="20"/>
    <x v="3"/>
    <n v="2019"/>
  </r>
  <r>
    <s v="796-32-9050"/>
    <n v="6"/>
    <s v="Food and beverages"/>
    <x v="1"/>
    <n v="15.384"/>
    <x v="0"/>
    <x v="4"/>
    <n v="51.28"/>
    <n v="307.68"/>
    <n v="323.06400000000002"/>
    <x v="15"/>
    <x v="4"/>
    <n v="2019"/>
  </r>
  <r>
    <s v="105-31-1824"/>
    <n v="7"/>
    <s v="Sports and travel"/>
    <x v="2"/>
    <n v="24.332000000000001"/>
    <x v="0"/>
    <x v="3"/>
    <n v="69.52"/>
    <n v="486.64"/>
    <n v="510.97199999999998"/>
    <x v="18"/>
    <x v="4"/>
    <n v="2019"/>
  </r>
  <r>
    <s v="249-42-3782"/>
    <n v="5"/>
    <s v="Health and beauty"/>
    <x v="0"/>
    <n v="17.502500000000001"/>
    <x v="0"/>
    <x v="0"/>
    <n v="70.010000000000005"/>
    <n v="350.05"/>
    <n v="367.55250000000001"/>
    <x v="17"/>
    <x v="4"/>
    <n v="2019"/>
  </r>
  <r>
    <s v="316-55-4634"/>
    <n v="5"/>
    <s v="Food and beverages"/>
    <x v="2"/>
    <n v="20.012500000000003"/>
    <x v="2"/>
    <x v="4"/>
    <n v="80.05"/>
    <n v="400.25"/>
    <n v="420.26249999999999"/>
    <x v="18"/>
    <x v="3"/>
    <n v="2019"/>
  </r>
  <r>
    <s v="733-33-4967"/>
    <n v="8"/>
    <s v="Electronic accessories"/>
    <x v="1"/>
    <n v="8.3400000000000016"/>
    <x v="1"/>
    <x v="1"/>
    <n v="20.85"/>
    <n v="166.8"/>
    <n v="175.14"/>
    <x v="7"/>
    <x v="4"/>
    <n v="2019"/>
  </r>
  <r>
    <s v="608-27-6295"/>
    <n v="6"/>
    <s v="Electronic accessories"/>
    <x v="2"/>
    <n v="15.866999999999999"/>
    <x v="2"/>
    <x v="1"/>
    <n v="52.89"/>
    <n v="317.33999999999997"/>
    <n v="333.20699999999999"/>
    <x v="9"/>
    <x v="3"/>
    <n v="2019"/>
  </r>
  <r>
    <s v="414-12-7047"/>
    <n v="8"/>
    <s v="Food and beverages"/>
    <x v="0"/>
    <n v="7.9160000000000004"/>
    <x v="2"/>
    <x v="4"/>
    <n v="19.79"/>
    <n v="158.32"/>
    <n v="166.23599999999999"/>
    <x v="3"/>
    <x v="3"/>
    <n v="2019"/>
  </r>
  <r>
    <s v="827-26-2100"/>
    <n v="9"/>
    <s v="Home and lifestyle"/>
    <x v="0"/>
    <n v="15.228000000000002"/>
    <x v="0"/>
    <x v="2"/>
    <n v="33.840000000000003"/>
    <n v="304.56"/>
    <n v="319.78800000000001"/>
    <x v="3"/>
    <x v="2"/>
    <n v="2019"/>
  </r>
  <r>
    <s v="175-54-2529"/>
    <n v="8"/>
    <s v="Food and beverages"/>
    <x v="2"/>
    <n v="8.8680000000000003"/>
    <x v="0"/>
    <x v="4"/>
    <n v="22.17"/>
    <n v="177.36"/>
    <n v="186.22800000000001"/>
    <x v="9"/>
    <x v="4"/>
    <n v="2019"/>
  </r>
  <r>
    <s v="139-52-2867"/>
    <n v="7"/>
    <s v="Fashion accessories"/>
    <x v="2"/>
    <n v="7.8784999999999998"/>
    <x v="1"/>
    <x v="5"/>
    <n v="22.51"/>
    <n v="157.57"/>
    <n v="165.4485"/>
    <x v="15"/>
    <x v="2"/>
    <n v="2019"/>
  </r>
  <r>
    <s v="407-63-8975"/>
    <n v="6"/>
    <s v="Food and beverages"/>
    <x v="0"/>
    <n v="22.164000000000001"/>
    <x v="0"/>
    <x v="4"/>
    <n v="73.88"/>
    <n v="443.28"/>
    <n v="465.44400000000002"/>
    <x v="4"/>
    <x v="2"/>
    <n v="2019"/>
  </r>
  <r>
    <s v="342-65-4817"/>
    <n v="3"/>
    <s v="Health and beauty"/>
    <x v="0"/>
    <n v="13.02"/>
    <x v="1"/>
    <x v="0"/>
    <n v="86.8"/>
    <n v="260.39999999999998"/>
    <n v="273.42"/>
    <x v="8"/>
    <x v="2"/>
    <n v="2019"/>
  </r>
  <r>
    <s v="130-98-8941"/>
    <n v="7"/>
    <s v="Fashion accessories"/>
    <x v="1"/>
    <n v="22.491"/>
    <x v="1"/>
    <x v="5"/>
    <n v="64.260000000000005"/>
    <n v="449.82"/>
    <n v="472.31099999999998"/>
    <x v="14"/>
    <x v="2"/>
    <n v="2019"/>
  </r>
  <r>
    <s v="434-83-9547"/>
    <n v="8"/>
    <s v="Food and beverages"/>
    <x v="1"/>
    <n v="15.388"/>
    <x v="1"/>
    <x v="4"/>
    <n v="38.47"/>
    <n v="307.76"/>
    <n v="323.14800000000002"/>
    <x v="4"/>
    <x v="4"/>
    <n v="2019"/>
  </r>
  <r>
    <s v="851-28-6367"/>
    <n v="10"/>
    <s v="Sports and travel"/>
    <x v="0"/>
    <n v="7.75"/>
    <x v="0"/>
    <x v="3"/>
    <n v="15.5"/>
    <n v="155"/>
    <n v="162.75"/>
    <x v="11"/>
    <x v="2"/>
    <n v="2019"/>
  </r>
  <r>
    <s v="824-88-3614"/>
    <n v="8"/>
    <s v="Health and beauty"/>
    <x v="0"/>
    <n v="13.724000000000002"/>
    <x v="1"/>
    <x v="0"/>
    <n v="34.31"/>
    <n v="274.48"/>
    <n v="288.20400000000001"/>
    <x v="7"/>
    <x v="4"/>
    <n v="2019"/>
  </r>
  <r>
    <s v="586-25-0848"/>
    <n v="7"/>
    <s v="Sports and travel"/>
    <x v="2"/>
    <n v="4.319"/>
    <x v="0"/>
    <x v="3"/>
    <n v="12.34"/>
    <n v="86.38"/>
    <n v="90.698999999999998"/>
    <x v="19"/>
    <x v="3"/>
    <n v="2019"/>
  </r>
  <r>
    <s v="895-66-0685"/>
    <n v="3"/>
    <s v="Food and beverages"/>
    <x v="0"/>
    <n v="2.7120000000000002"/>
    <x v="2"/>
    <x v="4"/>
    <n v="18.079999999999998"/>
    <n v="54.24"/>
    <n v="56.951999999999998"/>
    <x v="15"/>
    <x v="4"/>
    <n v="2019"/>
  </r>
  <r>
    <s v="305-14-0245"/>
    <n v="8"/>
    <s v="Home and lifestyle"/>
    <x v="0"/>
    <n v="37.795999999999999"/>
    <x v="2"/>
    <x v="2"/>
    <n v="94.49"/>
    <n v="755.92"/>
    <n v="793.71600000000001"/>
    <x v="2"/>
    <x v="4"/>
    <n v="2019"/>
  </r>
  <r>
    <s v="732-04-5373"/>
    <n v="4"/>
    <s v="Home and lifestyle"/>
    <x v="1"/>
    <n v="9.2940000000000005"/>
    <x v="2"/>
    <x v="2"/>
    <n v="46.47"/>
    <n v="185.88"/>
    <n v="195.17400000000001"/>
    <x v="5"/>
    <x v="3"/>
    <n v="2019"/>
  </r>
  <r>
    <s v="400-60-7251"/>
    <n v="1"/>
    <s v="Home and lifestyle"/>
    <x v="0"/>
    <n v="3.7035"/>
    <x v="0"/>
    <x v="2"/>
    <n v="74.069999999999993"/>
    <n v="74.069999999999993"/>
    <n v="77.773499999999999"/>
    <x v="11"/>
    <x v="2"/>
    <n v="2019"/>
  </r>
  <r>
    <s v="593-65-1552"/>
    <n v="4"/>
    <s v="Home and lifestyle"/>
    <x v="2"/>
    <n v="13.962000000000002"/>
    <x v="1"/>
    <x v="2"/>
    <n v="69.81"/>
    <n v="279.24"/>
    <n v="293.202"/>
    <x v="2"/>
    <x v="4"/>
    <n v="2019"/>
  </r>
  <r>
    <s v="284-34-9626"/>
    <n v="3"/>
    <s v="Home and lifestyle"/>
    <x v="2"/>
    <n v="11.556000000000001"/>
    <x v="2"/>
    <x v="2"/>
    <n v="77.040000000000006"/>
    <n v="231.12"/>
    <n v="242.67599999999999"/>
    <x v="7"/>
    <x v="4"/>
    <n v="2019"/>
  </r>
  <r>
    <s v="437-58-8131"/>
    <n v="2"/>
    <s v="Fashion accessories"/>
    <x v="0"/>
    <n v="7.3520000000000003"/>
    <x v="2"/>
    <x v="5"/>
    <n v="73.52"/>
    <n v="147.04"/>
    <n v="154.392"/>
    <x v="17"/>
    <x v="3"/>
    <n v="2019"/>
  </r>
  <r>
    <s v="286-43-6208"/>
    <n v="9"/>
    <s v="Food and beverages"/>
    <x v="1"/>
    <n v="39.510000000000005"/>
    <x v="1"/>
    <x v="4"/>
    <n v="87.8"/>
    <n v="790.2"/>
    <n v="829.71"/>
    <x v="15"/>
    <x v="2"/>
    <n v="2019"/>
  </r>
  <r>
    <s v="641-43-2399"/>
    <n v="4"/>
    <s v="Home and lifestyle"/>
    <x v="0"/>
    <n v="5.1100000000000003"/>
    <x v="2"/>
    <x v="2"/>
    <n v="25.55"/>
    <n v="102.2"/>
    <n v="107.31"/>
    <x v="13"/>
    <x v="2"/>
    <n v="2019"/>
  </r>
  <r>
    <s v="831-07-6050"/>
    <n v="5"/>
    <s v="Electronic accessories"/>
    <x v="2"/>
    <n v="8.1775000000000002"/>
    <x v="0"/>
    <x v="1"/>
    <n v="32.71"/>
    <n v="163.55000000000001"/>
    <n v="171.72749999999999"/>
    <x v="9"/>
    <x v="4"/>
    <n v="2019"/>
  </r>
  <r>
    <s v="556-86-3144"/>
    <n v="1"/>
    <s v="Fashion accessories"/>
    <x v="1"/>
    <n v="3.7145000000000006"/>
    <x v="1"/>
    <x v="5"/>
    <n v="74.290000000000006"/>
    <n v="74.290000000000006"/>
    <n v="78.004499999999993"/>
    <x v="2"/>
    <x v="4"/>
    <n v="2019"/>
  </r>
  <r>
    <s v="848-24-9445"/>
    <n v="2"/>
    <s v="Health and beauty"/>
    <x v="1"/>
    <n v="4.37"/>
    <x v="1"/>
    <x v="0"/>
    <n v="43.7"/>
    <n v="87.4"/>
    <n v="91.77"/>
    <x v="8"/>
    <x v="3"/>
    <n v="2019"/>
  </r>
  <r>
    <s v="856-22-8149"/>
    <n v="1"/>
    <s v="Home and lifestyle"/>
    <x v="0"/>
    <n v="1.2645"/>
    <x v="0"/>
    <x v="2"/>
    <n v="25.29"/>
    <n v="25.29"/>
    <n v="26.554500000000001"/>
    <x v="14"/>
    <x v="4"/>
    <n v="2019"/>
  </r>
  <r>
    <s v="699-01-4164"/>
    <n v="4"/>
    <s v="Health and beauty"/>
    <x v="2"/>
    <n v="8.3000000000000007"/>
    <x v="1"/>
    <x v="0"/>
    <n v="41.5"/>
    <n v="166"/>
    <n v="174.3"/>
    <x v="15"/>
    <x v="2"/>
    <n v="2019"/>
  </r>
  <r>
    <s v="420-11-4919"/>
    <n v="5"/>
    <s v="Food and beverages"/>
    <x v="2"/>
    <n v="17.8475"/>
    <x v="1"/>
    <x v="4"/>
    <n v="71.39"/>
    <n v="356.95"/>
    <n v="374.79750000000001"/>
    <x v="4"/>
    <x v="2"/>
    <n v="2019"/>
  </r>
  <r>
    <s v="606-80-4905"/>
    <n v="6"/>
    <s v="Sports and travel"/>
    <x v="2"/>
    <n v="5.745000000000001"/>
    <x v="1"/>
    <x v="3"/>
    <n v="19.149999999999999"/>
    <n v="114.9"/>
    <n v="120.645"/>
    <x v="2"/>
    <x v="3"/>
    <n v="2019"/>
  </r>
  <r>
    <s v="542-41-0513"/>
    <n v="4"/>
    <s v="Electronic accessories"/>
    <x v="1"/>
    <n v="11.498000000000001"/>
    <x v="2"/>
    <x v="1"/>
    <n v="57.49"/>
    <n v="229.96"/>
    <n v="241.458"/>
    <x v="3"/>
    <x v="3"/>
    <n v="2019"/>
  </r>
  <r>
    <s v="426-39-2418"/>
    <n v="7"/>
    <s v="Electronic accessories"/>
    <x v="1"/>
    <n v="21.493500000000001"/>
    <x v="1"/>
    <x v="1"/>
    <n v="61.41"/>
    <n v="429.87"/>
    <n v="451.36349999999999"/>
    <x v="15"/>
    <x v="2"/>
    <n v="2019"/>
  </r>
  <r>
    <s v="875-46-5808"/>
    <n v="10"/>
    <s v="Health and beauty"/>
    <x v="0"/>
    <n v="12.950000000000001"/>
    <x v="2"/>
    <x v="0"/>
    <n v="25.9"/>
    <n v="259"/>
    <n v="271.95"/>
    <x v="6"/>
    <x v="3"/>
    <n v="2019"/>
  </r>
  <r>
    <s v="394-43-4238"/>
    <n v="5"/>
    <s v="Home and lifestyle"/>
    <x v="2"/>
    <n v="4.4424999999999999"/>
    <x v="2"/>
    <x v="2"/>
    <n v="17.77"/>
    <n v="88.85"/>
    <n v="93.292500000000004"/>
    <x v="15"/>
    <x v="3"/>
    <n v="2019"/>
  </r>
  <r>
    <s v="749-24-1565"/>
    <n v="9"/>
    <s v="Health and beauty"/>
    <x v="0"/>
    <n v="10.363500000000002"/>
    <x v="0"/>
    <x v="0"/>
    <n v="23.03"/>
    <n v="207.27"/>
    <n v="217.6335"/>
    <x v="10"/>
    <x v="4"/>
    <n v="2019"/>
  </r>
  <r>
    <s v="672-51-8681"/>
    <n v="9"/>
    <s v="Electronic accessories"/>
    <x v="2"/>
    <n v="29.992500000000003"/>
    <x v="1"/>
    <x v="1"/>
    <n v="66.650000000000006"/>
    <n v="599.85"/>
    <n v="629.84249999999997"/>
    <x v="19"/>
    <x v="3"/>
    <n v="2019"/>
  </r>
  <r>
    <s v="263-87-5680"/>
    <n v="10"/>
    <s v="Home and lifestyle"/>
    <x v="0"/>
    <n v="14.265000000000001"/>
    <x v="1"/>
    <x v="2"/>
    <n v="28.53"/>
    <n v="285.3"/>
    <n v="299.565"/>
    <x v="14"/>
    <x v="2"/>
    <n v="2019"/>
  </r>
  <r>
    <s v="573-58-9734"/>
    <n v="3"/>
    <s v="Fashion accessories"/>
    <x v="0"/>
    <n v="4.5555000000000003"/>
    <x v="2"/>
    <x v="5"/>
    <n v="30.37"/>
    <n v="91.11"/>
    <n v="95.665499999999994"/>
    <x v="15"/>
    <x v="3"/>
    <n v="2019"/>
  </r>
  <r>
    <s v="817-69-8206"/>
    <n v="9"/>
    <s v="Electronic accessories"/>
    <x v="2"/>
    <n v="44.878500000000003"/>
    <x v="2"/>
    <x v="1"/>
    <n v="99.73"/>
    <n v="897.57"/>
    <n v="942.44849999999997"/>
    <x v="20"/>
    <x v="3"/>
    <n v="2019"/>
  </r>
  <r>
    <s v="888-02-0338"/>
    <n v="9"/>
    <s v="Electronic accessories"/>
    <x v="0"/>
    <n v="11.8035"/>
    <x v="0"/>
    <x v="1"/>
    <n v="26.23"/>
    <n v="236.07"/>
    <n v="247.87350000000001"/>
    <x v="5"/>
    <x v="4"/>
    <n v="2019"/>
  </r>
  <r>
    <s v="677-11-0152"/>
    <n v="9"/>
    <s v="Food and beverages"/>
    <x v="1"/>
    <n v="41.967000000000006"/>
    <x v="1"/>
    <x v="4"/>
    <n v="93.26"/>
    <n v="839.34"/>
    <n v="881.30700000000002"/>
    <x v="2"/>
    <x v="3"/>
    <n v="2019"/>
  </r>
  <r>
    <s v="142-63-6033"/>
    <n v="5"/>
    <s v="Home and lifestyle"/>
    <x v="0"/>
    <n v="23.090000000000003"/>
    <x v="2"/>
    <x v="2"/>
    <n v="92.36"/>
    <n v="461.8"/>
    <n v="484.89"/>
    <x v="7"/>
    <x v="4"/>
    <n v="2019"/>
  </r>
  <r>
    <s v="656-16-1063"/>
    <n v="3"/>
    <s v="Sports and travel"/>
    <x v="2"/>
    <n v="6.9630000000000001"/>
    <x v="2"/>
    <x v="3"/>
    <n v="46.42"/>
    <n v="139.26"/>
    <n v="146.22300000000001"/>
    <x v="17"/>
    <x v="3"/>
    <n v="2019"/>
  </r>
  <r>
    <s v="891-58-8335"/>
    <n v="7"/>
    <s v="Sports and travel"/>
    <x v="1"/>
    <n v="10.363500000000002"/>
    <x v="2"/>
    <x v="3"/>
    <n v="29.61"/>
    <n v="207.27"/>
    <n v="217.6335"/>
    <x v="16"/>
    <x v="4"/>
    <n v="2019"/>
  </r>
  <r>
    <s v="802-43-8934"/>
    <n v="1"/>
    <s v="Home and lifestyle"/>
    <x v="2"/>
    <n v="0.91400000000000015"/>
    <x v="0"/>
    <x v="2"/>
    <n v="18.28"/>
    <n v="18.28"/>
    <n v="19.193999999999999"/>
    <x v="4"/>
    <x v="3"/>
    <n v="2019"/>
  </r>
  <r>
    <s v="560-30-5617"/>
    <n v="5"/>
    <s v="Sports and travel"/>
    <x v="1"/>
    <n v="6.1924999999999999"/>
    <x v="2"/>
    <x v="3"/>
    <n v="24.77"/>
    <n v="123.85"/>
    <n v="130.04249999999999"/>
    <x v="16"/>
    <x v="2"/>
    <n v="2019"/>
  </r>
  <r>
    <s v="319-74-2561"/>
    <n v="3"/>
    <s v="Electronic accessories"/>
    <x v="1"/>
    <n v="14.196000000000002"/>
    <x v="0"/>
    <x v="1"/>
    <n v="94.64"/>
    <n v="283.92"/>
    <n v="298.11599999999999"/>
    <x v="7"/>
    <x v="2"/>
    <n v="2019"/>
  </r>
  <r>
    <s v="549-03-9315"/>
    <n v="8"/>
    <s v="Fashion accessories"/>
    <x v="0"/>
    <n v="37.948"/>
    <x v="2"/>
    <x v="5"/>
    <n v="94.87"/>
    <n v="758.96"/>
    <n v="796.90800000000002"/>
    <x v="3"/>
    <x v="2"/>
    <n v="2019"/>
  </r>
  <r>
    <s v="790-29-1172"/>
    <n v="3"/>
    <s v="Food and beverages"/>
    <x v="2"/>
    <n v="8.6010000000000009"/>
    <x v="2"/>
    <x v="4"/>
    <n v="57.34"/>
    <n v="172.02"/>
    <n v="180.62100000000001"/>
    <x v="10"/>
    <x v="4"/>
    <n v="2019"/>
  </r>
  <r>
    <s v="239-36-3640"/>
    <n v="6"/>
    <s v="Electronic accessories"/>
    <x v="0"/>
    <n v="13.605000000000002"/>
    <x v="2"/>
    <x v="1"/>
    <n v="45.35"/>
    <n v="272.10000000000002"/>
    <n v="285.70499999999998"/>
    <x v="13"/>
    <x v="4"/>
    <n v="2019"/>
  </r>
  <r>
    <s v="468-01-2051"/>
    <n v="7"/>
    <s v="Food and beverages"/>
    <x v="0"/>
    <n v="21.728000000000002"/>
    <x v="2"/>
    <x v="4"/>
    <n v="62.08"/>
    <n v="434.56"/>
    <n v="456.28800000000001"/>
    <x v="14"/>
    <x v="3"/>
    <n v="2019"/>
  </r>
  <r>
    <s v="389-25-3394"/>
    <n v="5"/>
    <s v="Electronic accessories"/>
    <x v="1"/>
    <n v="2.9525000000000001"/>
    <x v="1"/>
    <x v="1"/>
    <n v="11.81"/>
    <n v="59.05"/>
    <n v="62.002499999999998"/>
    <x v="11"/>
    <x v="3"/>
    <n v="2019"/>
  </r>
  <r>
    <s v="279-62-1445"/>
    <n v="1"/>
    <s v="Fashion accessories"/>
    <x v="1"/>
    <n v="0.627"/>
    <x v="1"/>
    <x v="5"/>
    <n v="12.54"/>
    <n v="12.54"/>
    <n v="13.167"/>
    <x v="3"/>
    <x v="3"/>
    <n v="2019"/>
  </r>
  <r>
    <s v="213-72-6612"/>
    <n v="2"/>
    <s v="Food and beverages"/>
    <x v="1"/>
    <n v="4.3250000000000002"/>
    <x v="0"/>
    <x v="4"/>
    <n v="43.25"/>
    <n v="86.5"/>
    <n v="90.825000000000003"/>
    <x v="10"/>
    <x v="2"/>
    <n v="2019"/>
  </r>
  <r>
    <s v="746-68-6593"/>
    <n v="2"/>
    <s v="Sports and travel"/>
    <x v="2"/>
    <n v="8.7159999999999993"/>
    <x v="1"/>
    <x v="3"/>
    <n v="87.16"/>
    <n v="174.32"/>
    <n v="183.036"/>
    <x v="3"/>
    <x v="3"/>
    <n v="2019"/>
  </r>
  <r>
    <s v="836-82-5858"/>
    <n v="9"/>
    <s v="Health and beauty"/>
    <x v="0"/>
    <n v="31.216500000000003"/>
    <x v="2"/>
    <x v="0"/>
    <n v="69.37"/>
    <n v="624.33000000000004"/>
    <n v="655.54650000000004"/>
    <x v="10"/>
    <x v="3"/>
    <n v="2019"/>
  </r>
  <r>
    <s v="583-72-1480"/>
    <n v="4"/>
    <s v="Electronic accessories"/>
    <x v="0"/>
    <n v="7.4120000000000008"/>
    <x v="1"/>
    <x v="1"/>
    <n v="37.06"/>
    <n v="148.24"/>
    <n v="155.65199999999999"/>
    <x v="11"/>
    <x v="2"/>
    <n v="2019"/>
  </r>
  <r>
    <s v="466-61-5506"/>
    <n v="6"/>
    <s v="Electronic accessories"/>
    <x v="1"/>
    <n v="27.210000000000004"/>
    <x v="2"/>
    <x v="1"/>
    <n v="90.7"/>
    <n v="544.20000000000005"/>
    <n v="571.41"/>
    <x v="12"/>
    <x v="3"/>
    <n v="2019"/>
  </r>
  <r>
    <s v="721-86-6247"/>
    <n v="8"/>
    <s v="Home and lifestyle"/>
    <x v="0"/>
    <n v="25.368000000000002"/>
    <x v="0"/>
    <x v="2"/>
    <n v="63.42"/>
    <n v="507.36"/>
    <n v="532.72799999999995"/>
    <x v="14"/>
    <x v="2"/>
    <n v="2019"/>
  </r>
  <r>
    <s v="289-65-5721"/>
    <n v="2"/>
    <s v="Fashion accessories"/>
    <x v="1"/>
    <n v="8.1370000000000005"/>
    <x v="2"/>
    <x v="5"/>
    <n v="81.37"/>
    <n v="162.74"/>
    <n v="170.87700000000001"/>
    <x v="8"/>
    <x v="3"/>
    <n v="2019"/>
  </r>
  <r>
    <s v="545-46-3100"/>
    <n v="3"/>
    <s v="Electronic accessories"/>
    <x v="2"/>
    <n v="1.5885"/>
    <x v="2"/>
    <x v="1"/>
    <n v="10.59"/>
    <n v="31.77"/>
    <n v="33.358499999999999"/>
    <x v="5"/>
    <x v="2"/>
    <n v="2019"/>
  </r>
  <r>
    <s v="418-02-5978"/>
    <n v="9"/>
    <s v="Health and beauty"/>
    <x v="1"/>
    <n v="37.840499999999999"/>
    <x v="2"/>
    <x v="0"/>
    <n v="84.09"/>
    <n v="756.81"/>
    <n v="794.65049999999997"/>
    <x v="2"/>
    <x v="4"/>
    <n v="2019"/>
  </r>
  <r>
    <s v="269-04-5750"/>
    <n v="4"/>
    <s v="Fashion accessories"/>
    <x v="1"/>
    <n v="14.763999999999999"/>
    <x v="2"/>
    <x v="5"/>
    <n v="73.819999999999993"/>
    <n v="295.27999999999997"/>
    <n v="310.04399999999998"/>
    <x v="20"/>
    <x v="3"/>
    <n v="2019"/>
  </r>
  <r>
    <s v="157-13-5295"/>
    <n v="10"/>
    <s v="Health and beauty"/>
    <x v="0"/>
    <n v="25.97"/>
    <x v="0"/>
    <x v="0"/>
    <n v="51.94"/>
    <n v="519.4"/>
    <n v="545.37"/>
    <x v="16"/>
    <x v="3"/>
    <n v="2019"/>
  </r>
  <r>
    <s v="645-78-8093"/>
    <n v="2"/>
    <s v="Sports and travel"/>
    <x v="0"/>
    <n v="9.3140000000000001"/>
    <x v="0"/>
    <x v="3"/>
    <n v="93.14"/>
    <n v="186.28"/>
    <n v="195.59399999999999"/>
    <x v="10"/>
    <x v="4"/>
    <n v="2019"/>
  </r>
  <r>
    <s v="211-30-9270"/>
    <n v="5"/>
    <s v="Health and beauty"/>
    <x v="2"/>
    <n v="4.3525"/>
    <x v="1"/>
    <x v="0"/>
    <n v="17.41"/>
    <n v="87.05"/>
    <n v="91.402500000000003"/>
    <x v="14"/>
    <x v="2"/>
    <n v="2019"/>
  </r>
  <r>
    <s v="755-12-3214"/>
    <n v="5"/>
    <s v="Fashion accessories"/>
    <x v="2"/>
    <n v="11.055"/>
    <x v="1"/>
    <x v="5"/>
    <n v="44.22"/>
    <n v="221.1"/>
    <n v="232.155"/>
    <x v="5"/>
    <x v="3"/>
    <n v="2019"/>
  </r>
  <r>
    <s v="346-84-3103"/>
    <n v="5"/>
    <s v="Electronic accessories"/>
    <x v="1"/>
    <n v="3.3049999999999997"/>
    <x v="2"/>
    <x v="1"/>
    <n v="13.22"/>
    <n v="66.099999999999994"/>
    <n v="69.405000000000001"/>
    <x v="7"/>
    <x v="3"/>
    <n v="2019"/>
  </r>
  <r>
    <s v="478-06-7835"/>
    <n v="1"/>
    <s v="Fashion accessories"/>
    <x v="0"/>
    <n v="4.4844999999999997"/>
    <x v="0"/>
    <x v="5"/>
    <n v="89.69"/>
    <n v="89.69"/>
    <n v="94.174499999999995"/>
    <x v="10"/>
    <x v="2"/>
    <n v="2019"/>
  </r>
  <r>
    <s v="540-11-4336"/>
    <n v="9"/>
    <s v="Food and beverages"/>
    <x v="2"/>
    <n v="11.223000000000001"/>
    <x v="0"/>
    <x v="4"/>
    <n v="24.94"/>
    <n v="224.46"/>
    <n v="235.68299999999999"/>
    <x v="7"/>
    <x v="3"/>
    <n v="2019"/>
  </r>
  <r>
    <s v="448-81-5016"/>
    <n v="2"/>
    <s v="Health and beauty"/>
    <x v="2"/>
    <n v="5.9770000000000003"/>
    <x v="0"/>
    <x v="0"/>
    <n v="59.77"/>
    <n v="119.54"/>
    <n v="125.517"/>
    <x v="7"/>
    <x v="3"/>
    <n v="2019"/>
  </r>
  <r>
    <s v="142-72-4741"/>
    <n v="2"/>
    <s v="Fashion accessories"/>
    <x v="2"/>
    <n v="9.32"/>
    <x v="1"/>
    <x v="5"/>
    <n v="93.2"/>
    <n v="186.4"/>
    <n v="195.72"/>
    <x v="11"/>
    <x v="3"/>
    <n v="2019"/>
  </r>
  <r>
    <s v="217-58-1179"/>
    <n v="4"/>
    <s v="Home and lifestyle"/>
    <x v="1"/>
    <n v="12.530000000000001"/>
    <x v="0"/>
    <x v="2"/>
    <n v="62.65"/>
    <n v="250.6"/>
    <n v="263.13"/>
    <x v="15"/>
    <x v="4"/>
    <n v="2019"/>
  </r>
  <r>
    <s v="376-02-8238"/>
    <n v="8"/>
    <s v="Home and lifestyle"/>
    <x v="2"/>
    <n v="37.548000000000002"/>
    <x v="2"/>
    <x v="2"/>
    <n v="93.87"/>
    <n v="750.96"/>
    <n v="788.50800000000004"/>
    <x v="17"/>
    <x v="2"/>
    <n v="2019"/>
  </r>
  <r>
    <s v="530-90-9855"/>
    <n v="8"/>
    <s v="Home and lifestyle"/>
    <x v="1"/>
    <n v="19.036000000000001"/>
    <x v="0"/>
    <x v="2"/>
    <n v="47.59"/>
    <n v="380.72"/>
    <n v="399.75599999999997"/>
    <x v="13"/>
    <x v="2"/>
    <n v="2019"/>
  </r>
  <r>
    <s v="866-05-7563"/>
    <n v="3"/>
    <s v="Electronic accessories"/>
    <x v="1"/>
    <n v="12.21"/>
    <x v="2"/>
    <x v="1"/>
    <n v="81.400000000000006"/>
    <n v="244.2"/>
    <n v="256.41000000000003"/>
    <x v="20"/>
    <x v="3"/>
    <n v="2019"/>
  </r>
  <r>
    <s v="604-70-6476"/>
    <n v="5"/>
    <s v="Fashion accessories"/>
    <x v="0"/>
    <n v="4.4850000000000003"/>
    <x v="0"/>
    <x v="5"/>
    <n v="17.940000000000001"/>
    <n v="89.7"/>
    <n v="94.185000000000002"/>
    <x v="16"/>
    <x v="4"/>
    <n v="2019"/>
  </r>
  <r>
    <s v="799-71-1548"/>
    <n v="4"/>
    <s v="Electronic accessories"/>
    <x v="2"/>
    <n v="15.544"/>
    <x v="0"/>
    <x v="1"/>
    <n v="77.72"/>
    <n v="310.88"/>
    <n v="326.42399999999998"/>
    <x v="7"/>
    <x v="4"/>
    <n v="2019"/>
  </r>
  <r>
    <s v="785-13-7708"/>
    <n v="7"/>
    <s v="Food and beverages"/>
    <x v="2"/>
    <n v="25.571000000000002"/>
    <x v="2"/>
    <x v="4"/>
    <n v="73.06"/>
    <n v="511.42"/>
    <n v="536.99099999999999"/>
    <x v="2"/>
    <x v="3"/>
    <n v="2019"/>
  </r>
  <r>
    <s v="845-51-0542"/>
    <n v="9"/>
    <s v="Food and beverages"/>
    <x v="0"/>
    <n v="20.947500000000002"/>
    <x v="2"/>
    <x v="4"/>
    <n v="46.55"/>
    <n v="418.95"/>
    <n v="439.89749999999998"/>
    <x v="12"/>
    <x v="4"/>
    <n v="2019"/>
  </r>
  <r>
    <s v="662-47-5456"/>
    <n v="10"/>
    <s v="Fashion accessories"/>
    <x v="2"/>
    <n v="17.594999999999999"/>
    <x v="1"/>
    <x v="5"/>
    <n v="35.19"/>
    <n v="351.9"/>
    <n v="369.495"/>
    <x v="9"/>
    <x v="2"/>
    <n v="2019"/>
  </r>
  <r>
    <s v="883-17-4236"/>
    <n v="2"/>
    <s v="Sports and travel"/>
    <x v="2"/>
    <n v="1.4390000000000001"/>
    <x v="1"/>
    <x v="3"/>
    <n v="14.39"/>
    <n v="28.78"/>
    <n v="30.219000000000001"/>
    <x v="11"/>
    <x v="2"/>
    <n v="2019"/>
  </r>
  <r>
    <s v="290-68-2984"/>
    <n v="4"/>
    <s v="Home and lifestyle"/>
    <x v="1"/>
    <n v="4.75"/>
    <x v="0"/>
    <x v="2"/>
    <n v="23.75"/>
    <n v="95"/>
    <n v="99.75"/>
    <x v="10"/>
    <x v="2"/>
    <n v="2019"/>
  </r>
  <r>
    <s v="704-11-6354"/>
    <n v="8"/>
    <s v="Home and lifestyle"/>
    <x v="1"/>
    <n v="23.560000000000002"/>
    <x v="0"/>
    <x v="2"/>
    <n v="58.9"/>
    <n v="471.2"/>
    <n v="494.76"/>
    <x v="7"/>
    <x v="4"/>
    <n v="2019"/>
  </r>
  <r>
    <s v="110-48-7033"/>
    <n v="4"/>
    <s v="Fashion accessories"/>
    <x v="1"/>
    <n v="6.524"/>
    <x v="2"/>
    <x v="5"/>
    <n v="32.619999999999997"/>
    <n v="130.47999999999999"/>
    <n v="137.00399999999999"/>
    <x v="12"/>
    <x v="3"/>
    <n v="2019"/>
  </r>
  <r>
    <s v="366-93-0948"/>
    <n v="1"/>
    <s v="Electronic accessories"/>
    <x v="2"/>
    <n v="3.3174999999999999"/>
    <x v="0"/>
    <x v="1"/>
    <n v="66.349999999999994"/>
    <n v="66.349999999999994"/>
    <n v="69.667500000000004"/>
    <x v="3"/>
    <x v="3"/>
    <n v="2019"/>
  </r>
  <r>
    <s v="729-09-9681"/>
    <n v="6"/>
    <s v="Home and lifestyle"/>
    <x v="0"/>
    <n v="7.7730000000000006"/>
    <x v="0"/>
    <x v="2"/>
    <n v="25.91"/>
    <n v="155.46"/>
    <n v="163.233"/>
    <x v="19"/>
    <x v="2"/>
    <n v="2019"/>
  </r>
  <r>
    <s v="151-16-1484"/>
    <n v="4"/>
    <s v="Electronic accessories"/>
    <x v="0"/>
    <n v="6.45"/>
    <x v="0"/>
    <x v="1"/>
    <n v="32.25"/>
    <n v="129"/>
    <n v="135.44999999999999"/>
    <x v="19"/>
    <x v="2"/>
    <n v="2019"/>
  </r>
  <r>
    <s v="380-94-4661"/>
    <n v="4"/>
    <s v="Electronic accessories"/>
    <x v="2"/>
    <n v="13.188000000000001"/>
    <x v="1"/>
    <x v="1"/>
    <n v="65.94"/>
    <n v="263.76"/>
    <n v="276.94799999999998"/>
    <x v="3"/>
    <x v="4"/>
    <n v="2019"/>
  </r>
  <r>
    <s v="850-41-9669"/>
    <n v="9"/>
    <s v="Electronic accessories"/>
    <x v="0"/>
    <n v="33.777000000000001"/>
    <x v="0"/>
    <x v="1"/>
    <n v="75.06"/>
    <n v="675.54"/>
    <n v="709.31700000000001"/>
    <x v="18"/>
    <x v="2"/>
    <n v="2019"/>
  </r>
  <r>
    <s v="821-07-3596"/>
    <n v="4"/>
    <s v="Fashion accessories"/>
    <x v="0"/>
    <n v="3.29"/>
    <x v="1"/>
    <x v="5"/>
    <n v="16.45"/>
    <n v="65.8"/>
    <n v="69.09"/>
    <x v="13"/>
    <x v="2"/>
    <n v="2019"/>
  </r>
  <r>
    <s v="655-85-5130"/>
    <n v="4"/>
    <s v="Fashion accessories"/>
    <x v="1"/>
    <n v="7.66"/>
    <x v="2"/>
    <x v="5"/>
    <n v="38.299999999999997"/>
    <n v="153.19999999999999"/>
    <n v="160.86000000000001"/>
    <x v="6"/>
    <x v="3"/>
    <n v="2019"/>
  </r>
  <r>
    <s v="447-15-7839"/>
    <n v="10"/>
    <s v="Sports and travel"/>
    <x v="1"/>
    <n v="11.120000000000001"/>
    <x v="0"/>
    <x v="3"/>
    <n v="22.24"/>
    <n v="222.4"/>
    <n v="233.52"/>
    <x v="7"/>
    <x v="4"/>
    <n v="2019"/>
  </r>
  <r>
    <s v="154-74-7179"/>
    <n v="1"/>
    <s v="Sports and travel"/>
    <x v="0"/>
    <n v="2.7225000000000001"/>
    <x v="2"/>
    <x v="3"/>
    <n v="54.45"/>
    <n v="54.45"/>
    <n v="57.172499999999999"/>
    <x v="8"/>
    <x v="2"/>
    <n v="2019"/>
  </r>
  <r>
    <s v="253-12-6086"/>
    <n v="7"/>
    <s v="Sports and travel"/>
    <x v="2"/>
    <n v="34.44"/>
    <x v="0"/>
    <x v="3"/>
    <n v="98.4"/>
    <n v="688.8"/>
    <n v="723.24"/>
    <x v="11"/>
    <x v="4"/>
    <n v="2019"/>
  </r>
  <r>
    <s v="808-65-0703"/>
    <n v="4"/>
    <s v="Home and lifestyle"/>
    <x v="2"/>
    <n v="7.0940000000000003"/>
    <x v="1"/>
    <x v="2"/>
    <n v="35.47"/>
    <n v="141.88"/>
    <n v="148.97399999999999"/>
    <x v="12"/>
    <x v="2"/>
    <n v="2019"/>
  </r>
  <r>
    <s v="571-94-0759"/>
    <n v="10"/>
    <s v="Food and beverages"/>
    <x v="1"/>
    <n v="37.300000000000004"/>
    <x v="2"/>
    <x v="4"/>
    <n v="74.599999999999994"/>
    <n v="746"/>
    <n v="783.3"/>
    <x v="19"/>
    <x v="3"/>
    <n v="2019"/>
  </r>
  <r>
    <s v="144-51-6085"/>
    <n v="4"/>
    <s v="Home and lifestyle"/>
    <x v="2"/>
    <n v="14.148"/>
    <x v="0"/>
    <x v="2"/>
    <n v="70.739999999999995"/>
    <n v="282.95999999999998"/>
    <n v="297.108"/>
    <x v="16"/>
    <x v="2"/>
    <n v="2019"/>
  </r>
  <r>
    <s v="731-14-2199"/>
    <n v="10"/>
    <s v="Home and lifestyle"/>
    <x v="0"/>
    <n v="17.77"/>
    <x v="0"/>
    <x v="2"/>
    <n v="35.54"/>
    <n v="355.4"/>
    <n v="373.17"/>
    <x v="7"/>
    <x v="2"/>
    <n v="2019"/>
  </r>
  <r>
    <s v="783-09-1637"/>
    <n v="5"/>
    <s v="Sports and travel"/>
    <x v="0"/>
    <n v="16.857499999999998"/>
    <x v="2"/>
    <x v="3"/>
    <n v="67.430000000000007"/>
    <n v="337.15"/>
    <n v="354.00749999999999"/>
    <x v="17"/>
    <x v="4"/>
    <n v="2019"/>
  </r>
  <r>
    <s v="687-15-1097"/>
    <n v="2"/>
    <s v="Health and beauty"/>
    <x v="1"/>
    <n v="2.1120000000000001"/>
    <x v="1"/>
    <x v="0"/>
    <n v="21.12"/>
    <n v="42.24"/>
    <n v="44.351999999999997"/>
    <x v="5"/>
    <x v="2"/>
    <n v="2019"/>
  </r>
  <r>
    <s v="126-54-1082"/>
    <n v="9"/>
    <s v="Home and lifestyle"/>
    <x v="2"/>
    <n v="9.6930000000000014"/>
    <x v="0"/>
    <x v="2"/>
    <n v="21.54"/>
    <n v="193.86"/>
    <n v="203.553"/>
    <x v="2"/>
    <x v="3"/>
    <n v="2019"/>
  </r>
  <r>
    <s v="633-91-1052"/>
    <n v="2"/>
    <s v="Home and lifestyle"/>
    <x v="1"/>
    <n v="1.2030000000000001"/>
    <x v="0"/>
    <x v="2"/>
    <n v="12.03"/>
    <n v="24.06"/>
    <n v="25.263000000000002"/>
    <x v="8"/>
    <x v="3"/>
    <n v="2019"/>
  </r>
  <r>
    <s v="477-24-6490"/>
    <n v="6"/>
    <s v="Health and beauty"/>
    <x v="0"/>
    <n v="29.913"/>
    <x v="2"/>
    <x v="0"/>
    <n v="99.71"/>
    <n v="598.26"/>
    <n v="628.173"/>
    <x v="2"/>
    <x v="3"/>
    <n v="2019"/>
  </r>
  <r>
    <s v="566-19-5475"/>
    <n v="7"/>
    <s v="Fashion accessories"/>
    <x v="1"/>
    <n v="16.7895"/>
    <x v="2"/>
    <x v="5"/>
    <n v="47.97"/>
    <n v="335.79"/>
    <n v="352.5795"/>
    <x v="3"/>
    <x v="2"/>
    <n v="2019"/>
  </r>
  <r>
    <s v="526-86-8552"/>
    <n v="10"/>
    <s v="Home and lifestyle"/>
    <x v="1"/>
    <n v="10.91"/>
    <x v="1"/>
    <x v="2"/>
    <n v="21.82"/>
    <n v="218.2"/>
    <n v="229.11"/>
    <x v="3"/>
    <x v="4"/>
    <n v="2019"/>
  </r>
  <r>
    <s v="376-56-3573"/>
    <n v="4"/>
    <s v="Fashion accessories"/>
    <x v="0"/>
    <n v="19.084"/>
    <x v="1"/>
    <x v="5"/>
    <n v="95.42"/>
    <n v="381.68"/>
    <n v="400.76400000000001"/>
    <x v="11"/>
    <x v="3"/>
    <n v="2019"/>
  </r>
  <r>
    <s v="537-72-0426"/>
    <n v="10"/>
    <s v="Fashion accessories"/>
    <x v="1"/>
    <n v="35.494999999999997"/>
    <x v="1"/>
    <x v="5"/>
    <n v="70.989999999999995"/>
    <n v="709.9"/>
    <n v="745.39499999999998"/>
    <x v="6"/>
    <x v="3"/>
    <n v="2019"/>
  </r>
  <r>
    <s v="828-61-5674"/>
    <n v="10"/>
    <s v="Sports and travel"/>
    <x v="2"/>
    <n v="22.01"/>
    <x v="0"/>
    <x v="3"/>
    <n v="44.02"/>
    <n v="440.2"/>
    <n v="462.21"/>
    <x v="6"/>
    <x v="2"/>
    <n v="2019"/>
  </r>
  <r>
    <s v="136-08-6195"/>
    <n v="8"/>
    <s v="Home and lifestyle"/>
    <x v="2"/>
    <n v="27.983999999999998"/>
    <x v="0"/>
    <x v="2"/>
    <n v="69.959999999999994"/>
    <n v="559.67999999999995"/>
    <n v="587.66399999999999"/>
    <x v="13"/>
    <x v="3"/>
    <n v="2019"/>
  </r>
  <r>
    <s v="523-38-0215"/>
    <n v="1"/>
    <s v="Home and lifestyle"/>
    <x v="2"/>
    <n v="1.85"/>
    <x v="1"/>
    <x v="2"/>
    <n v="37"/>
    <n v="37"/>
    <n v="38.85"/>
    <x v="2"/>
    <x v="3"/>
    <n v="2019"/>
  </r>
  <r>
    <s v="490-29-1201"/>
    <n v="1"/>
    <s v="Sports and travel"/>
    <x v="1"/>
    <n v="0.76700000000000002"/>
    <x v="0"/>
    <x v="3"/>
    <n v="15.34"/>
    <n v="15.34"/>
    <n v="16.106999999999999"/>
    <x v="15"/>
    <x v="2"/>
    <n v="2019"/>
  </r>
  <r>
    <s v="667-92-0055"/>
    <n v="6"/>
    <s v="Health and beauty"/>
    <x v="0"/>
    <n v="29.949000000000002"/>
    <x v="0"/>
    <x v="0"/>
    <n v="99.83"/>
    <n v="598.98"/>
    <n v="628.92899999999997"/>
    <x v="12"/>
    <x v="4"/>
    <n v="2019"/>
  </r>
  <r>
    <s v="565-17-3836"/>
    <n v="4"/>
    <s v="Health and beauty"/>
    <x v="1"/>
    <n v="9.5340000000000007"/>
    <x v="0"/>
    <x v="0"/>
    <n v="47.67"/>
    <n v="190.68"/>
    <n v="200.214"/>
    <x v="18"/>
    <x v="2"/>
    <n v="2019"/>
  </r>
  <r>
    <s v="498-41-1961"/>
    <n v="5"/>
    <s v="Health and beauty"/>
    <x v="1"/>
    <n v="16.669999999999998"/>
    <x v="2"/>
    <x v="0"/>
    <n v="66.680000000000007"/>
    <n v="333.4"/>
    <n v="350.07"/>
    <x v="6"/>
    <x v="2"/>
    <n v="2019"/>
  </r>
  <r>
    <s v="593-95-4461"/>
    <n v="1"/>
    <s v="Home and lifestyle"/>
    <x v="1"/>
    <n v="3.7430000000000003"/>
    <x v="1"/>
    <x v="2"/>
    <n v="74.86"/>
    <n v="74.86"/>
    <n v="78.602999999999994"/>
    <x v="10"/>
    <x v="3"/>
    <n v="2019"/>
  </r>
  <r>
    <s v="226-71-3580"/>
    <n v="9"/>
    <s v="Sports and travel"/>
    <x v="1"/>
    <n v="10.6875"/>
    <x v="1"/>
    <x v="3"/>
    <n v="23.75"/>
    <n v="213.75"/>
    <n v="224.4375"/>
    <x v="9"/>
    <x v="3"/>
    <n v="2019"/>
  </r>
  <r>
    <s v="283-79-9594"/>
    <n v="7"/>
    <s v="Food and beverages"/>
    <x v="2"/>
    <n v="16.9785"/>
    <x v="2"/>
    <x v="4"/>
    <n v="48.51"/>
    <n v="339.57"/>
    <n v="356.54849999999999"/>
    <x v="17"/>
    <x v="2"/>
    <n v="2019"/>
  </r>
  <r>
    <s v="430-60-3493"/>
    <n v="7"/>
    <s v="Home and lifestyle"/>
    <x v="1"/>
    <n v="33.207999999999998"/>
    <x v="0"/>
    <x v="2"/>
    <n v="94.88"/>
    <n v="664.16"/>
    <n v="697.36800000000005"/>
    <x v="5"/>
    <x v="2"/>
    <n v="2019"/>
  </r>
  <r>
    <s v="139-20-0155"/>
    <n v="10"/>
    <s v="Electronic accessories"/>
    <x v="2"/>
    <n v="20.150000000000002"/>
    <x v="2"/>
    <x v="1"/>
    <n v="40.299999999999997"/>
    <n v="403"/>
    <n v="423.15"/>
    <x v="2"/>
    <x v="3"/>
    <n v="2019"/>
  </r>
  <r>
    <s v="558-80-4082"/>
    <n v="7"/>
    <s v="Electronic accessories"/>
    <x v="0"/>
    <n v="9.7475000000000005"/>
    <x v="1"/>
    <x v="1"/>
    <n v="27.85"/>
    <n v="194.95"/>
    <n v="204.69749999999999"/>
    <x v="3"/>
    <x v="4"/>
    <n v="2019"/>
  </r>
  <r>
    <s v="278-97-7759"/>
    <n v="1"/>
    <s v="Electronic accessories"/>
    <x v="1"/>
    <n v="3.1240000000000001"/>
    <x v="0"/>
    <x v="1"/>
    <n v="62.48"/>
    <n v="62.48"/>
    <n v="65.603999999999999"/>
    <x v="13"/>
    <x v="3"/>
    <n v="2019"/>
  </r>
  <r>
    <s v="316-68-6352"/>
    <n v="2"/>
    <s v="Food and beverages"/>
    <x v="1"/>
    <n v="3.6360000000000001"/>
    <x v="0"/>
    <x v="4"/>
    <n v="36.36"/>
    <n v="72.72"/>
    <n v="76.355999999999995"/>
    <x v="16"/>
    <x v="3"/>
    <n v="2019"/>
  </r>
  <r>
    <s v="585-03-5943"/>
    <n v="10"/>
    <s v="Health and beauty"/>
    <x v="0"/>
    <n v="9.0549999999999997"/>
    <x v="2"/>
    <x v="0"/>
    <n v="18.11"/>
    <n v="181.1"/>
    <n v="190.155"/>
    <x v="9"/>
    <x v="4"/>
    <n v="2019"/>
  </r>
  <r>
    <s v="211-05-0490"/>
    <n v="5"/>
    <s v="Electronic accessories"/>
    <x v="1"/>
    <n v="12.980000000000002"/>
    <x v="1"/>
    <x v="1"/>
    <n v="51.92"/>
    <n v="259.60000000000002"/>
    <n v="272.58"/>
    <x v="4"/>
    <x v="3"/>
    <n v="2019"/>
  </r>
  <r>
    <s v="727-75-6477"/>
    <n v="4"/>
    <s v="Electronic accessories"/>
    <x v="1"/>
    <n v="5.7680000000000007"/>
    <x v="1"/>
    <x v="1"/>
    <n v="28.84"/>
    <n v="115.36"/>
    <n v="121.128"/>
    <x v="17"/>
    <x v="2"/>
    <n v="2019"/>
  </r>
  <r>
    <s v="744-02-5987"/>
    <n v="6"/>
    <s v="Home and lifestyle"/>
    <x v="0"/>
    <n v="23.513999999999999"/>
    <x v="0"/>
    <x v="2"/>
    <n v="78.38"/>
    <n v="470.28"/>
    <n v="493.79399999999998"/>
    <x v="3"/>
    <x v="4"/>
    <n v="2019"/>
  </r>
  <r>
    <s v="307-83-9164"/>
    <n v="4"/>
    <s v="Home and lifestyle"/>
    <x v="1"/>
    <n v="12.002000000000001"/>
    <x v="0"/>
    <x v="2"/>
    <n v="60.01"/>
    <n v="240.04"/>
    <n v="252.042"/>
    <x v="10"/>
    <x v="3"/>
    <n v="2019"/>
  </r>
  <r>
    <s v="779-06-0012"/>
    <n v="1"/>
    <s v="Home and lifestyle"/>
    <x v="1"/>
    <n v="4.4305000000000003"/>
    <x v="1"/>
    <x v="2"/>
    <n v="88.61"/>
    <n v="88.61"/>
    <n v="93.040499999999994"/>
    <x v="16"/>
    <x v="4"/>
    <n v="2019"/>
  </r>
  <r>
    <s v="446-47-6729"/>
    <n v="2"/>
    <s v="Fashion accessories"/>
    <x v="2"/>
    <n v="9.9819999999999993"/>
    <x v="1"/>
    <x v="5"/>
    <n v="99.82"/>
    <n v="199.64"/>
    <n v="209.62200000000001"/>
    <x v="11"/>
    <x v="3"/>
    <n v="2019"/>
  </r>
  <r>
    <s v="573-10-3877"/>
    <n v="1"/>
    <s v="Health and beauty"/>
    <x v="2"/>
    <n v="1.9504999999999999"/>
    <x v="2"/>
    <x v="0"/>
    <n v="39.01"/>
    <n v="39.01"/>
    <n v="40.960500000000003"/>
    <x v="14"/>
    <x v="2"/>
    <n v="2019"/>
  </r>
  <r>
    <s v="735-06-4124"/>
    <n v="1"/>
    <s v="Food and beverages"/>
    <x v="1"/>
    <n v="2.4305000000000003"/>
    <x v="1"/>
    <x v="4"/>
    <n v="48.61"/>
    <n v="48.61"/>
    <n v="51.040500000000002"/>
    <x v="17"/>
    <x v="3"/>
    <n v="2019"/>
  </r>
  <r>
    <s v="439-54-7422"/>
    <n v="4"/>
    <s v="Electronic accessories"/>
    <x v="2"/>
    <n v="10.238"/>
    <x v="0"/>
    <x v="1"/>
    <n v="51.19"/>
    <n v="204.76"/>
    <n v="214.99799999999999"/>
    <x v="12"/>
    <x v="3"/>
    <n v="2019"/>
  </r>
  <r>
    <s v="396-90-2219"/>
    <n v="8"/>
    <s v="Electronic accessories"/>
    <x v="1"/>
    <n v="5.9840000000000009"/>
    <x v="2"/>
    <x v="1"/>
    <n v="14.96"/>
    <n v="119.68"/>
    <n v="125.664"/>
    <x v="10"/>
    <x v="4"/>
    <n v="2019"/>
  </r>
  <r>
    <s v="411-77-0180"/>
    <n v="7"/>
    <s v="Electronic accessories"/>
    <x v="0"/>
    <n v="25.27"/>
    <x v="0"/>
    <x v="1"/>
    <n v="72.2"/>
    <n v="505.4"/>
    <n v="530.66999999999996"/>
    <x v="3"/>
    <x v="2"/>
    <n v="2019"/>
  </r>
  <r>
    <s v="286-01-5402"/>
    <n v="7"/>
    <s v="Sports and travel"/>
    <x v="1"/>
    <n v="14.080500000000001"/>
    <x v="0"/>
    <x v="3"/>
    <n v="40.229999999999997"/>
    <n v="281.61"/>
    <n v="295.69049999999999"/>
    <x v="5"/>
    <x v="3"/>
    <n v="2019"/>
  </r>
  <r>
    <s v="803-17-8013"/>
    <n v="8"/>
    <s v="Home and lifestyle"/>
    <x v="1"/>
    <n v="35.516000000000005"/>
    <x v="0"/>
    <x v="2"/>
    <n v="88.79"/>
    <n v="710.32"/>
    <n v="745.83600000000001"/>
    <x v="19"/>
    <x v="3"/>
    <n v="2019"/>
  </r>
  <r>
    <s v="512-98-1403"/>
    <n v="3"/>
    <s v="Electronic accessories"/>
    <x v="0"/>
    <n v="3.972"/>
    <x v="0"/>
    <x v="1"/>
    <n v="26.48"/>
    <n v="79.44"/>
    <n v="83.412000000000006"/>
    <x v="6"/>
    <x v="2"/>
    <n v="2019"/>
  </r>
  <r>
    <s v="848-42-2560"/>
    <n v="2"/>
    <s v="Fashion accessories"/>
    <x v="1"/>
    <n v="8.1910000000000007"/>
    <x v="0"/>
    <x v="5"/>
    <n v="81.91"/>
    <n v="163.82"/>
    <n v="172.011"/>
    <x v="15"/>
    <x v="2"/>
    <n v="2019"/>
  </r>
  <r>
    <s v="532-59-7201"/>
    <n v="6"/>
    <s v="Sports and travel"/>
    <x v="1"/>
    <n v="23.978999999999999"/>
    <x v="2"/>
    <x v="3"/>
    <n v="79.930000000000007"/>
    <n v="479.58"/>
    <n v="503.55900000000003"/>
    <x v="19"/>
    <x v="3"/>
    <n v="2019"/>
  </r>
  <r>
    <s v="181-94-6432"/>
    <n v="2"/>
    <s v="Fashion accessories"/>
    <x v="0"/>
    <n v="6.9329999999999998"/>
    <x v="1"/>
    <x v="5"/>
    <n v="69.33"/>
    <n v="138.66"/>
    <n v="145.59299999999999"/>
    <x v="5"/>
    <x v="2"/>
    <n v="2019"/>
  </r>
  <r>
    <s v="870-76-1733"/>
    <n v="5"/>
    <s v="Food and beverages"/>
    <x v="2"/>
    <n v="3.5575000000000006"/>
    <x v="0"/>
    <x v="4"/>
    <n v="14.23"/>
    <n v="71.150000000000006"/>
    <n v="74.707499999999996"/>
    <x v="5"/>
    <x v="2"/>
    <n v="2019"/>
  </r>
  <r>
    <s v="423-64-4619"/>
    <n v="9"/>
    <s v="Health and beauty"/>
    <x v="1"/>
    <n v="6.9974999999999996"/>
    <x v="0"/>
    <x v="0"/>
    <n v="15.55"/>
    <n v="139.94999999999999"/>
    <n v="146.94749999999999"/>
    <x v="9"/>
    <x v="3"/>
    <n v="2019"/>
  </r>
  <r>
    <s v="227-07-4446"/>
    <n v="10"/>
    <s v="Electronic accessories"/>
    <x v="1"/>
    <n v="39.064999999999998"/>
    <x v="1"/>
    <x v="1"/>
    <n v="78.13"/>
    <n v="781.3"/>
    <n v="820.36500000000001"/>
    <x v="3"/>
    <x v="4"/>
    <n v="2019"/>
  </r>
  <r>
    <s v="174-36-3675"/>
    <n v="2"/>
    <s v="Food and beverages"/>
    <x v="1"/>
    <n v="9.9370000000000012"/>
    <x v="1"/>
    <x v="4"/>
    <n v="99.37"/>
    <n v="198.74"/>
    <n v="208.67699999999999"/>
    <x v="6"/>
    <x v="3"/>
    <n v="2019"/>
  </r>
  <r>
    <s v="428-83-5800"/>
    <n v="3"/>
    <s v="Food and beverages"/>
    <x v="1"/>
    <n v="3.1620000000000004"/>
    <x v="1"/>
    <x v="4"/>
    <n v="21.08"/>
    <n v="63.24"/>
    <n v="66.402000000000001"/>
    <x v="16"/>
    <x v="3"/>
    <n v="2019"/>
  </r>
  <r>
    <s v="603-07-0961"/>
    <n v="5"/>
    <s v="Electronic accessories"/>
    <x v="1"/>
    <n v="18.697500000000002"/>
    <x v="1"/>
    <x v="1"/>
    <n v="74.790000000000006"/>
    <n v="373.95"/>
    <n v="392.64749999999998"/>
    <x v="10"/>
    <x v="2"/>
    <n v="2019"/>
  </r>
  <r>
    <s v="704-20-4138"/>
    <n v="7"/>
    <s v="Health and beauty"/>
    <x v="2"/>
    <n v="10.384500000000001"/>
    <x v="1"/>
    <x v="0"/>
    <n v="29.67"/>
    <n v="207.69"/>
    <n v="218.0745"/>
    <x v="5"/>
    <x v="4"/>
    <n v="2019"/>
  </r>
  <r>
    <s v="787-15-1757"/>
    <n v="4"/>
    <s v="Health and beauty"/>
    <x v="0"/>
    <n v="8.8140000000000001"/>
    <x v="1"/>
    <x v="0"/>
    <n v="44.07"/>
    <n v="176.28"/>
    <n v="185.09399999999999"/>
    <x v="15"/>
    <x v="3"/>
    <n v="2019"/>
  </r>
  <r>
    <s v="649-11-3678"/>
    <n v="9"/>
    <s v="Food and beverages"/>
    <x v="1"/>
    <n v="10.3185"/>
    <x v="1"/>
    <x v="4"/>
    <n v="22.93"/>
    <n v="206.37"/>
    <n v="216.6885"/>
    <x v="17"/>
    <x v="2"/>
    <n v="2019"/>
  </r>
  <r>
    <s v="622-20-1945"/>
    <n v="1"/>
    <s v="Health and beauty"/>
    <x v="1"/>
    <n v="1.9710000000000001"/>
    <x v="1"/>
    <x v="0"/>
    <n v="39.42"/>
    <n v="39.42"/>
    <n v="41.390999999999998"/>
    <x v="16"/>
    <x v="4"/>
    <n v="2019"/>
  </r>
  <r>
    <s v="372-94-8041"/>
    <n v="6"/>
    <s v="Health and beauty"/>
    <x v="0"/>
    <n v="4.5780000000000003"/>
    <x v="0"/>
    <x v="0"/>
    <n v="15.26"/>
    <n v="91.56"/>
    <n v="96.138000000000005"/>
    <x v="15"/>
    <x v="3"/>
    <n v="2019"/>
  </r>
  <r>
    <s v="563-91-7120"/>
    <n v="5"/>
    <s v="Fashion accessories"/>
    <x v="1"/>
    <n v="15.442500000000003"/>
    <x v="0"/>
    <x v="5"/>
    <n v="61.77"/>
    <n v="308.85000000000002"/>
    <n v="324.29250000000002"/>
    <x v="14"/>
    <x v="3"/>
    <n v="2019"/>
  </r>
  <r>
    <s v="746-54-5508"/>
    <n v="6"/>
    <s v="Home and lifestyle"/>
    <x v="2"/>
    <n v="6.4560000000000004"/>
    <x v="0"/>
    <x v="2"/>
    <n v="21.52"/>
    <n v="129.12"/>
    <n v="135.57599999999999"/>
    <x v="2"/>
    <x v="2"/>
    <n v="2019"/>
  </r>
  <r>
    <s v="276-54-0879"/>
    <n v="4"/>
    <s v="Sports and travel"/>
    <x v="0"/>
    <n v="19.548000000000002"/>
    <x v="2"/>
    <x v="3"/>
    <n v="97.74"/>
    <n v="390.96"/>
    <n v="410.50799999999998"/>
    <x v="15"/>
    <x v="2"/>
    <n v="2019"/>
  </r>
  <r>
    <s v="815-11-1168"/>
    <n v="5"/>
    <s v="Food and beverages"/>
    <x v="1"/>
    <n v="24.945"/>
    <x v="0"/>
    <x v="4"/>
    <n v="99.78"/>
    <n v="498.9"/>
    <n v="523.84500000000003"/>
    <x v="2"/>
    <x v="3"/>
    <n v="2019"/>
  </r>
  <r>
    <s v="719-76-3868"/>
    <n v="4"/>
    <s v="Food and beverages"/>
    <x v="1"/>
    <n v="18.852"/>
    <x v="1"/>
    <x v="4"/>
    <n v="94.26"/>
    <n v="377.04"/>
    <n v="395.892"/>
    <x v="7"/>
    <x v="2"/>
    <n v="2019"/>
  </r>
  <r>
    <s v="730-61-8757"/>
    <n v="4"/>
    <s v="Health and beauty"/>
    <x v="2"/>
    <n v="10.226000000000001"/>
    <x v="2"/>
    <x v="0"/>
    <n v="51.13"/>
    <n v="204.52"/>
    <n v="214.74600000000001"/>
    <x v="7"/>
    <x v="4"/>
    <n v="2019"/>
  </r>
  <r>
    <s v="340-66-0321"/>
    <n v="4"/>
    <s v="Electronic accessories"/>
    <x v="1"/>
    <n v="7.2720000000000002"/>
    <x v="0"/>
    <x v="1"/>
    <n v="36.36"/>
    <n v="145.44"/>
    <n v="152.71199999999999"/>
    <x v="9"/>
    <x v="4"/>
    <n v="2019"/>
  </r>
  <r>
    <s v="868-81-1752"/>
    <n v="9"/>
    <s v="Home and lifestyle"/>
    <x v="1"/>
    <n v="9.9090000000000007"/>
    <x v="2"/>
    <x v="2"/>
    <n v="22.02"/>
    <n v="198.18"/>
    <n v="208.089"/>
    <x v="17"/>
    <x v="3"/>
    <n v="2019"/>
  </r>
  <r>
    <s v="634-97-8956"/>
    <n v="3"/>
    <s v="Food and beverages"/>
    <x v="2"/>
    <n v="4.9350000000000005"/>
    <x v="0"/>
    <x v="4"/>
    <n v="32.9"/>
    <n v="98.7"/>
    <n v="103.63500000000001"/>
    <x v="4"/>
    <x v="2"/>
    <n v="2019"/>
  </r>
  <r>
    <s v="566-71-1091"/>
    <n v="5"/>
    <s v="Fashion accessories"/>
    <x v="1"/>
    <n v="19.255000000000003"/>
    <x v="0"/>
    <x v="5"/>
    <n v="77.02"/>
    <n v="385.1"/>
    <n v="404.35500000000002"/>
    <x v="12"/>
    <x v="3"/>
    <n v="2019"/>
  </r>
  <r>
    <s v="442-48-3607"/>
    <n v="2"/>
    <s v="Food and beverages"/>
    <x v="2"/>
    <n v="2.3480000000000003"/>
    <x v="0"/>
    <x v="4"/>
    <n v="23.48"/>
    <n v="46.96"/>
    <n v="49.308"/>
    <x v="17"/>
    <x v="3"/>
    <n v="2019"/>
  </r>
  <r>
    <s v="835-16-0096"/>
    <n v="5"/>
    <s v="Sports and travel"/>
    <x v="0"/>
    <n v="3.6750000000000003"/>
    <x v="1"/>
    <x v="3"/>
    <n v="14.7"/>
    <n v="73.5"/>
    <n v="77.174999999999997"/>
    <x v="15"/>
    <x v="2"/>
    <n v="2019"/>
  </r>
  <r>
    <s v="527-09-6272"/>
    <n v="5"/>
    <s v="Electronic accessories"/>
    <x v="2"/>
    <n v="7.1125000000000007"/>
    <x v="0"/>
    <x v="1"/>
    <n v="28.45"/>
    <n v="142.25"/>
    <n v="149.36250000000001"/>
    <x v="9"/>
    <x v="2"/>
    <n v="2019"/>
  </r>
  <r>
    <s v="898-04-2717"/>
    <n v="9"/>
    <s v="Fashion accessories"/>
    <x v="0"/>
    <n v="34.380000000000003"/>
    <x v="0"/>
    <x v="5"/>
    <n v="76.400000000000006"/>
    <n v="687.6"/>
    <n v="721.98"/>
    <x v="11"/>
    <x v="2"/>
    <n v="2019"/>
  </r>
  <r>
    <s v="692-27-8933"/>
    <n v="6"/>
    <s v="Sports and travel"/>
    <x v="1"/>
    <n v="17.385000000000002"/>
    <x v="2"/>
    <x v="3"/>
    <n v="57.95"/>
    <n v="347.7"/>
    <n v="365.08499999999998"/>
    <x v="12"/>
    <x v="3"/>
    <n v="2019"/>
  </r>
  <r>
    <s v="633-09-3463"/>
    <n v="3"/>
    <s v="Electronic accessories"/>
    <x v="2"/>
    <n v="7.1475"/>
    <x v="1"/>
    <x v="1"/>
    <n v="47.65"/>
    <n v="142.94999999999999"/>
    <n v="150.0975"/>
    <x v="9"/>
    <x v="3"/>
    <n v="2019"/>
  </r>
  <r>
    <s v="374-17-3652"/>
    <n v="9"/>
    <s v="Food and beverages"/>
    <x v="2"/>
    <n v="19.269000000000002"/>
    <x v="2"/>
    <x v="4"/>
    <n v="42.82"/>
    <n v="385.38"/>
    <n v="404.649"/>
    <x v="4"/>
    <x v="3"/>
    <n v="2019"/>
  </r>
  <r>
    <s v="378-07-7001"/>
    <n v="3"/>
    <s v="Electronic accessories"/>
    <x v="2"/>
    <n v="7.2135000000000007"/>
    <x v="2"/>
    <x v="1"/>
    <n v="48.09"/>
    <n v="144.27000000000001"/>
    <n v="151.48349999999999"/>
    <x v="14"/>
    <x v="3"/>
    <n v="2019"/>
  </r>
  <r>
    <s v="433-75-6987"/>
    <n v="7"/>
    <s v="Health and beauty"/>
    <x v="0"/>
    <n v="19.589500000000001"/>
    <x v="2"/>
    <x v="0"/>
    <n v="55.97"/>
    <n v="391.79"/>
    <n v="411.37950000000001"/>
    <x v="5"/>
    <x v="2"/>
    <n v="2019"/>
  </r>
  <r>
    <s v="873-95-4984"/>
    <n v="7"/>
    <s v="Health and beauty"/>
    <x v="1"/>
    <n v="26.914999999999999"/>
    <x v="2"/>
    <x v="0"/>
    <n v="76.900000000000006"/>
    <n v="538.29999999999995"/>
    <n v="565.21500000000003"/>
    <x v="16"/>
    <x v="3"/>
    <n v="2019"/>
  </r>
  <r>
    <s v="416-13-5917"/>
    <n v="5"/>
    <s v="Food and beverages"/>
    <x v="0"/>
    <n v="24.2575"/>
    <x v="1"/>
    <x v="4"/>
    <n v="97.03"/>
    <n v="485.15"/>
    <n v="509.40750000000003"/>
    <x v="15"/>
    <x v="2"/>
    <n v="2019"/>
  </r>
  <r>
    <s v="150-89-8043"/>
    <n v="3"/>
    <s v="Sports and travel"/>
    <x v="1"/>
    <n v="6.6974999999999998"/>
    <x v="0"/>
    <x v="3"/>
    <n v="44.65"/>
    <n v="133.94999999999999"/>
    <n v="140.64750000000001"/>
    <x v="12"/>
    <x v="3"/>
    <n v="2019"/>
  </r>
  <r>
    <s v="135-84-8019"/>
    <n v="9"/>
    <s v="Fashion accessories"/>
    <x v="0"/>
    <n v="35.0685"/>
    <x v="0"/>
    <x v="5"/>
    <n v="77.930000000000007"/>
    <n v="701.37"/>
    <n v="736.43849999999998"/>
    <x v="11"/>
    <x v="2"/>
    <n v="2019"/>
  </r>
  <r>
    <s v="441-94-7118"/>
    <n v="1"/>
    <s v="Electronic accessories"/>
    <x v="1"/>
    <n v="3.5975000000000001"/>
    <x v="0"/>
    <x v="1"/>
    <n v="71.95"/>
    <n v="71.95"/>
    <n v="75.547499999999999"/>
    <x v="5"/>
    <x v="2"/>
    <n v="2019"/>
  </r>
  <r>
    <s v="725-96-3778"/>
    <n v="8"/>
    <s v="Home and lifestyle"/>
    <x v="1"/>
    <n v="35.700000000000003"/>
    <x v="1"/>
    <x v="2"/>
    <n v="89.25"/>
    <n v="714"/>
    <n v="749.7"/>
    <x v="9"/>
    <x v="3"/>
    <n v="2019"/>
  </r>
  <r>
    <s v="531-80-1784"/>
    <n v="7"/>
    <s v="Electronic accessories"/>
    <x v="1"/>
    <n v="9.1069999999999993"/>
    <x v="0"/>
    <x v="1"/>
    <n v="26.02"/>
    <n v="182.14"/>
    <n v="191.24700000000001"/>
    <x v="13"/>
    <x v="4"/>
    <n v="2019"/>
  </r>
  <r>
    <s v="400-45-1220"/>
    <n v="10"/>
    <s v="Health and beauty"/>
    <x v="2"/>
    <n v="6.75"/>
    <x v="2"/>
    <x v="0"/>
    <n v="13.5"/>
    <n v="135"/>
    <n v="141.75"/>
    <x v="17"/>
    <x v="3"/>
    <n v="2019"/>
  </r>
  <r>
    <s v="860-79-0874"/>
    <n v="10"/>
    <s v="Fashion accessories"/>
    <x v="2"/>
    <n v="49.650000000000006"/>
    <x v="1"/>
    <x v="5"/>
    <n v="99.3"/>
    <n v="993"/>
    <n v="1042.6500000000001"/>
    <x v="15"/>
    <x v="2"/>
    <n v="2019"/>
  </r>
  <r>
    <s v="834-61-8124"/>
    <n v="7"/>
    <s v="Electronic accessories"/>
    <x v="1"/>
    <n v="18.0915"/>
    <x v="0"/>
    <x v="1"/>
    <n v="51.69"/>
    <n v="361.83"/>
    <n v="379.92149999999998"/>
    <x v="3"/>
    <x v="3"/>
    <n v="2019"/>
  </r>
  <r>
    <s v="115-99-4379"/>
    <n v="7"/>
    <s v="Fashion accessories"/>
    <x v="2"/>
    <n v="19.1555"/>
    <x v="2"/>
    <x v="5"/>
    <n v="54.73"/>
    <n v="383.11"/>
    <n v="402.26549999999997"/>
    <x v="17"/>
    <x v="3"/>
    <n v="2019"/>
  </r>
  <r>
    <s v="565-67-6697"/>
    <n v="9"/>
    <s v="Home and lifestyle"/>
    <x v="1"/>
    <n v="12.15"/>
    <x v="2"/>
    <x v="2"/>
    <n v="27"/>
    <n v="243"/>
    <n v="255.15"/>
    <x v="14"/>
    <x v="3"/>
    <n v="2019"/>
  </r>
  <r>
    <s v="320-49-6392"/>
    <n v="1"/>
    <s v="Electronic accessories"/>
    <x v="1"/>
    <n v="1.512"/>
    <x v="1"/>
    <x v="1"/>
    <n v="30.24"/>
    <n v="30.24"/>
    <n v="31.751999999999999"/>
    <x v="7"/>
    <x v="3"/>
    <n v="2019"/>
  </r>
  <r>
    <s v="889-04-9723"/>
    <n v="4"/>
    <s v="Food and beverages"/>
    <x v="2"/>
    <n v="17.827999999999999"/>
    <x v="2"/>
    <x v="4"/>
    <n v="89.14"/>
    <n v="356.56"/>
    <n v="374.38799999999998"/>
    <x v="18"/>
    <x v="2"/>
    <n v="2019"/>
  </r>
  <r>
    <s v="632-90-0281"/>
    <n v="10"/>
    <s v="Fashion accessories"/>
    <x v="2"/>
    <n v="18.775000000000002"/>
    <x v="1"/>
    <x v="5"/>
    <n v="37.549999999999997"/>
    <n v="375.5"/>
    <n v="394.27499999999998"/>
    <x v="5"/>
    <x v="2"/>
    <n v="2019"/>
  </r>
  <r>
    <s v="554-42-2417"/>
    <n v="10"/>
    <s v="Sports and travel"/>
    <x v="1"/>
    <n v="47.72"/>
    <x v="1"/>
    <x v="3"/>
    <n v="95.44"/>
    <n v="954.4"/>
    <n v="1002.12"/>
    <x v="7"/>
    <x v="3"/>
    <n v="2019"/>
  </r>
  <r>
    <s v="453-63-6187"/>
    <n v="3"/>
    <s v="Electronic accessories"/>
    <x v="0"/>
    <n v="4.125"/>
    <x v="2"/>
    <x v="1"/>
    <n v="27.5"/>
    <n v="82.5"/>
    <n v="86.625"/>
    <x v="14"/>
    <x v="2"/>
    <n v="2019"/>
  </r>
  <r>
    <s v="578-80-7669"/>
    <n v="1"/>
    <s v="Sports and travel"/>
    <x v="1"/>
    <n v="3.7484999999999999"/>
    <x v="2"/>
    <x v="3"/>
    <n v="74.97"/>
    <n v="74.97"/>
    <n v="78.718500000000006"/>
    <x v="2"/>
    <x v="4"/>
    <n v="2019"/>
  </r>
  <r>
    <s v="612-36-5536"/>
    <n v="8"/>
    <s v="Food and beverages"/>
    <x v="2"/>
    <n v="32.384"/>
    <x v="0"/>
    <x v="4"/>
    <n v="80.959999999999994"/>
    <n v="647.67999999999995"/>
    <n v="680.06399999999996"/>
    <x v="12"/>
    <x v="4"/>
    <n v="2019"/>
  </r>
  <r>
    <s v="605-72-4132"/>
    <n v="8"/>
    <s v="Food and beverages"/>
    <x v="1"/>
    <n v="37.788000000000004"/>
    <x v="1"/>
    <x v="4"/>
    <n v="94.47"/>
    <n v="755.76"/>
    <n v="793.548"/>
    <x v="14"/>
    <x v="2"/>
    <n v="2019"/>
  </r>
  <r>
    <s v="471-41-2823"/>
    <n v="2"/>
    <s v="Food and beverages"/>
    <x v="0"/>
    <n v="9.979000000000001"/>
    <x v="1"/>
    <x v="4"/>
    <n v="99.79"/>
    <n v="199.58"/>
    <n v="209.559"/>
    <x v="2"/>
    <x v="2"/>
    <n v="2019"/>
  </r>
  <r>
    <s v="462-67-9126"/>
    <n v="6"/>
    <s v="Home and lifestyle"/>
    <x v="1"/>
    <n v="21.966000000000001"/>
    <x v="0"/>
    <x v="2"/>
    <n v="73.22"/>
    <n v="439.32"/>
    <n v="461.286"/>
    <x v="19"/>
    <x v="2"/>
    <n v="2019"/>
  </r>
  <r>
    <s v="272-27-9238"/>
    <n v="4"/>
    <s v="Food and beverages"/>
    <x v="1"/>
    <n v="8.2480000000000011"/>
    <x v="1"/>
    <x v="4"/>
    <n v="41.24"/>
    <n v="164.96"/>
    <n v="173.208"/>
    <x v="13"/>
    <x v="4"/>
    <n v="2019"/>
  </r>
  <r>
    <s v="834-25-9262"/>
    <n v="4"/>
    <s v="Fashion accessories"/>
    <x v="1"/>
    <n v="16.336000000000002"/>
    <x v="1"/>
    <x v="5"/>
    <n v="81.680000000000007"/>
    <n v="326.72000000000003"/>
    <n v="343.05599999999998"/>
    <x v="18"/>
    <x v="3"/>
    <n v="2019"/>
  </r>
  <r>
    <s v="122-61-9553"/>
    <n v="9"/>
    <s v="Electronic accessories"/>
    <x v="1"/>
    <n v="23.094000000000001"/>
    <x v="1"/>
    <x v="1"/>
    <n v="51.32"/>
    <n v="461.88"/>
    <n v="484.97399999999999"/>
    <x v="19"/>
    <x v="2"/>
    <n v="2019"/>
  </r>
  <r>
    <s v="468-88-0009"/>
    <n v="4"/>
    <s v="Home and lifestyle"/>
    <x v="1"/>
    <n v="13.188000000000001"/>
    <x v="0"/>
    <x v="2"/>
    <n v="65.94"/>
    <n v="263.76"/>
    <n v="276.94799999999998"/>
    <x v="5"/>
    <x v="2"/>
    <n v="2019"/>
  </r>
  <r>
    <s v="613-59-9758"/>
    <n v="10"/>
    <s v="Sports and travel"/>
    <x v="1"/>
    <n v="7.18"/>
    <x v="1"/>
    <x v="3"/>
    <n v="14.36"/>
    <n v="143.6"/>
    <n v="150.78"/>
    <x v="13"/>
    <x v="3"/>
    <n v="2019"/>
  </r>
  <r>
    <s v="254-31-0042"/>
    <n v="9"/>
    <s v="Electronic accessories"/>
    <x v="2"/>
    <n v="9.6750000000000007"/>
    <x v="0"/>
    <x v="1"/>
    <n v="21.5"/>
    <n v="193.5"/>
    <n v="203.17500000000001"/>
    <x v="4"/>
    <x v="4"/>
    <n v="2019"/>
  </r>
  <r>
    <s v="201-86-2184"/>
    <n v="7"/>
    <s v="Electronic accessories"/>
    <x v="1"/>
    <n v="9.1910000000000007"/>
    <x v="2"/>
    <x v="1"/>
    <n v="26.26"/>
    <n v="183.82"/>
    <n v="193.011"/>
    <x v="7"/>
    <x v="3"/>
    <n v="2019"/>
  </r>
  <r>
    <s v="261-12-8671"/>
    <n v="2"/>
    <s v="Fashion accessories"/>
    <x v="2"/>
    <n v="6.0960000000000001"/>
    <x v="2"/>
    <x v="5"/>
    <n v="60.96"/>
    <n v="121.92"/>
    <n v="128.01599999999999"/>
    <x v="10"/>
    <x v="3"/>
    <n v="2019"/>
  </r>
  <r>
    <s v="730-70-9830"/>
    <n v="6"/>
    <s v="Home and lifestyle"/>
    <x v="0"/>
    <n v="21.033000000000001"/>
    <x v="1"/>
    <x v="2"/>
    <n v="70.11"/>
    <n v="420.66"/>
    <n v="441.69299999999998"/>
    <x v="13"/>
    <x v="4"/>
    <n v="2019"/>
  </r>
  <r>
    <s v="382-25-8917"/>
    <n v="6"/>
    <s v="Fashion accessories"/>
    <x v="1"/>
    <n v="12.624000000000001"/>
    <x v="1"/>
    <x v="5"/>
    <n v="42.08"/>
    <n v="252.48"/>
    <n v="265.10399999999998"/>
    <x v="15"/>
    <x v="2"/>
    <n v="2019"/>
  </r>
  <r>
    <s v="422-29-8786"/>
    <n v="5"/>
    <s v="Home and lifestyle"/>
    <x v="2"/>
    <n v="16.772500000000001"/>
    <x v="0"/>
    <x v="2"/>
    <n v="67.09"/>
    <n v="335.45"/>
    <n v="352.22250000000003"/>
    <x v="2"/>
    <x v="4"/>
    <n v="2019"/>
  </r>
  <r>
    <s v="667-23-5919"/>
    <n v="5"/>
    <s v="Fashion accessories"/>
    <x v="0"/>
    <n v="24.175000000000001"/>
    <x v="0"/>
    <x v="5"/>
    <n v="96.7"/>
    <n v="483.5"/>
    <n v="507.67500000000001"/>
    <x v="18"/>
    <x v="3"/>
    <n v="2019"/>
  </r>
  <r>
    <s v="843-01-4703"/>
    <n v="9"/>
    <s v="Home and lifestyle"/>
    <x v="2"/>
    <n v="15.921000000000001"/>
    <x v="2"/>
    <x v="2"/>
    <n v="35.380000000000003"/>
    <n v="318.42"/>
    <n v="334.34100000000001"/>
    <x v="6"/>
    <x v="3"/>
    <n v="2019"/>
  </r>
  <r>
    <s v="743-88-1662"/>
    <n v="7"/>
    <s v="Sports and travel"/>
    <x v="0"/>
    <n v="33.421500000000002"/>
    <x v="1"/>
    <x v="3"/>
    <n v="95.49"/>
    <n v="668.43"/>
    <n v="701.85149999999999"/>
    <x v="17"/>
    <x v="4"/>
    <n v="2019"/>
  </r>
  <r>
    <s v="595-86-2894"/>
    <n v="4"/>
    <s v="Fashion accessories"/>
    <x v="0"/>
    <n v="19.396000000000001"/>
    <x v="1"/>
    <x v="5"/>
    <n v="96.98"/>
    <n v="387.92"/>
    <n v="407.31599999999997"/>
    <x v="13"/>
    <x v="3"/>
    <n v="2019"/>
  </r>
  <r>
    <s v="182-69-8360"/>
    <n v="4"/>
    <s v="Electronic accessories"/>
    <x v="2"/>
    <n v="4.7299999999999995"/>
    <x v="2"/>
    <x v="1"/>
    <n v="23.65"/>
    <n v="94.6"/>
    <n v="99.33"/>
    <x v="4"/>
    <x v="2"/>
    <n v="2019"/>
  </r>
  <r>
    <s v="289-15-7034"/>
    <n v="4"/>
    <s v="Sports and travel"/>
    <x v="2"/>
    <n v="16.466000000000001"/>
    <x v="0"/>
    <x v="3"/>
    <n v="82.33"/>
    <n v="329.32"/>
    <n v="345.786"/>
    <x v="8"/>
    <x v="4"/>
    <n v="2019"/>
  </r>
  <r>
    <s v="462-78-5240"/>
    <n v="2"/>
    <s v="Electronic accessories"/>
    <x v="1"/>
    <n v="2.661"/>
    <x v="1"/>
    <x v="1"/>
    <n v="26.61"/>
    <n v="53.22"/>
    <n v="55.881"/>
    <x v="5"/>
    <x v="4"/>
    <n v="2019"/>
  </r>
  <r>
    <s v="868-52-7573"/>
    <n v="5"/>
    <s v="Food and beverages"/>
    <x v="1"/>
    <n v="24.922499999999999"/>
    <x v="2"/>
    <x v="4"/>
    <n v="99.69"/>
    <n v="498.45"/>
    <n v="523.37249999999995"/>
    <x v="12"/>
    <x v="4"/>
    <n v="2019"/>
  </r>
  <r>
    <s v="153-58-4872"/>
    <n v="4"/>
    <s v="Food and beverages"/>
    <x v="0"/>
    <n v="14.978000000000002"/>
    <x v="1"/>
    <x v="4"/>
    <n v="74.89"/>
    <n v="299.56"/>
    <n v="314.53800000000001"/>
    <x v="13"/>
    <x v="4"/>
    <n v="2019"/>
  </r>
  <r>
    <s v="662-72-2873"/>
    <n v="5"/>
    <s v="Food and beverages"/>
    <x v="0"/>
    <n v="10.234999999999999"/>
    <x v="0"/>
    <x v="4"/>
    <n v="40.94"/>
    <n v="204.7"/>
    <n v="214.935"/>
    <x v="9"/>
    <x v="3"/>
    <n v="2019"/>
  </r>
  <r>
    <s v="525-88-7307"/>
    <n v="1"/>
    <s v="Sports and travel"/>
    <x v="1"/>
    <n v="3.7909999999999999"/>
    <x v="2"/>
    <x v="3"/>
    <n v="75.819999999999993"/>
    <n v="75.819999999999993"/>
    <n v="79.611000000000004"/>
    <x v="15"/>
    <x v="3"/>
    <n v="2019"/>
  </r>
  <r>
    <s v="689-16-9784"/>
    <n v="6"/>
    <s v="Food and beverages"/>
    <x v="1"/>
    <n v="14.031000000000001"/>
    <x v="1"/>
    <x v="4"/>
    <n v="46.77"/>
    <n v="280.62"/>
    <n v="294.65100000000001"/>
    <x v="19"/>
    <x v="2"/>
    <n v="2019"/>
  </r>
  <r>
    <s v="725-56-0833"/>
    <n v="10"/>
    <s v="Health and beauty"/>
    <x v="2"/>
    <n v="16.16"/>
    <x v="0"/>
    <x v="0"/>
    <n v="32.32"/>
    <n v="323.2"/>
    <n v="339.36"/>
    <x v="7"/>
    <x v="4"/>
    <n v="2019"/>
  </r>
  <r>
    <s v="394-41-0748"/>
    <n v="9"/>
    <s v="Fashion accessories"/>
    <x v="0"/>
    <n v="24.331500000000002"/>
    <x v="1"/>
    <x v="5"/>
    <n v="54.07"/>
    <n v="486.63"/>
    <n v="510.9615"/>
    <x v="4"/>
    <x v="4"/>
    <n v="2019"/>
  </r>
  <r>
    <s v="596-42-3999"/>
    <n v="7"/>
    <s v="Food and beverages"/>
    <x v="2"/>
    <n v="6.3770000000000007"/>
    <x v="2"/>
    <x v="4"/>
    <n v="18.22"/>
    <n v="127.54"/>
    <n v="133.917"/>
    <x v="14"/>
    <x v="4"/>
    <n v="2019"/>
  </r>
  <r>
    <s v="541-89-9860"/>
    <n v="3"/>
    <s v="Fashion accessories"/>
    <x v="1"/>
    <n v="12.072000000000001"/>
    <x v="1"/>
    <x v="5"/>
    <n v="80.48"/>
    <n v="241.44"/>
    <n v="253.512"/>
    <x v="12"/>
    <x v="4"/>
    <n v="2019"/>
  </r>
  <r>
    <s v="173-82-9529"/>
    <n v="10"/>
    <s v="Fashion accessories"/>
    <x v="1"/>
    <n v="18.975000000000001"/>
    <x v="2"/>
    <x v="5"/>
    <n v="37.950000000000003"/>
    <n v="379.5"/>
    <n v="398.47500000000002"/>
    <x v="15"/>
    <x v="3"/>
    <n v="2019"/>
  </r>
  <r>
    <s v="563-36-9814"/>
    <n v="1"/>
    <s v="Electronic accessories"/>
    <x v="0"/>
    <n v="3.8409999999999997"/>
    <x v="0"/>
    <x v="1"/>
    <n v="76.819999999999993"/>
    <n v="76.819999999999993"/>
    <n v="80.661000000000001"/>
    <x v="2"/>
    <x v="4"/>
    <n v="2019"/>
  </r>
  <r>
    <s v="308-47-4913"/>
    <n v="10"/>
    <s v="Sports and travel"/>
    <x v="2"/>
    <n v="26.130000000000003"/>
    <x v="0"/>
    <x v="3"/>
    <n v="52.26"/>
    <n v="522.6"/>
    <n v="548.73"/>
    <x v="4"/>
    <x v="3"/>
    <n v="2019"/>
  </r>
  <r>
    <s v="885-17-6250"/>
    <n v="1"/>
    <s v="Health and beauty"/>
    <x v="0"/>
    <n v="3.9870000000000001"/>
    <x v="0"/>
    <x v="0"/>
    <n v="79.739999999999995"/>
    <n v="79.739999999999995"/>
    <n v="83.727000000000004"/>
    <x v="13"/>
    <x v="3"/>
    <n v="2019"/>
  </r>
  <r>
    <s v="726-27-2396"/>
    <n v="5"/>
    <s v="Health and beauty"/>
    <x v="0"/>
    <n v="19.375"/>
    <x v="0"/>
    <x v="0"/>
    <n v="77.5"/>
    <n v="387.5"/>
    <n v="406.875"/>
    <x v="16"/>
    <x v="2"/>
    <n v="2019"/>
  </r>
  <r>
    <s v="316-01-3952"/>
    <n v="5"/>
    <s v="Food and beverages"/>
    <x v="0"/>
    <n v="13.567500000000003"/>
    <x v="0"/>
    <x v="4"/>
    <n v="54.27"/>
    <n v="271.35000000000002"/>
    <n v="284.91750000000002"/>
    <x v="7"/>
    <x v="4"/>
    <n v="2019"/>
  </r>
  <r>
    <s v="760-54-1821"/>
    <n v="9"/>
    <s v="Home and lifestyle"/>
    <x v="1"/>
    <n v="6.1155000000000008"/>
    <x v="2"/>
    <x v="2"/>
    <n v="13.59"/>
    <n v="122.31"/>
    <n v="128.4255"/>
    <x v="3"/>
    <x v="3"/>
    <n v="2019"/>
  </r>
  <r>
    <s v="793-10-3222"/>
    <n v="6"/>
    <s v="Health and beauty"/>
    <x v="2"/>
    <n v="12.318000000000001"/>
    <x v="2"/>
    <x v="0"/>
    <n v="41.06"/>
    <n v="246.36"/>
    <n v="258.678"/>
    <x v="13"/>
    <x v="3"/>
    <n v="2019"/>
  </r>
  <r>
    <s v="346-12-3257"/>
    <n v="9"/>
    <s v="Electronic accessories"/>
    <x v="1"/>
    <n v="8.6579999999999995"/>
    <x v="2"/>
    <x v="1"/>
    <n v="19.239999999999998"/>
    <n v="173.16"/>
    <n v="181.81800000000001"/>
    <x v="6"/>
    <x v="3"/>
    <n v="2019"/>
  </r>
  <r>
    <s v="110-05-6330"/>
    <n v="6"/>
    <s v="Food and beverages"/>
    <x v="2"/>
    <n v="11.829000000000001"/>
    <x v="1"/>
    <x v="4"/>
    <n v="39.43"/>
    <n v="236.58"/>
    <n v="248.40899999999999"/>
    <x v="14"/>
    <x v="4"/>
    <n v="2019"/>
  </r>
  <r>
    <s v="651-61-0874"/>
    <n v="4"/>
    <s v="Home and lifestyle"/>
    <x v="2"/>
    <n v="9.2439999999999998"/>
    <x v="1"/>
    <x v="2"/>
    <n v="46.22"/>
    <n v="184.88"/>
    <n v="194.124"/>
    <x v="2"/>
    <x v="2"/>
    <n v="2019"/>
  </r>
  <r>
    <s v="236-86-3015"/>
    <n v="1"/>
    <s v="Home and lifestyle"/>
    <x v="0"/>
    <n v="0.69900000000000007"/>
    <x v="1"/>
    <x v="2"/>
    <n v="13.98"/>
    <n v="13.98"/>
    <n v="14.679"/>
    <x v="2"/>
    <x v="4"/>
    <n v="2019"/>
  </r>
  <r>
    <s v="831-64-0259"/>
    <n v="5"/>
    <s v="Fashion accessories"/>
    <x v="0"/>
    <n v="9.9375"/>
    <x v="2"/>
    <x v="5"/>
    <n v="39.75"/>
    <n v="198.75"/>
    <n v="208.6875"/>
    <x v="6"/>
    <x v="2"/>
    <n v="2019"/>
  </r>
  <r>
    <s v="587-03-7455"/>
    <n v="7"/>
    <s v="Fashion accessories"/>
    <x v="0"/>
    <n v="34.226500000000001"/>
    <x v="1"/>
    <x v="5"/>
    <n v="97.79"/>
    <n v="684.53"/>
    <n v="718.75649999999996"/>
    <x v="20"/>
    <x v="3"/>
    <n v="2019"/>
  </r>
  <r>
    <s v="882-40-4577"/>
    <n v="4"/>
    <s v="Sports and travel"/>
    <x v="2"/>
    <n v="13.452000000000002"/>
    <x v="0"/>
    <x v="3"/>
    <n v="67.260000000000005"/>
    <n v="269.04000000000002"/>
    <n v="282.49200000000002"/>
    <x v="8"/>
    <x v="3"/>
    <n v="2019"/>
  </r>
  <r>
    <s v="732-67-5346"/>
    <n v="5"/>
    <s v="Food and beverages"/>
    <x v="2"/>
    <n v="3.4475000000000002"/>
    <x v="0"/>
    <x v="4"/>
    <n v="13.79"/>
    <n v="68.95"/>
    <n v="72.397499999999994"/>
    <x v="5"/>
    <x v="3"/>
    <n v="2019"/>
  </r>
  <r>
    <s v="725-32-9708"/>
    <n v="4"/>
    <s v="Fashion accessories"/>
    <x v="1"/>
    <n v="13.741999999999999"/>
    <x v="2"/>
    <x v="5"/>
    <n v="68.709999999999994"/>
    <n v="274.83999999999997"/>
    <n v="288.58199999999999"/>
    <x v="9"/>
    <x v="3"/>
    <n v="2019"/>
  </r>
  <r>
    <s v="256-08-8343"/>
    <n v="4"/>
    <s v="Home and lifestyle"/>
    <x v="0"/>
    <n v="11.306000000000001"/>
    <x v="0"/>
    <x v="2"/>
    <n v="56.53"/>
    <n v="226.12"/>
    <n v="237.42599999999999"/>
    <x v="11"/>
    <x v="4"/>
    <n v="2019"/>
  </r>
  <r>
    <s v="372-26-1506"/>
    <n v="5"/>
    <s v="Fashion accessories"/>
    <x v="0"/>
    <n v="5.9550000000000001"/>
    <x v="1"/>
    <x v="5"/>
    <n v="23.82"/>
    <n v="119.1"/>
    <n v="125.05500000000001"/>
    <x v="14"/>
    <x v="2"/>
    <n v="2019"/>
  </r>
  <r>
    <s v="244-08-0162"/>
    <n v="10"/>
    <s v="Health and beauty"/>
    <x v="1"/>
    <n v="17.105"/>
    <x v="2"/>
    <x v="0"/>
    <n v="34.21"/>
    <n v="342.1"/>
    <n v="359.20499999999998"/>
    <x v="14"/>
    <x v="4"/>
    <n v="2019"/>
  </r>
  <r>
    <s v="569-71-4390"/>
    <n v="2"/>
    <s v="Sports and travel"/>
    <x v="0"/>
    <n v="2.1870000000000003"/>
    <x v="2"/>
    <x v="3"/>
    <n v="21.87"/>
    <n v="43.74"/>
    <n v="45.927"/>
    <x v="20"/>
    <x v="3"/>
    <n v="2019"/>
  </r>
  <r>
    <s v="132-23-6451"/>
    <n v="5"/>
    <s v="Health and beauty"/>
    <x v="1"/>
    <n v="5.2424999999999997"/>
    <x v="0"/>
    <x v="0"/>
    <n v="20.97"/>
    <n v="104.85"/>
    <n v="110.0925"/>
    <x v="11"/>
    <x v="2"/>
    <n v="2019"/>
  </r>
  <r>
    <s v="696-90-2548"/>
    <n v="3"/>
    <s v="Sports and travel"/>
    <x v="0"/>
    <n v="3.8759999999999999"/>
    <x v="0"/>
    <x v="3"/>
    <n v="25.84"/>
    <n v="77.52"/>
    <n v="81.396000000000001"/>
    <x v="14"/>
    <x v="3"/>
    <n v="2019"/>
  </r>
  <r>
    <s v="472-15-9636"/>
    <n v="8"/>
    <s v="Home and lifestyle"/>
    <x v="0"/>
    <n v="20.372"/>
    <x v="0"/>
    <x v="2"/>
    <n v="50.93"/>
    <n v="407.44"/>
    <n v="427.81200000000001"/>
    <x v="9"/>
    <x v="4"/>
    <n v="2019"/>
  </r>
  <r>
    <s v="268-03-6164"/>
    <n v="1"/>
    <s v="Health and beauty"/>
    <x v="0"/>
    <n v="4.8055000000000003"/>
    <x v="2"/>
    <x v="0"/>
    <n v="96.11"/>
    <n v="96.11"/>
    <n v="100.91549999999999"/>
    <x v="18"/>
    <x v="3"/>
    <n v="2019"/>
  </r>
  <r>
    <s v="750-57-9686"/>
    <n v="4"/>
    <s v="Home and lifestyle"/>
    <x v="2"/>
    <n v="9.0760000000000005"/>
    <x v="1"/>
    <x v="2"/>
    <n v="45.38"/>
    <n v="181.52"/>
    <n v="190.596"/>
    <x v="18"/>
    <x v="3"/>
    <n v="2019"/>
  </r>
  <r>
    <s v="186-09-3669"/>
    <n v="1"/>
    <s v="Health and beauty"/>
    <x v="0"/>
    <n v="4.0755000000000008"/>
    <x v="1"/>
    <x v="0"/>
    <n v="81.510000000000005"/>
    <n v="81.510000000000005"/>
    <n v="85.585499999999996"/>
    <x v="18"/>
    <x v="2"/>
    <n v="2019"/>
  </r>
  <r>
    <s v="848-07-1692"/>
    <n v="2"/>
    <s v="Health and beauty"/>
    <x v="0"/>
    <n v="5.7220000000000004"/>
    <x v="2"/>
    <x v="0"/>
    <n v="57.22"/>
    <n v="114.44"/>
    <n v="120.16200000000001"/>
    <x v="13"/>
    <x v="2"/>
    <n v="2019"/>
  </r>
  <r>
    <s v="745-71-3520"/>
    <n v="7"/>
    <s v="Electronic accessories"/>
    <x v="1"/>
    <n v="8.827"/>
    <x v="0"/>
    <x v="1"/>
    <n v="25.22"/>
    <n v="176.54"/>
    <n v="185.36699999999999"/>
    <x v="11"/>
    <x v="4"/>
    <n v="2019"/>
  </r>
  <r>
    <s v="266-76-6436"/>
    <n v="3"/>
    <s v="Food and beverages"/>
    <x v="0"/>
    <n v="5.79"/>
    <x v="1"/>
    <x v="4"/>
    <n v="38.6"/>
    <n v="115.8"/>
    <n v="121.59"/>
    <x v="4"/>
    <x v="3"/>
    <n v="2019"/>
  </r>
  <r>
    <s v="740-22-2500"/>
    <n v="3"/>
    <s v="Electronic accessories"/>
    <x v="1"/>
    <n v="12.607500000000002"/>
    <x v="1"/>
    <x v="1"/>
    <n v="84.05"/>
    <n v="252.15"/>
    <n v="264.75749999999999"/>
    <x v="12"/>
    <x v="2"/>
    <n v="2019"/>
  </r>
  <r>
    <s v="271-88-8734"/>
    <n v="10"/>
    <s v="Fashion accessories"/>
    <x v="2"/>
    <n v="48.605000000000004"/>
    <x v="1"/>
    <x v="5"/>
    <n v="97.21"/>
    <n v="972.1"/>
    <n v="1020.705"/>
    <x v="6"/>
    <x v="3"/>
    <n v="2019"/>
  </r>
  <r>
    <s v="301-81-8610"/>
    <n v="8"/>
    <s v="Fashion accessories"/>
    <x v="2"/>
    <n v="10.168000000000001"/>
    <x v="2"/>
    <x v="5"/>
    <n v="25.42"/>
    <n v="203.36"/>
    <n v="213.52799999999999"/>
    <x v="5"/>
    <x v="2"/>
    <n v="2019"/>
  </r>
  <r>
    <s v="489-64-4354"/>
    <n v="1"/>
    <s v="Fashion accessories"/>
    <x v="1"/>
    <n v="0.81400000000000006"/>
    <x v="1"/>
    <x v="5"/>
    <n v="16.28"/>
    <n v="16.28"/>
    <n v="17.094000000000001"/>
    <x v="12"/>
    <x v="2"/>
    <n v="2019"/>
  </r>
  <r>
    <s v="198-84-7132"/>
    <n v="9"/>
    <s v="Fashion accessories"/>
    <x v="1"/>
    <n v="18.2745"/>
    <x v="2"/>
    <x v="5"/>
    <n v="40.61"/>
    <n v="365.49"/>
    <n v="383.7645"/>
    <x v="15"/>
    <x v="3"/>
    <n v="2019"/>
  </r>
  <r>
    <s v="269-10-8440"/>
    <n v="7"/>
    <s v="Health and beauty"/>
    <x v="1"/>
    <n v="18.609500000000001"/>
    <x v="0"/>
    <x v="0"/>
    <n v="53.17"/>
    <n v="372.19"/>
    <n v="390.79950000000002"/>
    <x v="5"/>
    <x v="4"/>
    <n v="2019"/>
  </r>
  <r>
    <s v="650-98-6268"/>
    <n v="3"/>
    <s v="Food and beverages"/>
    <x v="2"/>
    <n v="3.1305000000000001"/>
    <x v="2"/>
    <x v="4"/>
    <n v="20.87"/>
    <n v="62.61"/>
    <n v="65.740499999999997"/>
    <x v="19"/>
    <x v="3"/>
    <n v="2019"/>
  </r>
  <r>
    <s v="741-73-3559"/>
    <n v="5"/>
    <s v="Sports and travel"/>
    <x v="1"/>
    <n v="16.817500000000003"/>
    <x v="2"/>
    <x v="3"/>
    <n v="67.27"/>
    <n v="336.35"/>
    <n v="353.16750000000002"/>
    <x v="17"/>
    <x v="2"/>
    <n v="2019"/>
  </r>
  <r>
    <s v="325-77-6186"/>
    <n v="10"/>
    <s v="Home and lifestyle"/>
    <x v="0"/>
    <n v="45.325000000000003"/>
    <x v="0"/>
    <x v="2"/>
    <n v="90.65"/>
    <n v="906.5"/>
    <n v="951.82500000000005"/>
    <x v="7"/>
    <x v="3"/>
    <n v="2019"/>
  </r>
  <r>
    <s v="286-75-7818"/>
    <n v="2"/>
    <s v="Fashion accessories"/>
    <x v="2"/>
    <n v="6.9080000000000004"/>
    <x v="2"/>
    <x v="5"/>
    <n v="69.08"/>
    <n v="138.16"/>
    <n v="145.06800000000001"/>
    <x v="15"/>
    <x v="2"/>
    <n v="2019"/>
  </r>
  <r>
    <s v="574-57-9721"/>
    <n v="2"/>
    <s v="Food and beverages"/>
    <x v="0"/>
    <n v="4.3270000000000008"/>
    <x v="1"/>
    <x v="4"/>
    <n v="43.27"/>
    <n v="86.54"/>
    <n v="90.867000000000004"/>
    <x v="10"/>
    <x v="4"/>
    <n v="2019"/>
  </r>
  <r>
    <s v="459-50-7686"/>
    <n v="6"/>
    <s v="Electronic accessories"/>
    <x v="0"/>
    <n v="7.0380000000000003"/>
    <x v="0"/>
    <x v="1"/>
    <n v="23.46"/>
    <n v="140.76"/>
    <n v="147.798"/>
    <x v="4"/>
    <x v="3"/>
    <n v="2019"/>
  </r>
  <r>
    <s v="616-87-0016"/>
    <n v="7"/>
    <s v="Fashion accessories"/>
    <x v="2"/>
    <n v="33.439"/>
    <x v="2"/>
    <x v="5"/>
    <n v="95.54"/>
    <n v="668.78"/>
    <n v="702.21900000000005"/>
    <x v="3"/>
    <x v="3"/>
    <n v="2019"/>
  </r>
  <r>
    <s v="837-55-7229"/>
    <n v="1"/>
    <s v="Fashion accessories"/>
    <x v="2"/>
    <n v="2.3719999999999999"/>
    <x v="2"/>
    <x v="5"/>
    <n v="47.44"/>
    <n v="47.44"/>
    <n v="49.811999999999998"/>
    <x v="9"/>
    <x v="4"/>
    <n v="2019"/>
  </r>
  <r>
    <s v="751-69-0068"/>
    <n v="9"/>
    <s v="Sports and travel"/>
    <x v="0"/>
    <n v="44.658000000000001"/>
    <x v="1"/>
    <x v="3"/>
    <n v="99.24"/>
    <n v="893.16"/>
    <n v="937.81799999999998"/>
    <x v="2"/>
    <x v="4"/>
    <n v="2019"/>
  </r>
  <r>
    <s v="257-73-1380"/>
    <n v="4"/>
    <s v="Sports and travel"/>
    <x v="0"/>
    <n v="16.586000000000002"/>
    <x v="1"/>
    <x v="3"/>
    <n v="82.93"/>
    <n v="331.72"/>
    <n v="348.30599999999998"/>
    <x v="3"/>
    <x v="2"/>
    <n v="2019"/>
  </r>
  <r>
    <s v="345-08-4992"/>
    <n v="6"/>
    <s v="Home and lifestyle"/>
    <x v="2"/>
    <n v="10.197000000000001"/>
    <x v="0"/>
    <x v="2"/>
    <n v="33.99"/>
    <n v="203.94"/>
    <n v="214.137"/>
    <x v="20"/>
    <x v="3"/>
    <n v="2019"/>
  </r>
  <r>
    <s v="549-96-4200"/>
    <n v="4"/>
    <s v="Food and beverages"/>
    <x v="0"/>
    <n v="3.4079999999999999"/>
    <x v="1"/>
    <x v="4"/>
    <n v="17.04"/>
    <n v="68.16"/>
    <n v="71.567999999999998"/>
    <x v="5"/>
    <x v="3"/>
    <n v="2019"/>
  </r>
  <r>
    <s v="810-60-6344"/>
    <n v="8"/>
    <s v="Electronic accessories"/>
    <x v="2"/>
    <n v="16.344000000000001"/>
    <x v="1"/>
    <x v="1"/>
    <n v="40.86"/>
    <n v="326.88"/>
    <n v="343.22399999999999"/>
    <x v="17"/>
    <x v="2"/>
    <n v="2019"/>
  </r>
  <r>
    <s v="450-28-2866"/>
    <n v="5"/>
    <s v="Food and beverages"/>
    <x v="1"/>
    <n v="4.3600000000000003"/>
    <x v="1"/>
    <x v="4"/>
    <n v="17.440000000000001"/>
    <n v="87.2"/>
    <n v="91.56"/>
    <x v="5"/>
    <x v="3"/>
    <n v="2019"/>
  </r>
  <r>
    <s v="394-30-3170"/>
    <n v="8"/>
    <s v="Sports and travel"/>
    <x v="2"/>
    <n v="35.372000000000007"/>
    <x v="2"/>
    <x v="3"/>
    <n v="88.43"/>
    <n v="707.44"/>
    <n v="742.81200000000001"/>
    <x v="16"/>
    <x v="4"/>
    <n v="2019"/>
  </r>
  <r>
    <s v="138-17-5109"/>
    <n v="9"/>
    <s v="Home and lifestyle"/>
    <x v="2"/>
    <n v="40.144500000000001"/>
    <x v="0"/>
    <x v="2"/>
    <n v="89.21"/>
    <n v="802.89"/>
    <n v="843.03449999999998"/>
    <x v="13"/>
    <x v="2"/>
    <n v="2019"/>
  </r>
  <r>
    <s v="192-98-7397"/>
    <n v="1"/>
    <s v="Fashion accessories"/>
    <x v="0"/>
    <n v="0.63900000000000001"/>
    <x v="1"/>
    <x v="5"/>
    <n v="12.78"/>
    <n v="12.78"/>
    <n v="13.419"/>
    <x v="7"/>
    <x v="3"/>
    <n v="2019"/>
  </r>
  <r>
    <s v="301-11-9629"/>
    <n v="7"/>
    <s v="Sports and travel"/>
    <x v="1"/>
    <n v="6.6849999999999996"/>
    <x v="0"/>
    <x v="3"/>
    <n v="19.100000000000001"/>
    <n v="133.69999999999999"/>
    <n v="140.38499999999999"/>
    <x v="17"/>
    <x v="4"/>
    <n v="2019"/>
  </r>
  <r>
    <s v="390-80-5128"/>
    <n v="1"/>
    <s v="Health and beauty"/>
    <x v="2"/>
    <n v="0.95750000000000002"/>
    <x v="2"/>
    <x v="0"/>
    <n v="19.149999999999999"/>
    <n v="19.149999999999999"/>
    <n v="20.107500000000002"/>
    <x v="2"/>
    <x v="4"/>
    <n v="2019"/>
  </r>
  <r>
    <s v="235-46-8343"/>
    <n v="10"/>
    <s v="Food and beverages"/>
    <x v="2"/>
    <n v="13.830000000000002"/>
    <x v="1"/>
    <x v="4"/>
    <n v="27.66"/>
    <n v="276.60000000000002"/>
    <n v="290.43"/>
    <x v="9"/>
    <x v="4"/>
    <n v="2019"/>
  </r>
  <r>
    <s v="453-12-7053"/>
    <n v="3"/>
    <s v="Fashion accessories"/>
    <x v="2"/>
    <n v="6.8610000000000007"/>
    <x v="1"/>
    <x v="5"/>
    <n v="45.74"/>
    <n v="137.22"/>
    <n v="144.08099999999999"/>
    <x v="9"/>
    <x v="3"/>
    <n v="2019"/>
  </r>
  <r>
    <s v="296-11-7041"/>
    <n v="1"/>
    <s v="Health and beauty"/>
    <x v="2"/>
    <n v="1.3535000000000001"/>
    <x v="2"/>
    <x v="0"/>
    <n v="27.07"/>
    <n v="27.07"/>
    <n v="28.423500000000001"/>
    <x v="10"/>
    <x v="3"/>
    <n v="2019"/>
  </r>
  <r>
    <s v="449-27-2918"/>
    <n v="1"/>
    <s v="Sports and travel"/>
    <x v="2"/>
    <n v="1.956"/>
    <x v="2"/>
    <x v="3"/>
    <n v="39.119999999999997"/>
    <n v="39.119999999999997"/>
    <n v="41.076000000000001"/>
    <x v="5"/>
    <x v="2"/>
    <n v="2019"/>
  </r>
  <r>
    <s v="891-01-7034"/>
    <n v="6"/>
    <s v="Electronic accessories"/>
    <x v="1"/>
    <n v="22.413"/>
    <x v="2"/>
    <x v="1"/>
    <n v="74.709999999999994"/>
    <n v="448.26"/>
    <n v="470.673"/>
    <x v="20"/>
    <x v="3"/>
    <n v="2019"/>
  </r>
  <r>
    <s v="744-09-5786"/>
    <n v="6"/>
    <s v="Electronic accessories"/>
    <x v="1"/>
    <n v="6.6030000000000006"/>
    <x v="2"/>
    <x v="1"/>
    <n v="22.01"/>
    <n v="132.06"/>
    <n v="138.66300000000001"/>
    <x v="14"/>
    <x v="4"/>
    <n v="2019"/>
  </r>
  <r>
    <s v="727-17-0390"/>
    <n v="5"/>
    <s v="Food and beverages"/>
    <x v="0"/>
    <n v="15.902500000000002"/>
    <x v="0"/>
    <x v="4"/>
    <n v="63.61"/>
    <n v="318.05"/>
    <n v="333.95249999999999"/>
    <x v="4"/>
    <x v="4"/>
    <n v="2019"/>
  </r>
  <r>
    <s v="568-88-3448"/>
    <n v="1"/>
    <s v="Health and beauty"/>
    <x v="0"/>
    <n v="1.25"/>
    <x v="0"/>
    <x v="0"/>
    <n v="25"/>
    <n v="25"/>
    <n v="26.25"/>
    <x v="14"/>
    <x v="4"/>
    <n v="2019"/>
  </r>
  <r>
    <s v="187-83-5490"/>
    <n v="4"/>
    <s v="Electronic accessories"/>
    <x v="1"/>
    <n v="4.1539999999999999"/>
    <x v="0"/>
    <x v="1"/>
    <n v="20.77"/>
    <n v="83.08"/>
    <n v="87.233999999999995"/>
    <x v="12"/>
    <x v="3"/>
    <n v="2019"/>
  </r>
  <r>
    <s v="767-54-1907"/>
    <n v="5"/>
    <s v="Fashion accessories"/>
    <x v="1"/>
    <n v="7.3900000000000006"/>
    <x v="2"/>
    <x v="5"/>
    <n v="29.56"/>
    <n v="147.80000000000001"/>
    <n v="155.19"/>
    <x v="15"/>
    <x v="3"/>
    <n v="2019"/>
  </r>
  <r>
    <s v="710-46-4433"/>
    <n v="9"/>
    <s v="Food and beverages"/>
    <x v="2"/>
    <n v="34.830000000000005"/>
    <x v="2"/>
    <x v="4"/>
    <n v="77.400000000000006"/>
    <n v="696.6"/>
    <n v="731.43"/>
    <x v="9"/>
    <x v="3"/>
    <n v="2019"/>
  </r>
  <r>
    <s v="533-33-5337"/>
    <n v="10"/>
    <s v="Electronic accessories"/>
    <x v="1"/>
    <n v="39.695"/>
    <x v="2"/>
    <x v="1"/>
    <n v="79.39"/>
    <n v="793.9"/>
    <n v="833.59500000000003"/>
    <x v="7"/>
    <x v="4"/>
    <n v="2019"/>
  </r>
  <r>
    <s v="325-90-8763"/>
    <n v="10"/>
    <s v="Electronic accessories"/>
    <x v="1"/>
    <n v="23.285"/>
    <x v="1"/>
    <x v="1"/>
    <n v="46.57"/>
    <n v="465.7"/>
    <n v="488.98500000000001"/>
    <x v="7"/>
    <x v="3"/>
    <n v="2019"/>
  </r>
  <r>
    <s v="729-46-7422"/>
    <n v="1"/>
    <s v="Food and beverages"/>
    <x v="2"/>
    <n v="1.7945000000000002"/>
    <x v="1"/>
    <x v="4"/>
    <n v="35.89"/>
    <n v="35.89"/>
    <n v="37.6845"/>
    <x v="2"/>
    <x v="4"/>
    <n v="2019"/>
  </r>
  <r>
    <s v="639-76-1242"/>
    <n v="5"/>
    <s v="Food and beverages"/>
    <x v="1"/>
    <n v="10.130000000000001"/>
    <x v="1"/>
    <x v="4"/>
    <n v="40.520000000000003"/>
    <n v="202.6"/>
    <n v="212.73"/>
    <x v="17"/>
    <x v="4"/>
    <n v="2019"/>
  </r>
  <r>
    <s v="234-03-4040"/>
    <n v="10"/>
    <s v="Food and beverages"/>
    <x v="2"/>
    <n v="36.524999999999999"/>
    <x v="2"/>
    <x v="4"/>
    <n v="73.05"/>
    <n v="730.5"/>
    <n v="767.02499999999998"/>
    <x v="7"/>
    <x v="2"/>
    <n v="2019"/>
  </r>
  <r>
    <s v="326-71-2155"/>
    <n v="4"/>
    <s v="Sports and travel"/>
    <x v="1"/>
    <n v="14.790000000000001"/>
    <x v="1"/>
    <x v="3"/>
    <n v="73.95"/>
    <n v="295.8"/>
    <n v="310.58999999999997"/>
    <x v="4"/>
    <x v="3"/>
    <n v="2019"/>
  </r>
  <r>
    <s v="320-32-8842"/>
    <n v="1"/>
    <s v="Food and beverages"/>
    <x v="1"/>
    <n v="1.131"/>
    <x v="1"/>
    <x v="4"/>
    <n v="22.62"/>
    <n v="22.62"/>
    <n v="23.751000000000001"/>
    <x v="10"/>
    <x v="4"/>
    <n v="2019"/>
  </r>
  <r>
    <s v="470-32-9057"/>
    <n v="5"/>
    <s v="Food and beverages"/>
    <x v="2"/>
    <n v="12.835000000000001"/>
    <x v="0"/>
    <x v="4"/>
    <n v="51.34"/>
    <n v="256.7"/>
    <n v="269.53500000000003"/>
    <x v="7"/>
    <x v="2"/>
    <n v="2019"/>
  </r>
  <r>
    <s v="878-30-2331"/>
    <n v="10"/>
    <s v="Sports and travel"/>
    <x v="2"/>
    <n v="27.275000000000002"/>
    <x v="1"/>
    <x v="3"/>
    <n v="54.55"/>
    <n v="545.5"/>
    <n v="572.77499999999998"/>
    <x v="12"/>
    <x v="2"/>
    <n v="2019"/>
  </r>
  <r>
    <s v="440-59-5691"/>
    <n v="7"/>
    <s v="Health and beauty"/>
    <x v="2"/>
    <n v="13.002500000000001"/>
    <x v="1"/>
    <x v="0"/>
    <n v="37.15"/>
    <n v="260.05"/>
    <n v="273.05250000000001"/>
    <x v="12"/>
    <x v="4"/>
    <n v="2019"/>
  </r>
  <r>
    <s v="554-53-3790"/>
    <n v="6"/>
    <s v="Sports and travel"/>
    <x v="1"/>
    <n v="11.106000000000002"/>
    <x v="2"/>
    <x v="3"/>
    <n v="37.020000000000003"/>
    <n v="222.12"/>
    <n v="233.226"/>
    <x v="9"/>
    <x v="2"/>
    <n v="2019"/>
  </r>
  <r>
    <s v="746-19-0921"/>
    <n v="1"/>
    <s v="Food and beverages"/>
    <x v="0"/>
    <n v="1.079"/>
    <x v="1"/>
    <x v="4"/>
    <n v="21.58"/>
    <n v="21.58"/>
    <n v="22.658999999999999"/>
    <x v="13"/>
    <x v="3"/>
    <n v="2019"/>
  </r>
  <r>
    <s v="233-34-0817"/>
    <n v="1"/>
    <s v="Electronic accessories"/>
    <x v="1"/>
    <n v="4.9420000000000002"/>
    <x v="1"/>
    <x v="1"/>
    <n v="98.84"/>
    <n v="98.84"/>
    <n v="103.782"/>
    <x v="15"/>
    <x v="3"/>
    <n v="2019"/>
  </r>
  <r>
    <s v="767-05-1286"/>
    <n v="6"/>
    <s v="Home and lifestyle"/>
    <x v="0"/>
    <n v="25.131"/>
    <x v="1"/>
    <x v="2"/>
    <n v="83.77"/>
    <n v="502.62"/>
    <n v="527.75099999999998"/>
    <x v="20"/>
    <x v="3"/>
    <n v="2019"/>
  </r>
  <r>
    <s v="340-21-9136"/>
    <n v="4"/>
    <s v="Sports and travel"/>
    <x v="1"/>
    <n v="8.01"/>
    <x v="0"/>
    <x v="3"/>
    <n v="40.049999999999997"/>
    <n v="160.19999999999999"/>
    <n v="168.21"/>
    <x v="7"/>
    <x v="2"/>
    <n v="2019"/>
  </r>
  <r>
    <s v="405-31-3305"/>
    <n v="10"/>
    <s v="Fashion accessories"/>
    <x v="2"/>
    <n v="21.565000000000001"/>
    <x v="0"/>
    <x v="5"/>
    <n v="43.13"/>
    <n v="431.3"/>
    <n v="452.86500000000001"/>
    <x v="4"/>
    <x v="4"/>
    <n v="2019"/>
  </r>
  <r>
    <s v="731-59-7531"/>
    <n v="8"/>
    <s v="Health and beauty"/>
    <x v="1"/>
    <n v="29.027999999999999"/>
    <x v="2"/>
    <x v="0"/>
    <n v="72.569999999999993"/>
    <n v="580.55999999999995"/>
    <n v="609.58799999999997"/>
    <x v="10"/>
    <x v="2"/>
    <n v="2019"/>
  </r>
  <r>
    <s v="676-39-6028"/>
    <n v="5"/>
    <s v="Electronic accessories"/>
    <x v="1"/>
    <n v="16.11"/>
    <x v="0"/>
    <x v="1"/>
    <n v="64.44"/>
    <n v="322.2"/>
    <n v="338.31"/>
    <x v="4"/>
    <x v="3"/>
    <n v="2019"/>
  </r>
  <r>
    <s v="502-05-1910"/>
    <n v="3"/>
    <s v="Health and beauty"/>
    <x v="2"/>
    <n v="9.777000000000001"/>
    <x v="0"/>
    <x v="0"/>
    <n v="65.180000000000007"/>
    <n v="195.54"/>
    <n v="205.31700000000001"/>
    <x v="15"/>
    <x v="2"/>
    <n v="2019"/>
  </r>
  <r>
    <s v="485-30-8700"/>
    <n v="5"/>
    <s v="Sports and travel"/>
    <x v="2"/>
    <n v="8.3150000000000013"/>
    <x v="0"/>
    <x v="3"/>
    <n v="33.26"/>
    <n v="166.3"/>
    <n v="174.61500000000001"/>
    <x v="12"/>
    <x v="3"/>
    <n v="2019"/>
  </r>
  <r>
    <s v="598-47-9715"/>
    <n v="4"/>
    <s v="Electronic accessories"/>
    <x v="0"/>
    <n v="16.814"/>
    <x v="1"/>
    <x v="1"/>
    <n v="84.07"/>
    <n v="336.28"/>
    <n v="353.09399999999999"/>
    <x v="14"/>
    <x v="3"/>
    <n v="2019"/>
  </r>
  <r>
    <s v="701-69-8742"/>
    <n v="10"/>
    <s v="Sports and travel"/>
    <x v="0"/>
    <n v="17.184999999999999"/>
    <x v="2"/>
    <x v="3"/>
    <n v="34.369999999999997"/>
    <n v="343.7"/>
    <n v="360.88499999999999"/>
    <x v="2"/>
    <x v="3"/>
    <n v="2019"/>
  </r>
  <r>
    <s v="575-67-1508"/>
    <n v="1"/>
    <s v="Electronic accessories"/>
    <x v="0"/>
    <n v="1.9300000000000002"/>
    <x v="0"/>
    <x v="1"/>
    <n v="38.6"/>
    <n v="38.6"/>
    <n v="40.53"/>
    <x v="3"/>
    <x v="2"/>
    <n v="2019"/>
  </r>
  <r>
    <s v="541-08-3113"/>
    <n v="8"/>
    <s v="Food and beverages"/>
    <x v="1"/>
    <n v="26.388000000000002"/>
    <x v="1"/>
    <x v="4"/>
    <n v="65.97"/>
    <n v="527.76"/>
    <n v="554.14800000000002"/>
    <x v="4"/>
    <x v="4"/>
    <n v="2019"/>
  </r>
  <r>
    <s v="246-11-3901"/>
    <n v="10"/>
    <s v="Electronic accessories"/>
    <x v="1"/>
    <n v="16.400000000000002"/>
    <x v="1"/>
    <x v="1"/>
    <n v="32.799999999999997"/>
    <n v="328"/>
    <n v="344.4"/>
    <x v="15"/>
    <x v="4"/>
    <n v="2019"/>
  </r>
  <r>
    <s v="674-15-9296"/>
    <n v="5"/>
    <s v="Sports and travel"/>
    <x v="0"/>
    <n v="9.2850000000000001"/>
    <x v="0"/>
    <x v="3"/>
    <n v="37.14"/>
    <n v="185.7"/>
    <n v="194.98500000000001"/>
    <x v="6"/>
    <x v="3"/>
    <n v="2019"/>
  </r>
  <r>
    <s v="305-18-3552"/>
    <n v="10"/>
    <s v="Home and lifestyle"/>
    <x v="1"/>
    <n v="30.189999999999998"/>
    <x v="2"/>
    <x v="2"/>
    <n v="60.38"/>
    <n v="603.79999999999995"/>
    <n v="633.99"/>
    <x v="11"/>
    <x v="3"/>
    <n v="2019"/>
  </r>
  <r>
    <s v="493-65-6248"/>
    <n v="10"/>
    <s v="Sports and travel"/>
    <x v="2"/>
    <n v="18.490000000000002"/>
    <x v="1"/>
    <x v="3"/>
    <n v="36.979999999999997"/>
    <n v="369.8"/>
    <n v="388.29"/>
    <x v="17"/>
    <x v="2"/>
    <n v="2019"/>
  </r>
  <r>
    <s v="438-01-4015"/>
    <n v="4"/>
    <s v="Sports and travel"/>
    <x v="0"/>
    <n v="9.8980000000000015"/>
    <x v="2"/>
    <x v="3"/>
    <n v="49.49"/>
    <n v="197.96"/>
    <n v="207.858"/>
    <x v="4"/>
    <x v="2"/>
    <n v="2019"/>
  </r>
  <r>
    <s v="709-58-4068"/>
    <n v="10"/>
    <s v="Fashion accessories"/>
    <x v="1"/>
    <n v="20.545000000000002"/>
    <x v="2"/>
    <x v="5"/>
    <n v="41.09"/>
    <n v="410.9"/>
    <n v="431.44499999999999"/>
    <x v="4"/>
    <x v="3"/>
    <n v="2019"/>
  </r>
  <r>
    <s v="795-49-7276"/>
    <n v="4"/>
    <s v="Fashion accessories"/>
    <x v="0"/>
    <n v="7.43"/>
    <x v="0"/>
    <x v="5"/>
    <n v="37.15"/>
    <n v="148.6"/>
    <n v="156.03"/>
    <x v="3"/>
    <x v="4"/>
    <n v="2019"/>
  </r>
  <r>
    <s v="556-72-8512"/>
    <n v="1"/>
    <s v="Home and lifestyle"/>
    <x v="1"/>
    <n v="1.1480000000000001"/>
    <x v="1"/>
    <x v="2"/>
    <n v="22.96"/>
    <n v="22.96"/>
    <n v="24.108000000000001"/>
    <x v="15"/>
    <x v="4"/>
    <n v="2019"/>
  </r>
  <r>
    <s v="627-95-3243"/>
    <n v="9"/>
    <s v="Home and lifestyle"/>
    <x v="0"/>
    <n v="34.956000000000003"/>
    <x v="2"/>
    <x v="2"/>
    <n v="77.680000000000007"/>
    <n v="699.12"/>
    <n v="734.07600000000002"/>
    <x v="17"/>
    <x v="2"/>
    <n v="2019"/>
  </r>
  <r>
    <s v="686-41-0932"/>
    <n v="2"/>
    <s v="Fashion accessories"/>
    <x v="0"/>
    <n v="3.4700000000000006"/>
    <x v="2"/>
    <x v="5"/>
    <n v="34.700000000000003"/>
    <n v="69.400000000000006"/>
    <n v="72.87"/>
    <x v="7"/>
    <x v="3"/>
    <n v="2019"/>
  </r>
  <r>
    <s v="510-09-5628"/>
    <n v="10"/>
    <s v="Fashion accessories"/>
    <x v="2"/>
    <n v="9.83"/>
    <x v="0"/>
    <x v="5"/>
    <n v="19.66"/>
    <n v="196.6"/>
    <n v="206.43"/>
    <x v="7"/>
    <x v="4"/>
    <n v="2019"/>
  </r>
  <r>
    <s v="608-04-3797"/>
    <n v="8"/>
    <s v="Health and beauty"/>
    <x v="0"/>
    <n v="10.128"/>
    <x v="2"/>
    <x v="0"/>
    <n v="25.32"/>
    <n v="202.56"/>
    <n v="212.68799999999999"/>
    <x v="11"/>
    <x v="4"/>
    <n v="2019"/>
  </r>
  <r>
    <s v="148-82-2527"/>
    <n v="10"/>
    <s v="Home and lifestyle"/>
    <x v="2"/>
    <n v="6.0600000000000005"/>
    <x v="1"/>
    <x v="2"/>
    <n v="12.12"/>
    <n v="121.2"/>
    <n v="127.26"/>
    <x v="16"/>
    <x v="4"/>
    <n v="2019"/>
  </r>
  <r>
    <s v="437-53-3084"/>
    <n v="2"/>
    <s v="Fashion accessories"/>
    <x v="0"/>
    <n v="9.9890000000000008"/>
    <x v="2"/>
    <x v="5"/>
    <n v="99.89"/>
    <n v="199.78"/>
    <n v="209.76900000000001"/>
    <x v="17"/>
    <x v="3"/>
    <n v="2019"/>
  </r>
  <r>
    <s v="632-32-4574"/>
    <n v="8"/>
    <s v="Sports and travel"/>
    <x v="1"/>
    <n v="30.368000000000002"/>
    <x v="2"/>
    <x v="3"/>
    <n v="75.92"/>
    <n v="607.36"/>
    <n v="637.72799999999995"/>
    <x v="19"/>
    <x v="3"/>
    <n v="2019"/>
  </r>
  <r>
    <s v="556-97-7101"/>
    <n v="2"/>
    <s v="Electronic accessories"/>
    <x v="1"/>
    <n v="6.3220000000000001"/>
    <x v="1"/>
    <x v="1"/>
    <n v="63.22"/>
    <n v="126.44"/>
    <n v="132.762"/>
    <x v="2"/>
    <x v="3"/>
    <n v="2019"/>
  </r>
  <r>
    <s v="862-59-8517"/>
    <n v="6"/>
    <s v="Food and beverages"/>
    <x v="1"/>
    <n v="27.072000000000003"/>
    <x v="1"/>
    <x v="4"/>
    <n v="90.24"/>
    <n v="541.44000000000005"/>
    <n v="568.51199999999994"/>
    <x v="19"/>
    <x v="3"/>
    <n v="2019"/>
  </r>
  <r>
    <s v="401-18-8016"/>
    <n v="1"/>
    <s v="Sports and travel"/>
    <x v="1"/>
    <n v="4.9065000000000003"/>
    <x v="2"/>
    <x v="3"/>
    <n v="98.13"/>
    <n v="98.13"/>
    <n v="103.0365"/>
    <x v="14"/>
    <x v="3"/>
    <n v="2019"/>
  </r>
  <r>
    <s v="420-18-8989"/>
    <n v="8"/>
    <s v="Sports and travel"/>
    <x v="1"/>
    <n v="20.608000000000004"/>
    <x v="0"/>
    <x v="3"/>
    <n v="51.52"/>
    <n v="412.16"/>
    <n v="432.76799999999997"/>
    <x v="3"/>
    <x v="3"/>
    <n v="2019"/>
  </r>
  <r>
    <s v="277-63-2961"/>
    <n v="1"/>
    <s v="Sports and travel"/>
    <x v="2"/>
    <n v="3.6985000000000001"/>
    <x v="2"/>
    <x v="3"/>
    <n v="73.97"/>
    <n v="73.97"/>
    <n v="77.668499999999995"/>
    <x v="14"/>
    <x v="4"/>
    <n v="2019"/>
  </r>
  <r>
    <s v="573-98-8548"/>
    <n v="1"/>
    <s v="Fashion accessories"/>
    <x v="0"/>
    <n v="1.595"/>
    <x v="1"/>
    <x v="5"/>
    <n v="31.9"/>
    <n v="31.9"/>
    <n v="33.494999999999997"/>
    <x v="15"/>
    <x v="3"/>
    <n v="2019"/>
  </r>
  <r>
    <s v="620-02-2046"/>
    <n v="2"/>
    <s v="Home and lifestyle"/>
    <x v="0"/>
    <n v="6.9400000000000013"/>
    <x v="1"/>
    <x v="2"/>
    <n v="69.400000000000006"/>
    <n v="138.80000000000001"/>
    <n v="145.74"/>
    <x v="3"/>
    <x v="4"/>
    <n v="2019"/>
  </r>
  <r>
    <s v="282-35-2475"/>
    <n v="2"/>
    <s v="Sports and travel"/>
    <x v="1"/>
    <n v="9.3310000000000013"/>
    <x v="2"/>
    <x v="3"/>
    <n v="93.31"/>
    <n v="186.62"/>
    <n v="195.95099999999999"/>
    <x v="12"/>
    <x v="3"/>
    <n v="2019"/>
  </r>
  <r>
    <s v="511-54-3087"/>
    <n v="1"/>
    <s v="Sports and travel"/>
    <x v="2"/>
    <n v="4.4225000000000003"/>
    <x v="2"/>
    <x v="3"/>
    <n v="88.45"/>
    <n v="88.45"/>
    <n v="92.872500000000002"/>
    <x v="13"/>
    <x v="4"/>
    <n v="2019"/>
  </r>
  <r>
    <s v="726-29-6793"/>
    <n v="8"/>
    <s v="Electronic accessories"/>
    <x v="0"/>
    <n v="9.6720000000000006"/>
    <x v="0"/>
    <x v="1"/>
    <n v="24.18"/>
    <n v="193.44"/>
    <n v="203.11199999999999"/>
    <x v="7"/>
    <x v="4"/>
    <n v="2019"/>
  </r>
  <r>
    <s v="387-49-4215"/>
    <n v="3"/>
    <s v="Sports and travel"/>
    <x v="1"/>
    <n v="7.2750000000000004"/>
    <x v="2"/>
    <x v="3"/>
    <n v="48.5"/>
    <n v="145.5"/>
    <n v="152.77500000000001"/>
    <x v="12"/>
    <x v="3"/>
    <n v="2019"/>
  </r>
  <r>
    <s v="862-17-9201"/>
    <n v="6"/>
    <s v="Food and beverages"/>
    <x v="2"/>
    <n v="25.215000000000003"/>
    <x v="2"/>
    <x v="4"/>
    <n v="84.05"/>
    <n v="504.3"/>
    <n v="529.51499999999999"/>
    <x v="5"/>
    <x v="4"/>
    <n v="2019"/>
  </r>
  <r>
    <s v="291-21-5991"/>
    <n v="5"/>
    <s v="Health and beauty"/>
    <x v="1"/>
    <n v="15.3225"/>
    <x v="2"/>
    <x v="0"/>
    <n v="61.29"/>
    <n v="306.45"/>
    <n v="321.77249999999998"/>
    <x v="9"/>
    <x v="2"/>
    <n v="2019"/>
  </r>
  <r>
    <s v="602-80-9671"/>
    <n v="6"/>
    <s v="Home and lifestyle"/>
    <x v="2"/>
    <n v="4.7850000000000001"/>
    <x v="1"/>
    <x v="2"/>
    <n v="15.95"/>
    <n v="95.7"/>
    <n v="100.485"/>
    <x v="17"/>
    <x v="3"/>
    <n v="2019"/>
  </r>
  <r>
    <s v="347-72-6115"/>
    <n v="7"/>
    <s v="Sports and travel"/>
    <x v="2"/>
    <n v="31.759"/>
    <x v="2"/>
    <x v="3"/>
    <n v="90.74"/>
    <n v="635.17999999999995"/>
    <n v="666.93899999999996"/>
    <x v="7"/>
    <x v="2"/>
    <n v="2019"/>
  </r>
  <r>
    <s v="209-61-0206"/>
    <n v="5"/>
    <s v="Home and lifestyle"/>
    <x v="0"/>
    <n v="10.727500000000001"/>
    <x v="0"/>
    <x v="2"/>
    <n v="42.91"/>
    <n v="214.55"/>
    <n v="225.2775"/>
    <x v="9"/>
    <x v="3"/>
    <n v="2019"/>
  </r>
  <r>
    <s v="595-27-4851"/>
    <n v="7"/>
    <s v="Fashion accessories"/>
    <x v="0"/>
    <n v="18.998000000000001"/>
    <x v="0"/>
    <x v="5"/>
    <n v="54.28"/>
    <n v="379.96"/>
    <n v="398.95800000000003"/>
    <x v="13"/>
    <x v="4"/>
    <n v="2019"/>
  </r>
  <r>
    <s v="189-52-0236"/>
    <n v="7"/>
    <s v="Electronic accessories"/>
    <x v="1"/>
    <n v="34.842500000000001"/>
    <x v="0"/>
    <x v="1"/>
    <n v="99.55"/>
    <n v="696.85"/>
    <n v="731.6925"/>
    <x v="16"/>
    <x v="2"/>
    <n v="2019"/>
  </r>
  <r>
    <s v="503-07-0930"/>
    <n v="7"/>
    <s v="Sports and travel"/>
    <x v="2"/>
    <n v="20.436500000000002"/>
    <x v="1"/>
    <x v="3"/>
    <n v="58.39"/>
    <n v="408.73"/>
    <n v="429.16649999999998"/>
    <x v="11"/>
    <x v="3"/>
    <n v="2019"/>
  </r>
  <r>
    <s v="413-20-6708"/>
    <n v="1"/>
    <s v="Fashion accessories"/>
    <x v="0"/>
    <n v="2.5735000000000001"/>
    <x v="1"/>
    <x v="5"/>
    <n v="51.47"/>
    <n v="51.47"/>
    <n v="54.043500000000002"/>
    <x v="18"/>
    <x v="3"/>
    <n v="2019"/>
  </r>
  <r>
    <s v="425-85-2085"/>
    <n v="5"/>
    <s v="Health and beauty"/>
    <x v="0"/>
    <n v="13.715000000000002"/>
    <x v="2"/>
    <x v="0"/>
    <n v="54.86"/>
    <n v="274.3"/>
    <n v="288.01499999999999"/>
    <x v="14"/>
    <x v="2"/>
    <n v="2019"/>
  </r>
  <r>
    <s v="521-18-7827"/>
    <n v="5"/>
    <s v="Home and lifestyle"/>
    <x v="2"/>
    <n v="9.8475000000000001"/>
    <x v="1"/>
    <x v="2"/>
    <n v="39.39"/>
    <n v="196.95"/>
    <n v="206.79750000000001"/>
    <x v="7"/>
    <x v="2"/>
    <n v="2019"/>
  </r>
  <r>
    <s v="220-28-1851"/>
    <n v="2"/>
    <s v="Home and lifestyle"/>
    <x v="0"/>
    <n v="3.4729999999999999"/>
    <x v="0"/>
    <x v="2"/>
    <n v="34.729999999999997"/>
    <n v="69.459999999999994"/>
    <n v="72.933000000000007"/>
    <x v="3"/>
    <x v="4"/>
    <n v="2019"/>
  </r>
  <r>
    <s v="600-38-9738"/>
    <n v="5"/>
    <s v="Sports and travel"/>
    <x v="2"/>
    <n v="17.98"/>
    <x v="1"/>
    <x v="3"/>
    <n v="71.92"/>
    <n v="359.6"/>
    <n v="377.58"/>
    <x v="8"/>
    <x v="2"/>
    <n v="2019"/>
  </r>
  <r>
    <s v="734-91-1155"/>
    <n v="3"/>
    <s v="Electronic accessories"/>
    <x v="2"/>
    <n v="6.8565000000000005"/>
    <x v="2"/>
    <x v="1"/>
    <n v="45.71"/>
    <n v="137.13"/>
    <n v="143.98650000000001"/>
    <x v="14"/>
    <x v="3"/>
    <n v="2019"/>
  </r>
  <r>
    <s v="451-28-5717"/>
    <n v="6"/>
    <s v="Home and lifestyle"/>
    <x v="1"/>
    <n v="24.951000000000001"/>
    <x v="1"/>
    <x v="2"/>
    <n v="83.17"/>
    <n v="499.02"/>
    <n v="523.971"/>
    <x v="19"/>
    <x v="2"/>
    <n v="2019"/>
  </r>
  <r>
    <s v="609-81-8548"/>
    <n v="6"/>
    <s v="Home and lifestyle"/>
    <x v="2"/>
    <n v="11.231999999999999"/>
    <x v="0"/>
    <x v="2"/>
    <n v="37.44"/>
    <n v="224.64"/>
    <n v="235.87200000000001"/>
    <x v="5"/>
    <x v="4"/>
    <n v="2019"/>
  </r>
  <r>
    <s v="133-14-7229"/>
    <n v="2"/>
    <s v="Health and beauty"/>
    <x v="1"/>
    <n v="6.2869999999999999"/>
    <x v="1"/>
    <x v="0"/>
    <n v="62.87"/>
    <n v="125.74"/>
    <n v="132.02699999999999"/>
    <x v="19"/>
    <x v="2"/>
    <n v="2019"/>
  </r>
  <r>
    <s v="534-01-4457"/>
    <n v="6"/>
    <s v="Food and beverages"/>
    <x v="2"/>
    <n v="24.513000000000002"/>
    <x v="0"/>
    <x v="4"/>
    <n v="81.709999999999994"/>
    <n v="490.26"/>
    <n v="514.77300000000002"/>
    <x v="14"/>
    <x v="2"/>
    <n v="2019"/>
  </r>
  <r>
    <s v="719-89-8991"/>
    <n v="5"/>
    <s v="Sports and travel"/>
    <x v="0"/>
    <n v="22.852500000000003"/>
    <x v="0"/>
    <x v="3"/>
    <n v="91.41"/>
    <n v="457.05"/>
    <n v="479.90249999999997"/>
    <x v="16"/>
    <x v="3"/>
    <n v="2019"/>
  </r>
  <r>
    <s v="286-62-6248"/>
    <n v="4"/>
    <s v="Fashion accessories"/>
    <x v="2"/>
    <n v="7.8420000000000005"/>
    <x v="2"/>
    <x v="5"/>
    <n v="39.21"/>
    <n v="156.84"/>
    <n v="164.68199999999999"/>
    <x v="12"/>
    <x v="2"/>
    <n v="2019"/>
  </r>
  <r>
    <s v="339-38-9982"/>
    <n v="2"/>
    <s v="Fashion accessories"/>
    <x v="0"/>
    <n v="5.9860000000000007"/>
    <x v="2"/>
    <x v="5"/>
    <n v="59.86"/>
    <n v="119.72"/>
    <n v="125.706"/>
    <x v="16"/>
    <x v="2"/>
    <n v="2019"/>
  </r>
  <r>
    <s v="827-44-5872"/>
    <n v="10"/>
    <s v="Food and beverages"/>
    <x v="2"/>
    <n v="27.180000000000003"/>
    <x v="2"/>
    <x v="4"/>
    <n v="54.36"/>
    <n v="543.6"/>
    <n v="570.78"/>
    <x v="9"/>
    <x v="2"/>
    <n v="2019"/>
  </r>
  <r>
    <s v="827-77-7633"/>
    <n v="9"/>
    <s v="Sports and travel"/>
    <x v="1"/>
    <n v="44.140500000000003"/>
    <x v="0"/>
    <x v="3"/>
    <n v="98.09"/>
    <n v="882.81"/>
    <n v="926.95050000000003"/>
    <x v="8"/>
    <x v="4"/>
    <n v="2019"/>
  </r>
  <r>
    <s v="287-83-1405"/>
    <n v="6"/>
    <s v="Health and beauty"/>
    <x v="0"/>
    <n v="7.6290000000000013"/>
    <x v="0"/>
    <x v="0"/>
    <n v="25.43"/>
    <n v="152.58000000000001"/>
    <n v="160.209"/>
    <x v="11"/>
    <x v="3"/>
    <n v="2019"/>
  </r>
  <r>
    <s v="435-13-4908"/>
    <n v="8"/>
    <s v="Fashion accessories"/>
    <x v="2"/>
    <n v="34.672000000000004"/>
    <x v="0"/>
    <x v="5"/>
    <n v="86.68"/>
    <n v="693.44"/>
    <n v="728.11199999999997"/>
    <x v="18"/>
    <x v="3"/>
    <n v="2019"/>
  </r>
  <r>
    <s v="857-67-9057"/>
    <n v="10"/>
    <s v="Electronic accessories"/>
    <x v="0"/>
    <n v="11.475000000000001"/>
    <x v="2"/>
    <x v="1"/>
    <n v="22.95"/>
    <n v="229.5"/>
    <n v="240.97499999999999"/>
    <x v="15"/>
    <x v="3"/>
    <n v="2019"/>
  </r>
  <r>
    <s v="236-27-1144"/>
    <n v="9"/>
    <s v="Food and beverages"/>
    <x v="0"/>
    <n v="7.3395000000000001"/>
    <x v="1"/>
    <x v="4"/>
    <n v="16.309999999999999"/>
    <n v="146.79"/>
    <n v="154.12950000000001"/>
    <x v="17"/>
    <x v="2"/>
    <n v="2019"/>
  </r>
  <r>
    <s v="892-05-6689"/>
    <n v="5"/>
    <s v="Home and lifestyle"/>
    <x v="0"/>
    <n v="7.08"/>
    <x v="0"/>
    <x v="2"/>
    <n v="28.32"/>
    <n v="141.6"/>
    <n v="148.68"/>
    <x v="11"/>
    <x v="3"/>
    <n v="2019"/>
  </r>
  <r>
    <s v="583-41-4548"/>
    <n v="7"/>
    <s v="Home and lifestyle"/>
    <x v="0"/>
    <n v="5.8345000000000002"/>
    <x v="1"/>
    <x v="2"/>
    <n v="16.670000000000002"/>
    <n v="116.69"/>
    <n v="122.5245"/>
    <x v="15"/>
    <x v="4"/>
    <n v="2019"/>
  </r>
  <r>
    <s v="339-12-4827"/>
    <n v="1"/>
    <s v="Fashion accessories"/>
    <x v="2"/>
    <n v="3.698"/>
    <x v="2"/>
    <x v="5"/>
    <n v="73.959999999999994"/>
    <n v="73.959999999999994"/>
    <n v="77.658000000000001"/>
    <x v="4"/>
    <x v="2"/>
    <n v="2019"/>
  </r>
  <r>
    <s v="643-38-7867"/>
    <n v="1"/>
    <s v="Home and lifestyle"/>
    <x v="0"/>
    <n v="4.8970000000000002"/>
    <x v="0"/>
    <x v="2"/>
    <n v="97.94"/>
    <n v="97.94"/>
    <n v="102.837"/>
    <x v="4"/>
    <x v="2"/>
    <n v="2019"/>
  </r>
  <r>
    <s v="308-81-0538"/>
    <n v="4"/>
    <s v="Fashion accessories"/>
    <x v="2"/>
    <n v="14.61"/>
    <x v="0"/>
    <x v="5"/>
    <n v="73.05"/>
    <n v="292.2"/>
    <n v="306.81"/>
    <x v="2"/>
    <x v="2"/>
    <n v="2019"/>
  </r>
  <r>
    <s v="358-88-9262"/>
    <n v="6"/>
    <s v="Food and beverages"/>
    <x v="0"/>
    <n v="26.244"/>
    <x v="1"/>
    <x v="4"/>
    <n v="87.48"/>
    <n v="524.88"/>
    <n v="551.12400000000002"/>
    <x v="2"/>
    <x v="3"/>
    <n v="2019"/>
  </r>
  <r>
    <s v="460-35-4390"/>
    <n v="3"/>
    <s v="Home and lifestyle"/>
    <x v="0"/>
    <n v="4.6020000000000003"/>
    <x v="0"/>
    <x v="2"/>
    <n v="30.68"/>
    <n v="92.04"/>
    <n v="96.641999999999996"/>
    <x v="2"/>
    <x v="2"/>
    <n v="2019"/>
  </r>
  <r>
    <s v="343-87-0864"/>
    <n v="1"/>
    <s v="Health and beauty"/>
    <x v="2"/>
    <n v="3.794"/>
    <x v="1"/>
    <x v="0"/>
    <n v="75.88"/>
    <n v="75.88"/>
    <n v="79.674000000000007"/>
    <x v="14"/>
    <x v="3"/>
    <n v="2019"/>
  </r>
  <r>
    <s v="173-50-1108"/>
    <n v="4"/>
    <s v="Sports and travel"/>
    <x v="2"/>
    <n v="4.0360000000000005"/>
    <x v="2"/>
    <x v="3"/>
    <n v="20.18"/>
    <n v="80.72"/>
    <n v="84.756"/>
    <x v="20"/>
    <x v="3"/>
    <n v="2019"/>
  </r>
  <r>
    <s v="243-47-2663"/>
    <n v="6"/>
    <s v="Electronic accessories"/>
    <x v="2"/>
    <n v="5.6310000000000002"/>
    <x v="1"/>
    <x v="1"/>
    <n v="18.77"/>
    <n v="112.62"/>
    <n v="118.251"/>
    <x v="3"/>
    <x v="4"/>
    <n v="2019"/>
  </r>
  <r>
    <s v="841-18-8232"/>
    <n v="1"/>
    <s v="Food and beverages"/>
    <x v="2"/>
    <n v="3.5600000000000005"/>
    <x v="2"/>
    <x v="4"/>
    <n v="71.2"/>
    <n v="71.2"/>
    <n v="74.760000000000005"/>
    <x v="15"/>
    <x v="2"/>
    <n v="2019"/>
  </r>
  <r>
    <s v="701-23-5550"/>
    <n v="4"/>
    <s v="Home and lifestyle"/>
    <x v="0"/>
    <n v="7.7620000000000005"/>
    <x v="2"/>
    <x v="2"/>
    <n v="38.81"/>
    <n v="155.24"/>
    <n v="163.00200000000001"/>
    <x v="10"/>
    <x v="4"/>
    <n v="2019"/>
  </r>
  <r>
    <s v="647-50-1224"/>
    <n v="10"/>
    <s v="Fashion accessories"/>
    <x v="0"/>
    <n v="14.71"/>
    <x v="0"/>
    <x v="5"/>
    <n v="29.42"/>
    <n v="294.2"/>
    <n v="308.91000000000003"/>
    <x v="10"/>
    <x v="4"/>
    <n v="2019"/>
  </r>
  <r>
    <s v="541-48-8554"/>
    <n v="9"/>
    <s v="Sports and travel"/>
    <x v="2"/>
    <n v="27.427499999999998"/>
    <x v="0"/>
    <x v="3"/>
    <n v="60.95"/>
    <n v="548.54999999999995"/>
    <n v="575.97749999999996"/>
    <x v="15"/>
    <x v="2"/>
    <n v="2019"/>
  </r>
  <r>
    <s v="539-21-7227"/>
    <n v="5"/>
    <s v="Sports and travel"/>
    <x v="1"/>
    <n v="12.885"/>
    <x v="2"/>
    <x v="3"/>
    <n v="51.54"/>
    <n v="257.7"/>
    <n v="270.58499999999998"/>
    <x v="7"/>
    <x v="4"/>
    <n v="2019"/>
  </r>
  <r>
    <s v="213-32-1216"/>
    <n v="6"/>
    <s v="Electronic accessories"/>
    <x v="1"/>
    <n v="19.818000000000001"/>
    <x v="0"/>
    <x v="1"/>
    <n v="66.06"/>
    <n v="396.36"/>
    <n v="416.178"/>
    <x v="16"/>
    <x v="3"/>
    <n v="2019"/>
  </r>
  <r>
    <s v="747-58-7183"/>
    <n v="3"/>
    <s v="Fashion accessories"/>
    <x v="0"/>
    <n v="8.5905000000000005"/>
    <x v="2"/>
    <x v="5"/>
    <n v="57.27"/>
    <n v="171.81"/>
    <n v="180.40049999999999"/>
    <x v="7"/>
    <x v="4"/>
    <n v="2019"/>
  </r>
  <r>
    <s v="582-52-8065"/>
    <n v="9"/>
    <s v="Fashion accessories"/>
    <x v="1"/>
    <n v="24.439500000000002"/>
    <x v="2"/>
    <x v="5"/>
    <n v="54.31"/>
    <n v="488.79"/>
    <n v="513.22950000000003"/>
    <x v="4"/>
    <x v="2"/>
    <n v="2019"/>
  </r>
  <r>
    <s v="210-57-1719"/>
    <n v="9"/>
    <s v="Health and beauty"/>
    <x v="1"/>
    <n v="26.207999999999998"/>
    <x v="2"/>
    <x v="0"/>
    <n v="58.24"/>
    <n v="524.16"/>
    <n v="550.36800000000005"/>
    <x v="2"/>
    <x v="4"/>
    <n v="2019"/>
  </r>
  <r>
    <s v="399-69-4630"/>
    <n v="6"/>
    <s v="Electronic accessories"/>
    <x v="2"/>
    <n v="6.6630000000000003"/>
    <x v="1"/>
    <x v="1"/>
    <n v="22.21"/>
    <n v="133.26"/>
    <n v="139.923"/>
    <x v="5"/>
    <x v="3"/>
    <n v="2019"/>
  </r>
  <r>
    <s v="134-75-2619"/>
    <n v="7"/>
    <s v="Electronic accessories"/>
    <x v="1"/>
    <n v="6.7620000000000005"/>
    <x v="0"/>
    <x v="1"/>
    <n v="19.32"/>
    <n v="135.24"/>
    <n v="142.00200000000001"/>
    <x v="4"/>
    <x v="3"/>
    <n v="2019"/>
  </r>
  <r>
    <s v="356-44-8813"/>
    <n v="3"/>
    <s v="Home and lifestyle"/>
    <x v="2"/>
    <n v="5.6219999999999999"/>
    <x v="2"/>
    <x v="2"/>
    <n v="37.479999999999997"/>
    <n v="112.44"/>
    <n v="118.062"/>
    <x v="19"/>
    <x v="2"/>
    <n v="2019"/>
  </r>
  <r>
    <s v="198-66-9832"/>
    <n v="2"/>
    <s v="Fashion accessories"/>
    <x v="1"/>
    <n v="7.2040000000000006"/>
    <x v="2"/>
    <x v="5"/>
    <n v="72.040000000000006"/>
    <n v="144.08000000000001"/>
    <n v="151.28399999999999"/>
    <x v="9"/>
    <x v="4"/>
    <n v="2019"/>
  </r>
  <r>
    <s v="283-26-5248"/>
    <n v="10"/>
    <s v="Food and beverages"/>
    <x v="0"/>
    <n v="49.260000000000005"/>
    <x v="1"/>
    <x v="4"/>
    <n v="98.52"/>
    <n v="985.2"/>
    <n v="1034.46"/>
    <x v="8"/>
    <x v="2"/>
    <n v="2019"/>
  </r>
  <r>
    <s v="712-39-0363"/>
    <n v="6"/>
    <s v="Food and beverages"/>
    <x v="0"/>
    <n v="12.498000000000001"/>
    <x v="0"/>
    <x v="4"/>
    <n v="41.66"/>
    <n v="249.96"/>
    <n v="262.45800000000003"/>
    <x v="2"/>
    <x v="2"/>
    <n v="2019"/>
  </r>
  <r>
    <s v="218-59-9410"/>
    <n v="3"/>
    <s v="Home and lifestyle"/>
    <x v="0"/>
    <n v="10.863"/>
    <x v="0"/>
    <x v="2"/>
    <n v="72.42"/>
    <n v="217.26"/>
    <n v="228.12299999999999"/>
    <x v="14"/>
    <x v="3"/>
    <n v="2019"/>
  </r>
  <r>
    <s v="174-75-0888"/>
    <n v="9"/>
    <s v="Electronic accessories"/>
    <x v="1"/>
    <n v="9.7110000000000003"/>
    <x v="2"/>
    <x v="1"/>
    <n v="21.58"/>
    <n v="194.22"/>
    <n v="203.93100000000001"/>
    <x v="14"/>
    <x v="4"/>
    <n v="2019"/>
  </r>
  <r>
    <s v="866-99-7614"/>
    <n v="10"/>
    <s v="Food and beverages"/>
    <x v="2"/>
    <n v="44.6"/>
    <x v="1"/>
    <x v="4"/>
    <n v="89.2"/>
    <n v="892"/>
    <n v="936.6"/>
    <x v="11"/>
    <x v="2"/>
    <n v="2019"/>
  </r>
  <r>
    <s v="134-54-4720"/>
    <n v="8"/>
    <s v="Electronic accessories"/>
    <x v="0"/>
    <n v="16.968"/>
    <x v="2"/>
    <x v="1"/>
    <n v="42.42"/>
    <n v="339.36"/>
    <n v="356.32799999999997"/>
    <x v="17"/>
    <x v="2"/>
    <n v="2019"/>
  </r>
  <r>
    <s v="760-90-2357"/>
    <n v="6"/>
    <s v="Electronic accessories"/>
    <x v="0"/>
    <n v="22.353000000000002"/>
    <x v="0"/>
    <x v="1"/>
    <n v="74.510000000000005"/>
    <n v="447.06"/>
    <n v="469.41300000000001"/>
    <x v="4"/>
    <x v="4"/>
    <n v="2019"/>
  </r>
  <r>
    <s v="514-37-2845"/>
    <n v="2"/>
    <s v="Fashion accessories"/>
    <x v="1"/>
    <n v="9.9250000000000007"/>
    <x v="2"/>
    <x v="5"/>
    <n v="99.25"/>
    <n v="198.5"/>
    <n v="208.42500000000001"/>
    <x v="8"/>
    <x v="4"/>
    <n v="2019"/>
  </r>
  <r>
    <s v="698-98-5964"/>
    <n v="10"/>
    <s v="Food and beverages"/>
    <x v="2"/>
    <n v="40.605000000000004"/>
    <x v="0"/>
    <x v="4"/>
    <n v="81.209999999999994"/>
    <n v="812.1"/>
    <n v="852.70500000000004"/>
    <x v="3"/>
    <x v="4"/>
    <n v="2019"/>
  </r>
  <r>
    <s v="718-57-9773"/>
    <n v="10"/>
    <s v="Sports and travel"/>
    <x v="2"/>
    <n v="24.665000000000003"/>
    <x v="1"/>
    <x v="3"/>
    <n v="49.33"/>
    <n v="493.3"/>
    <n v="517.96500000000003"/>
    <x v="16"/>
    <x v="3"/>
    <n v="2019"/>
  </r>
  <r>
    <s v="651-88-7328"/>
    <n v="9"/>
    <s v="Fashion accessories"/>
    <x v="1"/>
    <n v="29.582999999999998"/>
    <x v="0"/>
    <x v="5"/>
    <n v="65.739999999999995"/>
    <n v="591.66"/>
    <n v="621.24300000000005"/>
    <x v="14"/>
    <x v="4"/>
    <n v="2019"/>
  </r>
  <r>
    <s v="241-11-2261"/>
    <n v="7"/>
    <s v="Fashion accessories"/>
    <x v="2"/>
    <n v="27.951000000000001"/>
    <x v="2"/>
    <x v="5"/>
    <n v="79.86"/>
    <n v="559.02"/>
    <n v="586.971"/>
    <x v="18"/>
    <x v="2"/>
    <n v="2019"/>
  </r>
  <r>
    <s v="408-26-9866"/>
    <n v="7"/>
    <s v="Sports and travel"/>
    <x v="0"/>
    <n v="25.893000000000001"/>
    <x v="1"/>
    <x v="3"/>
    <n v="73.98"/>
    <n v="517.86"/>
    <n v="543.75300000000004"/>
    <x v="14"/>
    <x v="2"/>
    <n v="2019"/>
  </r>
  <r>
    <s v="834-83-1826"/>
    <n v="5"/>
    <s v="Home and lifestyle"/>
    <x v="2"/>
    <n v="20.51"/>
    <x v="2"/>
    <x v="2"/>
    <n v="82.04"/>
    <n v="410.2"/>
    <n v="430.71"/>
    <x v="19"/>
    <x v="2"/>
    <n v="2019"/>
  </r>
  <r>
    <s v="343-61-3544"/>
    <n v="10"/>
    <s v="Sports and travel"/>
    <x v="1"/>
    <n v="13.335000000000001"/>
    <x v="2"/>
    <x v="3"/>
    <n v="26.67"/>
    <n v="266.7"/>
    <n v="280.03500000000003"/>
    <x v="17"/>
    <x v="3"/>
    <n v="2019"/>
  </r>
  <r>
    <s v="239-48-4278"/>
    <n v="7"/>
    <s v="Food and beverages"/>
    <x v="0"/>
    <n v="3.5455000000000001"/>
    <x v="0"/>
    <x v="4"/>
    <n v="10.130000000000001"/>
    <n v="70.91"/>
    <n v="74.455500000000001"/>
    <x v="16"/>
    <x v="3"/>
    <n v="2019"/>
  </r>
  <r>
    <s v="355-34-6244"/>
    <n v="2"/>
    <s v="Food and beverages"/>
    <x v="2"/>
    <n v="7.2390000000000008"/>
    <x v="2"/>
    <x v="4"/>
    <n v="72.39"/>
    <n v="144.78"/>
    <n v="152.01900000000001"/>
    <x v="3"/>
    <x v="2"/>
    <n v="2019"/>
  </r>
  <r>
    <s v="550-84-8664"/>
    <n v="5"/>
    <s v="Sports and travel"/>
    <x v="2"/>
    <n v="21.477500000000003"/>
    <x v="0"/>
    <x v="3"/>
    <n v="85.91"/>
    <n v="429.55"/>
    <n v="451.02749999999997"/>
    <x v="17"/>
    <x v="3"/>
    <n v="2019"/>
  </r>
  <r>
    <s v="339-96-8318"/>
    <n v="7"/>
    <s v="Fashion accessories"/>
    <x v="0"/>
    <n v="28.458500000000001"/>
    <x v="2"/>
    <x v="5"/>
    <n v="81.31"/>
    <n v="569.16999999999996"/>
    <n v="597.62850000000003"/>
    <x v="17"/>
    <x v="4"/>
    <n v="2019"/>
  </r>
  <r>
    <s v="458-61-0011"/>
    <n v="4"/>
    <s v="Food and beverages"/>
    <x v="1"/>
    <n v="12.06"/>
    <x v="2"/>
    <x v="4"/>
    <n v="60.3"/>
    <n v="241.2"/>
    <n v="253.26"/>
    <x v="14"/>
    <x v="3"/>
    <n v="2019"/>
  </r>
  <r>
    <s v="592-34-6155"/>
    <n v="4"/>
    <s v="Food and beverages"/>
    <x v="0"/>
    <n v="6.3540000000000001"/>
    <x v="1"/>
    <x v="4"/>
    <n v="31.77"/>
    <n v="127.08"/>
    <n v="133.434"/>
    <x v="12"/>
    <x v="3"/>
    <n v="2019"/>
  </r>
  <r>
    <s v="797-88-0493"/>
    <n v="4"/>
    <s v="Health and beauty"/>
    <x v="1"/>
    <n v="12.853999999999999"/>
    <x v="0"/>
    <x v="0"/>
    <n v="64.27"/>
    <n v="257.08"/>
    <n v="269.93400000000003"/>
    <x v="15"/>
    <x v="2"/>
    <n v="2019"/>
  </r>
  <r>
    <s v="207-73-1363"/>
    <n v="2"/>
    <s v="Health and beauty"/>
    <x v="0"/>
    <n v="6.9510000000000005"/>
    <x v="2"/>
    <x v="0"/>
    <n v="69.510000000000005"/>
    <n v="139.02000000000001"/>
    <n v="145.971"/>
    <x v="12"/>
    <x v="3"/>
    <n v="2019"/>
  </r>
  <r>
    <s v="390-31-6381"/>
    <n v="3"/>
    <s v="Food and beverages"/>
    <x v="1"/>
    <n v="4.0830000000000002"/>
    <x v="1"/>
    <x v="4"/>
    <n v="27.22"/>
    <n v="81.66"/>
    <n v="85.742999999999995"/>
    <x v="18"/>
    <x v="4"/>
    <n v="2019"/>
  </r>
  <r>
    <s v="443-82-0585"/>
    <n v="4"/>
    <s v="Health and beauty"/>
    <x v="1"/>
    <n v="15.536000000000001"/>
    <x v="0"/>
    <x v="0"/>
    <n v="77.680000000000007"/>
    <n v="310.72000000000003"/>
    <n v="326.25599999999997"/>
    <x v="6"/>
    <x v="2"/>
    <n v="2019"/>
  </r>
  <r>
    <s v="339-18-7061"/>
    <n v="2"/>
    <s v="Fashion accessories"/>
    <x v="2"/>
    <n v="9.298"/>
    <x v="1"/>
    <x v="5"/>
    <n v="92.98"/>
    <n v="185.96"/>
    <n v="195.25800000000001"/>
    <x v="11"/>
    <x v="3"/>
    <n v="2019"/>
  </r>
  <r>
    <s v="359-90-3665"/>
    <n v="4"/>
    <s v="Fashion accessories"/>
    <x v="2"/>
    <n v="3.6159999999999997"/>
    <x v="2"/>
    <x v="5"/>
    <n v="18.079999999999998"/>
    <n v="72.319999999999993"/>
    <n v="75.936000000000007"/>
    <x v="10"/>
    <x v="2"/>
    <n v="2019"/>
  </r>
  <r>
    <s v="375-72-3056"/>
    <n v="3"/>
    <s v="Sports and travel"/>
    <x v="0"/>
    <n v="9.4590000000000014"/>
    <x v="2"/>
    <x v="3"/>
    <n v="63.06"/>
    <n v="189.18"/>
    <n v="198.63900000000001"/>
    <x v="4"/>
    <x v="3"/>
    <n v="2019"/>
  </r>
  <r>
    <s v="127-47-6963"/>
    <n v="4"/>
    <s v="Health and beauty"/>
    <x v="2"/>
    <n v="10.342000000000001"/>
    <x v="0"/>
    <x v="0"/>
    <n v="51.71"/>
    <n v="206.84"/>
    <n v="217.18199999999999"/>
    <x v="10"/>
    <x v="4"/>
    <n v="2019"/>
  </r>
  <r>
    <s v="278-86-2735"/>
    <n v="3"/>
    <s v="Food and beverages"/>
    <x v="1"/>
    <n v="7.8510000000000009"/>
    <x v="0"/>
    <x v="4"/>
    <n v="52.34"/>
    <n v="157.02000000000001"/>
    <n v="164.87100000000001"/>
    <x v="18"/>
    <x v="4"/>
    <n v="2019"/>
  </r>
  <r>
    <s v="695-28-6250"/>
    <n v="5"/>
    <s v="Sports and travel"/>
    <x v="0"/>
    <n v="10.765000000000001"/>
    <x v="0"/>
    <x v="3"/>
    <n v="43.06"/>
    <n v="215.3"/>
    <n v="226.065"/>
    <x v="6"/>
    <x v="3"/>
    <n v="2019"/>
  </r>
  <r>
    <s v="379-17-6588"/>
    <n v="10"/>
    <s v="Fashion accessories"/>
    <x v="1"/>
    <n v="29.805000000000003"/>
    <x v="1"/>
    <x v="5"/>
    <n v="59.61"/>
    <n v="596.1"/>
    <n v="625.90499999999997"/>
    <x v="10"/>
    <x v="4"/>
    <n v="2019"/>
  </r>
  <r>
    <s v="227-50-3718"/>
    <n v="5"/>
    <s v="Health and beauty"/>
    <x v="1"/>
    <n v="3.6549999999999998"/>
    <x v="0"/>
    <x v="0"/>
    <n v="14.62"/>
    <n v="73.099999999999994"/>
    <n v="76.754999999999995"/>
    <x v="18"/>
    <x v="4"/>
    <n v="2019"/>
  </r>
  <r>
    <s v="302-15-2162"/>
    <n v="6"/>
    <s v="Health and beauty"/>
    <x v="2"/>
    <n v="13.959000000000001"/>
    <x v="1"/>
    <x v="0"/>
    <n v="46.53"/>
    <n v="279.18"/>
    <n v="293.13900000000001"/>
    <x v="1"/>
    <x v="2"/>
    <n v="2019"/>
  </r>
  <r>
    <s v="560-49-6611"/>
    <n v="1"/>
    <s v="Sports and travel"/>
    <x v="1"/>
    <n v="2.2789999999999999"/>
    <x v="0"/>
    <x v="3"/>
    <n v="45.58"/>
    <n v="45.58"/>
    <n v="47.859000000000002"/>
    <x v="21"/>
    <x v="5"/>
    <n v="2019"/>
  </r>
  <r>
    <s v="880-35-0356"/>
    <n v="3"/>
    <s v="Sports and travel"/>
    <x v="0"/>
    <n v="11.280000000000001"/>
    <x v="0"/>
    <x v="3"/>
    <n v="75.2"/>
    <n v="225.6"/>
    <n v="236.88"/>
    <x v="21"/>
    <x v="0"/>
    <n v="2019"/>
  </r>
  <r>
    <s v="470-31-3286"/>
    <n v="3"/>
    <s v="Health and beauty"/>
    <x v="2"/>
    <n v="2.2230000000000003"/>
    <x v="2"/>
    <x v="0"/>
    <n v="14.82"/>
    <n v="44.46"/>
    <n v="46.683"/>
    <x v="1"/>
    <x v="3"/>
    <n v="2019"/>
  </r>
  <r>
    <s v="484-22-8230"/>
    <n v="7"/>
    <s v="Fashion accessories"/>
    <x v="1"/>
    <n v="18.1615"/>
    <x v="1"/>
    <x v="5"/>
    <n v="51.89"/>
    <n v="363.23"/>
    <n v="381.39150000000001"/>
    <x v="0"/>
    <x v="1"/>
    <n v="2019"/>
  </r>
  <r>
    <s v="830-58-2383"/>
    <n v="4"/>
    <s v="Home and lifestyle"/>
    <x v="1"/>
    <n v="6.3500000000000005"/>
    <x v="2"/>
    <x v="2"/>
    <n v="31.75"/>
    <n v="127"/>
    <n v="133.35"/>
    <x v="21"/>
    <x v="1"/>
    <n v="2019"/>
  </r>
  <r>
    <s v="559-98-9873"/>
    <n v="7"/>
    <s v="Fashion accessories"/>
    <x v="0"/>
    <n v="18.7775"/>
    <x v="0"/>
    <x v="5"/>
    <n v="53.65"/>
    <n v="375.55"/>
    <n v="394.32749999999999"/>
    <x v="21"/>
    <x v="6"/>
    <n v="2019"/>
  </r>
  <r>
    <s v="421-95-9805"/>
    <n v="1"/>
    <s v="Electronic accessories"/>
    <x v="2"/>
    <n v="1.4480000000000002"/>
    <x v="0"/>
    <x v="1"/>
    <n v="28.96"/>
    <n v="28.96"/>
    <n v="30.408000000000001"/>
    <x v="21"/>
    <x v="5"/>
    <n v="2019"/>
  </r>
  <r>
    <s v="277-35-5865"/>
    <n v="9"/>
    <s v="Food and beverages"/>
    <x v="1"/>
    <n v="44.536500000000004"/>
    <x v="1"/>
    <x v="4"/>
    <n v="98.97"/>
    <n v="890.73"/>
    <n v="935.26649999999995"/>
    <x v="1"/>
    <x v="7"/>
    <n v="2019"/>
  </r>
  <r>
    <s v="443-59-0061"/>
    <n v="10"/>
    <s v="Food and beverages"/>
    <x v="0"/>
    <n v="33.725000000000001"/>
    <x v="0"/>
    <x v="4"/>
    <n v="67.45"/>
    <n v="674.5"/>
    <n v="708.22500000000002"/>
    <x v="21"/>
    <x v="2"/>
    <n v="2019"/>
  </r>
  <r>
    <s v="641-96-3695"/>
    <n v="6"/>
    <s v="Fashion accessories"/>
    <x v="0"/>
    <n v="13.038"/>
    <x v="1"/>
    <x v="5"/>
    <n v="43.46"/>
    <n v="260.76"/>
    <n v="273.798"/>
    <x v="21"/>
    <x v="5"/>
    <n v="2019"/>
  </r>
  <r>
    <s v="852-62-7105"/>
    <n v="10"/>
    <s v="Fashion accessories"/>
    <x v="2"/>
    <n v="41.625"/>
    <x v="2"/>
    <x v="5"/>
    <n v="83.25"/>
    <n v="832.5"/>
    <n v="874.125"/>
    <x v="0"/>
    <x v="8"/>
    <n v="2019"/>
  </r>
  <r>
    <s v="816-57-2053"/>
    <n v="2"/>
    <s v="Sports and travel"/>
    <x v="0"/>
    <n v="6.0869999999999997"/>
    <x v="0"/>
    <x v="3"/>
    <n v="60.87"/>
    <n v="121.74"/>
    <n v="127.827"/>
    <x v="1"/>
    <x v="7"/>
    <n v="2019"/>
  </r>
  <r>
    <s v="655-07-2265"/>
    <n v="3"/>
    <s v="Electronic accessories"/>
    <x v="0"/>
    <n v="11.746500000000001"/>
    <x v="0"/>
    <x v="1"/>
    <n v="78.31"/>
    <n v="234.93"/>
    <n v="246.6765"/>
    <x v="1"/>
    <x v="0"/>
    <n v="2019"/>
  </r>
  <r>
    <s v="610-46-4100"/>
    <n v="7"/>
    <s v="Health and beauty"/>
    <x v="2"/>
    <n v="10.1325"/>
    <x v="0"/>
    <x v="0"/>
    <n v="28.95"/>
    <n v="202.65"/>
    <n v="212.7825"/>
    <x v="1"/>
    <x v="2"/>
    <n v="2019"/>
  </r>
  <r>
    <s v="364-33-8584"/>
    <n v="5"/>
    <s v="Food and beverages"/>
    <x v="1"/>
    <n v="4.4075000000000006"/>
    <x v="2"/>
    <x v="4"/>
    <n v="17.63"/>
    <n v="88.15"/>
    <n v="92.557500000000005"/>
    <x v="1"/>
    <x v="1"/>
    <n v="2019"/>
  </r>
  <r>
    <s v="742-04-5161"/>
    <n v="10"/>
    <s v="Home and lifestyle"/>
    <x v="1"/>
    <n v="36.39"/>
    <x v="0"/>
    <x v="2"/>
    <n v="72.78"/>
    <n v="727.8"/>
    <n v="764.19"/>
    <x v="21"/>
    <x v="2"/>
    <n v="2019"/>
  </r>
  <r>
    <s v="149-15-7606"/>
    <n v="9"/>
    <s v="Sports and travel"/>
    <x v="0"/>
    <n v="16.794"/>
    <x v="2"/>
    <x v="3"/>
    <n v="37.32"/>
    <n v="335.88"/>
    <n v="352.67399999999998"/>
    <x v="1"/>
    <x v="9"/>
    <n v="2019"/>
  </r>
  <r>
    <s v="322-02-2271"/>
    <n v="3"/>
    <s v="Sports and travel"/>
    <x v="1"/>
    <n v="6.4455"/>
    <x v="2"/>
    <x v="3"/>
    <n v="42.97"/>
    <n v="128.91"/>
    <n v="135.35550000000001"/>
    <x v="21"/>
    <x v="2"/>
    <n v="2019"/>
  </r>
  <r>
    <s v="641-51-2661"/>
    <n v="10"/>
    <s v="Food and beverages"/>
    <x v="2"/>
    <n v="43.550000000000004"/>
    <x v="1"/>
    <x v="4"/>
    <n v="87.1"/>
    <n v="871"/>
    <n v="914.55"/>
    <x v="21"/>
    <x v="8"/>
    <n v="2019"/>
  </r>
  <r>
    <s v="518-17-2983"/>
    <n v="4"/>
    <s v="Fashion accessories"/>
    <x v="0"/>
    <n v="9.7260000000000009"/>
    <x v="0"/>
    <x v="5"/>
    <n v="48.63"/>
    <n v="194.52"/>
    <n v="204.24600000000001"/>
    <x v="21"/>
    <x v="10"/>
    <n v="2019"/>
  </r>
  <r>
    <s v="576-31-4774"/>
    <n v="3"/>
    <s v="Health and beauty"/>
    <x v="0"/>
    <n v="11.0115"/>
    <x v="2"/>
    <x v="0"/>
    <n v="73.41"/>
    <n v="220.23"/>
    <n v="231.2415"/>
    <x v="1"/>
    <x v="4"/>
    <n v="2019"/>
  </r>
  <r>
    <s v="811-03-8790"/>
    <n v="10"/>
    <s v="Electronic accessories"/>
    <x v="2"/>
    <n v="22.740000000000002"/>
    <x v="0"/>
    <x v="1"/>
    <n v="45.48"/>
    <n v="454.8"/>
    <n v="477.54"/>
    <x v="1"/>
    <x v="3"/>
    <n v="2019"/>
  </r>
  <r>
    <s v="648-94-3045"/>
    <n v="10"/>
    <s v="Health and beauty"/>
    <x v="0"/>
    <n v="29.475000000000001"/>
    <x v="1"/>
    <x v="0"/>
    <n v="58.95"/>
    <n v="589.5"/>
    <n v="618.97500000000002"/>
    <x v="21"/>
    <x v="5"/>
    <n v="2019"/>
  </r>
  <r>
    <s v="130-67-4723"/>
    <n v="6"/>
    <s v="Food and beverages"/>
    <x v="0"/>
    <n v="14.55"/>
    <x v="0"/>
    <x v="4"/>
    <n v="48.5"/>
    <n v="291"/>
    <n v="305.55"/>
    <x v="0"/>
    <x v="11"/>
    <n v="2019"/>
  </r>
  <r>
    <s v="528-87-5606"/>
    <n v="1"/>
    <s v="Electronic accessories"/>
    <x v="1"/>
    <n v="1.974"/>
    <x v="2"/>
    <x v="1"/>
    <n v="39.479999999999997"/>
    <n v="39.479999999999997"/>
    <n v="41.454000000000001"/>
    <x v="21"/>
    <x v="8"/>
    <n v="2019"/>
  </r>
  <r>
    <s v="370-96-0655"/>
    <n v="6"/>
    <s v="Fashion accessories"/>
    <x v="0"/>
    <n v="14.796000000000001"/>
    <x v="1"/>
    <x v="5"/>
    <n v="49.32"/>
    <n v="295.92"/>
    <n v="310.71600000000001"/>
    <x v="0"/>
    <x v="7"/>
    <n v="2019"/>
  </r>
  <r>
    <s v="241-96-5076"/>
    <n v="2"/>
    <s v="Home and lifestyle"/>
    <x v="2"/>
    <n v="4.91"/>
    <x v="2"/>
    <x v="2"/>
    <n v="49.1"/>
    <n v="98.2"/>
    <n v="103.11"/>
    <x v="0"/>
    <x v="1"/>
    <n v="2019"/>
  </r>
  <r>
    <s v="767-97-4650"/>
    <n v="2"/>
    <s v="Sports and travel"/>
    <x v="2"/>
    <n v="6.4830000000000005"/>
    <x v="2"/>
    <x v="3"/>
    <n v="64.83"/>
    <n v="129.66"/>
    <n v="136.143"/>
    <x v="0"/>
    <x v="1"/>
    <n v="2019"/>
  </r>
  <r>
    <s v="266-20-6657"/>
    <n v="7"/>
    <s v="Food and beverages"/>
    <x v="0"/>
    <n v="19.263999999999999"/>
    <x v="1"/>
    <x v="4"/>
    <n v="55.04"/>
    <n v="385.28"/>
    <n v="404.54399999999998"/>
    <x v="1"/>
    <x v="8"/>
    <n v="2019"/>
  </r>
  <r>
    <s v="689-05-1884"/>
    <n v="10"/>
    <s v="Health and beauty"/>
    <x v="1"/>
    <n v="24.315000000000001"/>
    <x v="0"/>
    <x v="0"/>
    <n v="48.63"/>
    <n v="486.3"/>
    <n v="510.61500000000001"/>
    <x v="1"/>
    <x v="10"/>
    <n v="2019"/>
  </r>
  <r>
    <s v="196-01-2849"/>
    <n v="7"/>
    <s v="Fashion accessories"/>
    <x v="1"/>
    <n v="25.683"/>
    <x v="1"/>
    <x v="5"/>
    <n v="73.38"/>
    <n v="513.66"/>
    <n v="539.34299999999996"/>
    <x v="21"/>
    <x v="6"/>
    <n v="2019"/>
  </r>
  <r>
    <s v="182-52-7000"/>
    <n v="4"/>
    <s v="Sports and travel"/>
    <x v="0"/>
    <n v="5.4080000000000004"/>
    <x v="0"/>
    <x v="3"/>
    <n v="27.04"/>
    <n v="108.16"/>
    <n v="113.568"/>
    <x v="0"/>
    <x v="3"/>
    <n v="2019"/>
  </r>
  <r>
    <s v="826-58-8051"/>
    <n v="4"/>
    <s v="Home and lifestyle"/>
    <x v="0"/>
    <n v="12.438000000000001"/>
    <x v="2"/>
    <x v="2"/>
    <n v="62.19"/>
    <n v="248.76"/>
    <n v="261.19799999999998"/>
    <x v="0"/>
    <x v="9"/>
    <n v="2019"/>
  </r>
  <r>
    <s v="751-41-9720"/>
    <n v="10"/>
    <s v="Home and lifestyle"/>
    <x v="0"/>
    <n v="48.75"/>
    <x v="1"/>
    <x v="2"/>
    <n v="97.5"/>
    <n v="975"/>
    <n v="1023.75"/>
    <x v="0"/>
    <x v="8"/>
    <n v="2019"/>
  </r>
  <r>
    <s v="626-43-7888"/>
    <n v="8"/>
    <s v="Fashion accessories"/>
    <x v="0"/>
    <n v="24.164000000000001"/>
    <x v="1"/>
    <x v="5"/>
    <n v="60.41"/>
    <n v="483.28"/>
    <n v="507.44400000000002"/>
    <x v="21"/>
    <x v="5"/>
    <n v="2019"/>
  </r>
  <r>
    <s v="729-06-2010"/>
    <n v="9"/>
    <s v="Health and beauty"/>
    <x v="1"/>
    <n v="36.211500000000001"/>
    <x v="2"/>
    <x v="0"/>
    <n v="80.47"/>
    <n v="724.23"/>
    <n v="760.44150000000002"/>
    <x v="0"/>
    <x v="9"/>
    <n v="2019"/>
  </r>
  <r>
    <s v="640-48-5028"/>
    <n v="9"/>
    <s v="Home and lifestyle"/>
    <x v="1"/>
    <n v="39.775500000000001"/>
    <x v="2"/>
    <x v="2"/>
    <n v="88.39"/>
    <n v="795.51"/>
    <n v="835.28549999999996"/>
    <x v="1"/>
    <x v="4"/>
    <n v="2019"/>
  </r>
  <r>
    <s v="268-20-3585"/>
    <n v="9"/>
    <s v="Health and beauty"/>
    <x v="0"/>
    <n v="6.2325000000000008"/>
    <x v="1"/>
    <x v="0"/>
    <n v="13.85"/>
    <n v="124.65"/>
    <n v="130.88249999999999"/>
    <x v="21"/>
    <x v="10"/>
    <n v="2019"/>
  </r>
  <r>
    <s v="258-92-7466"/>
    <n v="5"/>
    <s v="Health and beauty"/>
    <x v="2"/>
    <n v="8.92"/>
    <x v="0"/>
    <x v="0"/>
    <n v="35.68"/>
    <n v="178.4"/>
    <n v="187.32"/>
    <x v="21"/>
    <x v="9"/>
    <n v="2019"/>
  </r>
  <r>
    <s v="418-05-0656"/>
    <n v="7"/>
    <s v="Fashion accessories"/>
    <x v="1"/>
    <n v="8.9459999999999997"/>
    <x v="2"/>
    <x v="5"/>
    <n v="25.56"/>
    <n v="178.92"/>
    <n v="187.86600000000001"/>
    <x v="21"/>
    <x v="4"/>
    <n v="2019"/>
  </r>
  <r>
    <s v="592-46-1692"/>
    <n v="7"/>
    <s v="Food and beverages"/>
    <x v="1"/>
    <n v="12.8695"/>
    <x v="1"/>
    <x v="4"/>
    <n v="36.770000000000003"/>
    <n v="257.39"/>
    <n v="270.2595"/>
    <x v="0"/>
    <x v="11"/>
    <n v="2019"/>
  </r>
  <r>
    <s v="434-35-9162"/>
    <n v="4"/>
    <s v="Food and beverages"/>
    <x v="0"/>
    <n v="4.6680000000000001"/>
    <x v="2"/>
    <x v="4"/>
    <n v="23.34"/>
    <n v="93.36"/>
    <n v="98.028000000000006"/>
    <x v="21"/>
    <x v="10"/>
    <n v="2019"/>
  </r>
  <r>
    <s v="149-14-0304"/>
    <n v="8"/>
    <s v="Health and beauty"/>
    <x v="1"/>
    <n v="11.4"/>
    <x v="1"/>
    <x v="0"/>
    <n v="28.5"/>
    <n v="228"/>
    <n v="239.4"/>
    <x v="21"/>
    <x v="9"/>
    <n v="2019"/>
  </r>
  <r>
    <s v="442-44-6497"/>
    <n v="3"/>
    <s v="Home and lifestyle"/>
    <x v="2"/>
    <n v="8.3355000000000015"/>
    <x v="1"/>
    <x v="2"/>
    <n v="55.57"/>
    <n v="166.71"/>
    <n v="175.0455"/>
    <x v="0"/>
    <x v="1"/>
    <n v="2019"/>
  </r>
  <r>
    <s v="174-64-0215"/>
    <n v="10"/>
    <s v="Sports and travel"/>
    <x v="2"/>
    <n v="34.869999999999997"/>
    <x v="2"/>
    <x v="3"/>
    <n v="69.739999999999995"/>
    <n v="697.4"/>
    <n v="732.27"/>
    <x v="1"/>
    <x v="0"/>
    <n v="2019"/>
  </r>
  <r>
    <s v="299-29-0180"/>
    <n v="7"/>
    <s v="Home and lifestyle"/>
    <x v="1"/>
    <n v="18.263000000000002"/>
    <x v="2"/>
    <x v="2"/>
    <n v="52.18"/>
    <n v="365.26"/>
    <n v="383.52300000000002"/>
    <x v="1"/>
    <x v="7"/>
    <n v="2019"/>
  </r>
  <r>
    <s v="247-11-2470"/>
    <n v="4"/>
    <s v="Fashion accessories"/>
    <x v="2"/>
    <n v="4.4640000000000004"/>
    <x v="0"/>
    <x v="5"/>
    <n v="22.32"/>
    <n v="89.28"/>
    <n v="93.744"/>
    <x v="1"/>
    <x v="3"/>
    <n v="2019"/>
  </r>
  <r>
    <s v="756-49-0168"/>
    <n v="1"/>
    <s v="Fashion accessories"/>
    <x v="0"/>
    <n v="0.98499999999999999"/>
    <x v="0"/>
    <x v="5"/>
    <n v="19.7"/>
    <n v="19.7"/>
    <n v="20.684999999999999"/>
    <x v="21"/>
    <x v="1"/>
    <n v="2019"/>
  </r>
  <r>
    <s v="238-45-6950"/>
    <n v="1"/>
    <s v="Food and beverages"/>
    <x v="0"/>
    <n v="2.6859999999999999"/>
    <x v="2"/>
    <x v="4"/>
    <n v="53.72"/>
    <n v="53.72"/>
    <n v="56.405999999999999"/>
    <x v="1"/>
    <x v="3"/>
    <n v="2019"/>
  </r>
  <r>
    <s v="607-65-2441"/>
    <n v="10"/>
    <s v="Health and beauty"/>
    <x v="2"/>
    <n v="40.975000000000001"/>
    <x v="1"/>
    <x v="0"/>
    <n v="81.95"/>
    <n v="819.5"/>
    <n v="860.47500000000002"/>
    <x v="1"/>
    <x v="6"/>
    <n v="2019"/>
  </r>
  <r>
    <s v="197-77-7132"/>
    <n v="8"/>
    <s v="Electronic accessories"/>
    <x v="0"/>
    <n v="36.624000000000002"/>
    <x v="2"/>
    <x v="1"/>
    <n v="91.56"/>
    <n v="732.48"/>
    <n v="769.10400000000004"/>
    <x v="0"/>
    <x v="8"/>
    <n v="2019"/>
  </r>
  <r>
    <s v="373-14-0504"/>
    <n v="2"/>
    <s v="Sports and travel"/>
    <x v="0"/>
    <n v="7.1630000000000003"/>
    <x v="0"/>
    <x v="3"/>
    <n v="71.63"/>
    <n v="143.26"/>
    <n v="150.423"/>
    <x v="21"/>
    <x v="8"/>
    <n v="2019"/>
  </r>
  <r>
    <s v="345-68-9016"/>
    <n v="8"/>
    <s v="Sports and travel"/>
    <x v="2"/>
    <n v="12.668000000000001"/>
    <x v="1"/>
    <x v="3"/>
    <n v="31.67"/>
    <n v="253.36"/>
    <n v="266.02800000000002"/>
    <x v="0"/>
    <x v="4"/>
    <n v="2019"/>
  </r>
  <r>
    <s v="390-17-5806"/>
    <n v="1"/>
    <s v="Food and beverages"/>
    <x v="1"/>
    <n v="1.9210000000000003"/>
    <x v="1"/>
    <x v="4"/>
    <n v="38.42"/>
    <n v="38.42"/>
    <n v="40.341000000000001"/>
    <x v="21"/>
    <x v="4"/>
    <n v="2019"/>
  </r>
  <r>
    <s v="457-13-1708"/>
    <n v="10"/>
    <s v="Fashion accessories"/>
    <x v="2"/>
    <n v="32.615000000000002"/>
    <x v="2"/>
    <x v="5"/>
    <n v="65.23"/>
    <n v="652.29999999999995"/>
    <n v="684.91499999999996"/>
    <x v="0"/>
    <x v="1"/>
    <n v="2019"/>
  </r>
  <r>
    <s v="585-86-8361"/>
    <n v="5"/>
    <s v="Food and beverages"/>
    <x v="2"/>
    <n v="6.82"/>
    <x v="0"/>
    <x v="4"/>
    <n v="27.28"/>
    <n v="136.4"/>
    <n v="143.22"/>
    <x v="21"/>
    <x v="2"/>
    <n v="2019"/>
  </r>
  <r>
    <s v="652-43-6591"/>
    <n v="8"/>
    <s v="Fashion accessories"/>
    <x v="2"/>
    <n v="38.916000000000004"/>
    <x v="0"/>
    <x v="5"/>
    <n v="97.29"/>
    <n v="778.32"/>
    <n v="817.23599999999999"/>
    <x v="1"/>
    <x v="7"/>
    <n v="2019"/>
  </r>
  <r>
    <s v="406-46-7107"/>
    <n v="6"/>
    <s v="Home and lifestyle"/>
    <x v="1"/>
    <n v="28.956000000000003"/>
    <x v="0"/>
    <x v="2"/>
    <n v="96.52"/>
    <n v="579.12"/>
    <n v="608.07600000000002"/>
    <x v="0"/>
    <x v="11"/>
    <n v="2019"/>
  </r>
  <r>
    <s v="842-40-8179"/>
    <n v="10"/>
    <s v="Food and beverages"/>
    <x v="2"/>
    <n v="38.6"/>
    <x v="2"/>
    <x v="4"/>
    <n v="77.2"/>
    <n v="772"/>
    <n v="810.6"/>
    <x v="21"/>
    <x v="11"/>
    <n v="2019"/>
  </r>
  <r>
    <s v="593-14-4239"/>
    <n v="8"/>
    <s v="Home and lifestyle"/>
    <x v="0"/>
    <n v="38.183999999999997"/>
    <x v="2"/>
    <x v="2"/>
    <n v="95.46"/>
    <n v="763.68"/>
    <n v="801.86400000000003"/>
    <x v="1"/>
    <x v="0"/>
    <n v="2019"/>
  </r>
  <r>
    <s v="801-88-0346"/>
    <n v="3"/>
    <s v="Fashion accessories"/>
    <x v="2"/>
    <n v="11.409000000000001"/>
    <x v="1"/>
    <x v="5"/>
    <n v="76.06"/>
    <n v="228.18"/>
    <n v="239.589"/>
    <x v="0"/>
    <x v="0"/>
    <n v="2019"/>
  </r>
  <r>
    <s v="471-06-8611"/>
    <n v="1"/>
    <s v="Food and beverages"/>
    <x v="2"/>
    <n v="2.6210000000000004"/>
    <x v="1"/>
    <x v="4"/>
    <n v="52.42"/>
    <n v="52.42"/>
    <n v="55.040999999999997"/>
    <x v="21"/>
    <x v="9"/>
    <n v="2019"/>
  </r>
  <r>
    <s v="102-77-2261"/>
    <n v="7"/>
    <s v="Health and beauty"/>
    <x v="2"/>
    <n v="22.858500000000003"/>
    <x v="1"/>
    <x v="0"/>
    <n v="65.31"/>
    <n v="457.17"/>
    <n v="480.02850000000001"/>
    <x v="1"/>
    <x v="0"/>
    <n v="2019"/>
  </r>
  <r>
    <s v="875-31-8302"/>
    <n v="1"/>
    <s v="Sports and travel"/>
    <x v="1"/>
    <n v="4.6689999999999996"/>
    <x v="2"/>
    <x v="3"/>
    <n v="93.38"/>
    <n v="93.38"/>
    <n v="98.049000000000007"/>
    <x v="0"/>
    <x v="2"/>
    <n v="2019"/>
  </r>
  <r>
    <s v="534-53-3526"/>
    <n v="4"/>
    <s v="Sports and travel"/>
    <x v="0"/>
    <n v="18.952000000000002"/>
    <x v="0"/>
    <x v="3"/>
    <n v="94.76"/>
    <n v="379.04"/>
    <n v="397.99200000000002"/>
    <x v="21"/>
    <x v="11"/>
    <n v="2019"/>
  </r>
  <r>
    <s v="307-04-2070"/>
    <n v="1"/>
    <s v="Fashion accessories"/>
    <x v="2"/>
    <n v="1.5310000000000001"/>
    <x v="0"/>
    <x v="5"/>
    <n v="30.62"/>
    <n v="30.62"/>
    <n v="32.151000000000003"/>
    <x v="21"/>
    <x v="0"/>
    <n v="2019"/>
  </r>
  <r>
    <s v="468-99-7231"/>
    <n v="8"/>
    <s v="Home and lifestyle"/>
    <x v="1"/>
    <n v="17.603999999999999"/>
    <x v="1"/>
    <x v="2"/>
    <n v="44.01"/>
    <n v="352.08"/>
    <n v="369.68400000000003"/>
    <x v="1"/>
    <x v="2"/>
    <n v="2019"/>
  </r>
  <r>
    <s v="404-91-5964"/>
    <n v="7"/>
    <s v="Electronic accessories"/>
    <x v="2"/>
    <n v="26.102999999999998"/>
    <x v="0"/>
    <x v="1"/>
    <n v="74.58"/>
    <n v="522.05999999999995"/>
    <n v="548.16300000000001"/>
    <x v="21"/>
    <x v="10"/>
    <n v="2019"/>
  </r>
  <r>
    <s v="651-96-5970"/>
    <n v="1"/>
    <s v="Fashion accessories"/>
    <x v="2"/>
    <n v="2.3205"/>
    <x v="0"/>
    <x v="5"/>
    <n v="46.41"/>
    <n v="46.41"/>
    <n v="48.730499999999999"/>
    <x v="1"/>
    <x v="2"/>
    <n v="2019"/>
  </r>
  <r>
    <s v="401-09-4232"/>
    <n v="5"/>
    <s v="Home and lifestyle"/>
    <x v="0"/>
    <n v="21.672499999999999"/>
    <x v="1"/>
    <x v="2"/>
    <n v="86.69"/>
    <n v="433.45"/>
    <n v="455.1225"/>
    <x v="21"/>
    <x v="11"/>
    <n v="2019"/>
  </r>
  <r>
    <s v="751-15-6198"/>
    <n v="6"/>
    <s v="Sports and travel"/>
    <x v="0"/>
    <n v="6.9030000000000005"/>
    <x v="2"/>
    <x v="3"/>
    <n v="23.01"/>
    <n v="138.06"/>
    <n v="144.96299999999999"/>
    <x v="0"/>
    <x v="8"/>
    <n v="2019"/>
  </r>
  <r>
    <s v="324-41-6833"/>
    <n v="8"/>
    <s v="Electronic accessories"/>
    <x v="0"/>
    <n v="12.08"/>
    <x v="1"/>
    <x v="1"/>
    <n v="30.2"/>
    <n v="241.6"/>
    <n v="253.68"/>
    <x v="1"/>
    <x v="2"/>
    <n v="2019"/>
  </r>
  <r>
    <s v="759-29-9521"/>
    <n v="9"/>
    <s v="Fashion accessories"/>
    <x v="1"/>
    <n v="22.032"/>
    <x v="0"/>
    <x v="5"/>
    <n v="48.96"/>
    <n v="440.64"/>
    <n v="462.67200000000003"/>
    <x v="1"/>
    <x v="10"/>
    <n v="2019"/>
  </r>
  <r>
    <s v="257-60-7754"/>
    <n v="4"/>
    <s v="Electronic accessories"/>
    <x v="1"/>
    <n v="10.045999999999999"/>
    <x v="0"/>
    <x v="1"/>
    <n v="50.23"/>
    <n v="200.92"/>
    <n v="210.96600000000001"/>
    <x v="0"/>
    <x v="1"/>
    <n v="2019"/>
  </r>
  <r>
    <s v="815-04-6282"/>
    <n v="5"/>
    <s v="Sports and travel"/>
    <x v="2"/>
    <n v="16.242500000000003"/>
    <x v="1"/>
    <x v="3"/>
    <n v="64.97"/>
    <n v="324.85000000000002"/>
    <n v="341.09249999999997"/>
    <x v="21"/>
    <x v="1"/>
    <n v="2019"/>
  </r>
  <r>
    <s v="190-59-3964"/>
    <n v="5"/>
    <s v="Food and beverages"/>
    <x v="2"/>
    <n v="11.790000000000001"/>
    <x v="2"/>
    <x v="4"/>
    <n v="47.16"/>
    <n v="235.8"/>
    <n v="247.59"/>
    <x v="21"/>
    <x v="2"/>
    <n v="2019"/>
  </r>
  <r>
    <s v="784-21-9238"/>
    <n v="1"/>
    <s v="Sports and travel"/>
    <x v="1"/>
    <n v="0.50850000000000006"/>
    <x v="1"/>
    <x v="3"/>
    <n v="10.17"/>
    <n v="10.17"/>
    <n v="10.6785"/>
    <x v="21"/>
    <x v="5"/>
    <n v="2019"/>
  </r>
  <r>
    <s v="276-75-6884"/>
    <n v="3"/>
    <s v="Health and beauty"/>
    <x v="1"/>
    <n v="10.3065"/>
    <x v="0"/>
    <x v="0"/>
    <n v="68.709999999999994"/>
    <n v="206.13"/>
    <n v="216.4365"/>
    <x v="1"/>
    <x v="10"/>
    <n v="2019"/>
  </r>
  <r>
    <s v="416-17-9926"/>
    <n v="10"/>
    <s v="Electronic accessories"/>
    <x v="2"/>
    <n v="37.110000000000007"/>
    <x v="0"/>
    <x v="1"/>
    <n v="74.22"/>
    <n v="742.2"/>
    <n v="779.31"/>
    <x v="0"/>
    <x v="3"/>
    <n v="2019"/>
  </r>
  <r>
    <s v="343-75-9322"/>
    <n v="8"/>
    <s v="Sports and travel"/>
    <x v="1"/>
    <n v="4.74"/>
    <x v="2"/>
    <x v="3"/>
    <n v="11.85"/>
    <n v="94.8"/>
    <n v="99.54"/>
    <x v="0"/>
    <x v="7"/>
    <n v="2019"/>
  </r>
  <r>
    <s v="427-45-9297"/>
    <n v="7"/>
    <s v="Home and lifestyle"/>
    <x v="0"/>
    <n v="14.255500000000001"/>
    <x v="2"/>
    <x v="2"/>
    <n v="40.729999999999997"/>
    <n v="285.11"/>
    <n v="299.3655"/>
    <x v="1"/>
    <x v="8"/>
    <n v="2019"/>
  </r>
  <r>
    <s v="288-62-1085"/>
    <n v="5"/>
    <s v="Fashion accessories"/>
    <x v="0"/>
    <n v="9.6349999999999998"/>
    <x v="0"/>
    <x v="5"/>
    <n v="38.54"/>
    <n v="192.7"/>
    <n v="202.33500000000001"/>
    <x v="0"/>
    <x v="7"/>
    <n v="2019"/>
  </r>
  <r>
    <s v="670-71-7306"/>
    <n v="6"/>
    <s v="Sports and travel"/>
    <x v="2"/>
    <n v="13.388999999999999"/>
    <x v="2"/>
    <x v="3"/>
    <n v="44.63"/>
    <n v="267.77999999999997"/>
    <n v="281.16899999999998"/>
    <x v="0"/>
    <x v="4"/>
    <n v="2019"/>
  </r>
  <r>
    <s v="271-77-8740"/>
    <n v="6"/>
    <s v="Sports and travel"/>
    <x v="0"/>
    <n v="8.766"/>
    <x v="1"/>
    <x v="3"/>
    <n v="29.22"/>
    <n v="175.32"/>
    <n v="184.08600000000001"/>
    <x v="0"/>
    <x v="3"/>
    <n v="2019"/>
  </r>
  <r>
    <s v="860-73-6466"/>
    <n v="2"/>
    <s v="Sports and travel"/>
    <x v="2"/>
    <n v="3.9470000000000001"/>
    <x v="0"/>
    <x v="3"/>
    <n v="39.47"/>
    <n v="78.94"/>
    <n v="82.887"/>
    <x v="1"/>
    <x v="4"/>
    <n v="2019"/>
  </r>
  <r>
    <s v="845-94-6841"/>
    <n v="9"/>
    <s v="Food and beverages"/>
    <x v="1"/>
    <n v="32.795999999999999"/>
    <x v="1"/>
    <x v="4"/>
    <n v="72.88"/>
    <n v="655.92"/>
    <n v="688.71600000000001"/>
    <x v="0"/>
    <x v="1"/>
    <n v="2019"/>
  </r>
  <r>
    <s v="770-42-8960"/>
    <n v="8"/>
    <s v="Food and beverages"/>
    <x v="1"/>
    <n v="8.4480000000000004"/>
    <x v="2"/>
    <x v="4"/>
    <n v="21.12"/>
    <n v="168.96"/>
    <n v="177.40799999999999"/>
    <x v="0"/>
    <x v="3"/>
    <n v="2019"/>
  </r>
  <r>
    <s v="748-45-2862"/>
    <n v="4"/>
    <s v="Home and lifestyle"/>
    <x v="1"/>
    <n v="5.6619999999999999"/>
    <x v="0"/>
    <x v="2"/>
    <n v="28.31"/>
    <n v="113.24"/>
    <n v="118.902"/>
    <x v="1"/>
    <x v="5"/>
    <n v="2019"/>
  </r>
  <r>
    <s v="840-76-5966"/>
    <n v="2"/>
    <s v="Sports and travel"/>
    <x v="0"/>
    <n v="1.276"/>
    <x v="0"/>
    <x v="3"/>
    <n v="12.76"/>
    <n v="25.52"/>
    <n v="26.795999999999999"/>
    <x v="0"/>
    <x v="1"/>
    <n v="2019"/>
  </r>
  <r>
    <s v="533-66-5566"/>
    <n v="7"/>
    <s v="Home and lifestyle"/>
    <x v="1"/>
    <n v="17.874500000000001"/>
    <x v="2"/>
    <x v="2"/>
    <n v="51.07"/>
    <n v="357.49"/>
    <n v="375.36450000000002"/>
    <x v="0"/>
    <x v="8"/>
    <n v="2019"/>
  </r>
  <r>
    <s v="124-31-1458"/>
    <n v="3"/>
    <s v="Electronic accessories"/>
    <x v="1"/>
    <n v="11.938500000000001"/>
    <x v="0"/>
    <x v="1"/>
    <n v="79.59"/>
    <n v="238.77"/>
    <n v="250.70849999999999"/>
    <x v="0"/>
    <x v="1"/>
    <n v="2019"/>
  </r>
  <r>
    <s v="631-34-1880"/>
    <n v="3"/>
    <s v="Food and beverages"/>
    <x v="2"/>
    <n v="3.6465000000000005"/>
    <x v="1"/>
    <x v="4"/>
    <n v="24.31"/>
    <n v="72.930000000000007"/>
    <n v="76.576499999999996"/>
    <x v="0"/>
    <x v="1"/>
    <n v="2019"/>
  </r>
  <r>
    <s v="852-82-2749"/>
    <n v="4"/>
    <s v="Sports and travel"/>
    <x v="0"/>
    <n v="12.918000000000001"/>
    <x v="0"/>
    <x v="3"/>
    <n v="64.59"/>
    <n v="258.36"/>
    <n v="271.27800000000002"/>
    <x v="0"/>
    <x v="9"/>
    <n v="2019"/>
  </r>
  <r>
    <s v="885-56-0389"/>
    <n v="1"/>
    <s v="Fashion accessories"/>
    <x v="1"/>
    <n v="2.6175000000000002"/>
    <x v="1"/>
    <x v="5"/>
    <n v="52.35"/>
    <n v="52.35"/>
    <n v="54.967500000000001"/>
    <x v="21"/>
    <x v="8"/>
    <n v="2019"/>
  </r>
  <r>
    <s v="490-95-0021"/>
    <n v="10"/>
    <s v="Food and beverages"/>
    <x v="0"/>
    <n v="16.605"/>
    <x v="2"/>
    <x v="4"/>
    <n v="33.21"/>
    <n v="332.1"/>
    <n v="348.70499999999998"/>
    <x v="0"/>
    <x v="1"/>
    <n v="2019"/>
  </r>
  <r>
    <s v="325-89-4209"/>
    <n v="1"/>
    <s v="Food and beverages"/>
    <x v="0"/>
    <n v="4.3950000000000005"/>
    <x v="0"/>
    <x v="4"/>
    <n v="87.9"/>
    <n v="87.9"/>
    <n v="92.295000000000002"/>
    <x v="21"/>
    <x v="0"/>
    <n v="2019"/>
  </r>
  <r>
    <s v="114-35-5271"/>
    <n v="8"/>
    <s v="Electronic accessories"/>
    <x v="1"/>
    <n v="23.164000000000001"/>
    <x v="2"/>
    <x v="1"/>
    <n v="57.91"/>
    <n v="463.28"/>
    <n v="486.44400000000002"/>
    <x v="21"/>
    <x v="5"/>
    <n v="2019"/>
  </r>
  <r>
    <s v="607-76-6216"/>
    <n v="5"/>
    <s v="Fashion accessories"/>
    <x v="2"/>
    <n v="23.122500000000002"/>
    <x v="1"/>
    <x v="5"/>
    <n v="92.49"/>
    <n v="462.45"/>
    <n v="485.57249999999999"/>
    <x v="1"/>
    <x v="4"/>
    <n v="2019"/>
  </r>
  <r>
    <s v="715-20-1673"/>
    <n v="5"/>
    <s v="Electronic accessories"/>
    <x v="1"/>
    <n v="7.0950000000000006"/>
    <x v="2"/>
    <x v="1"/>
    <n v="28.38"/>
    <n v="141.9"/>
    <n v="148.995"/>
    <x v="1"/>
    <x v="9"/>
    <n v="2019"/>
  </r>
  <r>
    <s v="811-35-1094"/>
    <n v="6"/>
    <s v="Electronic accessories"/>
    <x v="2"/>
    <n v="15.135"/>
    <x v="2"/>
    <x v="1"/>
    <n v="50.45"/>
    <n v="302.7"/>
    <n v="317.83499999999998"/>
    <x v="21"/>
    <x v="9"/>
    <n v="2019"/>
  </r>
  <r>
    <s v="409-49-6995"/>
    <n v="6"/>
    <s v="Food and beverages"/>
    <x v="1"/>
    <n v="14.181000000000001"/>
    <x v="1"/>
    <x v="4"/>
    <n v="47.27"/>
    <n v="283.62"/>
    <n v="297.80099999999999"/>
    <x v="21"/>
    <x v="0"/>
    <n v="2019"/>
  </r>
  <r>
    <s v="725-54-0677"/>
    <n v="7"/>
    <s v="Health and beauty"/>
    <x v="1"/>
    <n v="29.960000000000004"/>
    <x v="1"/>
    <x v="0"/>
    <n v="85.6"/>
    <n v="599.20000000000005"/>
    <n v="629.16"/>
    <x v="1"/>
    <x v="4"/>
    <n v="2019"/>
  </r>
  <r>
    <s v="146-09-5432"/>
    <n v="9"/>
    <s v="Food and beverages"/>
    <x v="0"/>
    <n v="15.768000000000001"/>
    <x v="0"/>
    <x v="4"/>
    <n v="35.04"/>
    <n v="315.36"/>
    <n v="331.12799999999999"/>
    <x v="21"/>
    <x v="7"/>
    <n v="2019"/>
  </r>
  <r>
    <s v="509-10-0516"/>
    <n v="4"/>
    <s v="Home and lifestyle"/>
    <x v="0"/>
    <n v="9.1940000000000008"/>
    <x v="2"/>
    <x v="2"/>
    <n v="45.97"/>
    <n v="183.88"/>
    <n v="193.07400000000001"/>
    <x v="21"/>
    <x v="7"/>
    <n v="2019"/>
  </r>
  <r>
    <s v="450-42-3339"/>
    <n v="10"/>
    <s v="Health and beauty"/>
    <x v="2"/>
    <n v="42.305000000000007"/>
    <x v="1"/>
    <x v="0"/>
    <n v="84.61"/>
    <n v="846.1"/>
    <n v="888.40499999999997"/>
    <x v="21"/>
    <x v="7"/>
    <n v="2019"/>
  </r>
  <r>
    <s v="453-33-6436"/>
    <n v="8"/>
    <s v="Home and lifestyle"/>
    <x v="1"/>
    <n v="37.248000000000005"/>
    <x v="0"/>
    <x v="2"/>
    <n v="93.12"/>
    <n v="744.96"/>
    <n v="782.20799999999997"/>
    <x v="21"/>
    <x v="5"/>
    <n v="2019"/>
  </r>
  <r>
    <s v="717-96-4189"/>
    <n v="6"/>
    <s v="Electronic accessories"/>
    <x v="1"/>
    <n v="10.647"/>
    <x v="1"/>
    <x v="1"/>
    <n v="35.49"/>
    <n v="212.94"/>
    <n v="223.58699999999999"/>
    <x v="21"/>
    <x v="4"/>
    <n v="2019"/>
  </r>
  <r>
    <s v="749-81-8133"/>
    <n v="4"/>
    <s v="Fashion accessories"/>
    <x v="1"/>
    <n v="18.934000000000001"/>
    <x v="0"/>
    <x v="5"/>
    <n v="94.67"/>
    <n v="378.68"/>
    <n v="397.61399999999998"/>
    <x v="1"/>
    <x v="11"/>
    <n v="2019"/>
  </r>
  <r>
    <s v="636-98-3364"/>
    <n v="3"/>
    <s v="Electronic accessories"/>
    <x v="0"/>
    <n v="3.9390000000000001"/>
    <x v="2"/>
    <x v="1"/>
    <n v="26.26"/>
    <n v="78.78"/>
    <n v="82.718999999999994"/>
    <x v="1"/>
    <x v="4"/>
    <n v="2019"/>
  </r>
  <r>
    <s v="246-55-6923"/>
    <n v="9"/>
    <s v="Home and lifestyle"/>
    <x v="2"/>
    <n v="16.105500000000003"/>
    <x v="1"/>
    <x v="2"/>
    <n v="35.79"/>
    <n v="322.11"/>
    <n v="338.21550000000002"/>
    <x v="1"/>
    <x v="6"/>
    <n v="2019"/>
  </r>
  <r>
    <s v="181-82-6255"/>
    <n v="6"/>
    <s v="Home and lifestyle"/>
    <x v="1"/>
    <n v="4.9110000000000005"/>
    <x v="2"/>
    <x v="2"/>
    <n v="16.37"/>
    <n v="98.22"/>
    <n v="103.131"/>
    <x v="21"/>
    <x v="1"/>
    <n v="2019"/>
  </r>
  <r>
    <s v="887-42-0517"/>
    <n v="7"/>
    <s v="Sports and travel"/>
    <x v="2"/>
    <n v="29.099000000000004"/>
    <x v="1"/>
    <x v="3"/>
    <n v="83.14"/>
    <n v="581.98"/>
    <n v="611.07899999999995"/>
    <x v="0"/>
    <x v="6"/>
    <n v="2019"/>
  </r>
  <r>
    <s v="226-34-0034"/>
    <n v="4"/>
    <s v="Electronic accessories"/>
    <x v="0"/>
    <n v="2.7560000000000002"/>
    <x v="2"/>
    <x v="1"/>
    <n v="13.78"/>
    <n v="55.12"/>
    <n v="57.875999999999998"/>
    <x v="0"/>
    <x v="6"/>
    <n v="2019"/>
  </r>
  <r>
    <s v="825-94-5922"/>
    <n v="2"/>
    <s v="Sports and travel"/>
    <x v="0"/>
    <n v="2.5310000000000001"/>
    <x v="2"/>
    <x v="3"/>
    <n v="25.31"/>
    <n v="50.62"/>
    <n v="53.151000000000003"/>
    <x v="1"/>
    <x v="4"/>
    <n v="2019"/>
  </r>
  <r>
    <s v="756-93-1854"/>
    <n v="2"/>
    <s v="Fashion accessories"/>
    <x v="2"/>
    <n v="8.3349999999999991"/>
    <x v="1"/>
    <x v="5"/>
    <n v="83.35"/>
    <n v="166.7"/>
    <n v="175.035"/>
    <x v="21"/>
    <x v="4"/>
    <n v="2019"/>
  </r>
  <r>
    <s v="501-61-1753"/>
    <n v="6"/>
    <s v="Home and lifestyle"/>
    <x v="0"/>
    <n v="18.945"/>
    <x v="2"/>
    <x v="2"/>
    <n v="63.15"/>
    <n v="378.9"/>
    <n v="397.84500000000003"/>
    <x v="0"/>
    <x v="2"/>
    <n v="2019"/>
  </r>
  <r>
    <s v="433-08-7822"/>
    <n v="7"/>
    <s v="Health and beauty"/>
    <x v="0"/>
    <n v="27.611500000000003"/>
    <x v="1"/>
    <x v="0"/>
    <n v="78.89"/>
    <n v="552.23"/>
    <n v="579.8415"/>
    <x v="0"/>
    <x v="0"/>
    <n v="2019"/>
  </r>
  <r>
    <s v="720-72-2436"/>
    <n v="4"/>
    <s v="Food and beverages"/>
    <x v="0"/>
    <n v="13.304"/>
    <x v="0"/>
    <x v="4"/>
    <n v="66.52"/>
    <n v="266.08"/>
    <n v="279.38400000000001"/>
    <x v="1"/>
    <x v="4"/>
    <n v="2019"/>
  </r>
  <r>
    <s v="489-82-1237"/>
    <n v="7"/>
    <s v="Electronic accessories"/>
    <x v="2"/>
    <n v="32.857999999999997"/>
    <x v="0"/>
    <x v="1"/>
    <n v="93.88"/>
    <n v="657.16"/>
    <n v="690.01800000000003"/>
    <x v="0"/>
    <x v="0"/>
    <n v="2019"/>
  </r>
  <r>
    <s v="676-10-2200"/>
    <n v="1"/>
    <s v="Fashion accessories"/>
    <x v="0"/>
    <n v="2.6890000000000001"/>
    <x v="2"/>
    <x v="5"/>
    <n v="53.78"/>
    <n v="53.78"/>
    <n v="56.469000000000001"/>
    <x v="21"/>
    <x v="2"/>
    <n v="2019"/>
  </r>
  <r>
    <s v="373-88-1424"/>
    <n v="5"/>
    <s v="Home and lifestyle"/>
    <x v="0"/>
    <n v="8.9525000000000006"/>
    <x v="1"/>
    <x v="2"/>
    <n v="35.81"/>
    <n v="179.05"/>
    <n v="188.0025"/>
    <x v="21"/>
    <x v="9"/>
    <n v="2019"/>
  </r>
  <r>
    <s v="305-89-2768"/>
    <n v="3"/>
    <s v="Home and lifestyle"/>
    <x v="0"/>
    <n v="3.2850000000000001"/>
    <x v="2"/>
    <x v="2"/>
    <n v="21.9"/>
    <n v="65.7"/>
    <n v="68.984999999999999"/>
    <x v="0"/>
    <x v="7"/>
    <n v="2019"/>
  </r>
  <r>
    <s v="200-40-6154"/>
    <n v="6"/>
    <s v="Home and lifestyle"/>
    <x v="1"/>
    <n v="19.773"/>
    <x v="2"/>
    <x v="2"/>
    <n v="65.91"/>
    <n v="395.46"/>
    <n v="415.233"/>
    <x v="21"/>
    <x v="7"/>
    <n v="2019"/>
  </r>
  <r>
    <s v="846-10-0341"/>
    <n v="7"/>
    <s v="Fashion accessories"/>
    <x v="1"/>
    <n v="14.899500000000002"/>
    <x v="0"/>
    <x v="5"/>
    <n v="42.57"/>
    <n v="297.99"/>
    <n v="312.8895"/>
    <x v="0"/>
    <x v="9"/>
    <n v="2019"/>
  </r>
  <r>
    <s v="577-34-7579"/>
    <n v="9"/>
    <s v="Food and beverages"/>
    <x v="1"/>
    <n v="22.720500000000001"/>
    <x v="1"/>
    <x v="4"/>
    <n v="50.49"/>
    <n v="454.41"/>
    <n v="477.13049999999998"/>
    <x v="0"/>
    <x v="6"/>
    <n v="2019"/>
  </r>
  <r>
    <s v="430-02-3888"/>
    <n v="6"/>
    <s v="Electronic accessories"/>
    <x v="1"/>
    <n v="13.806000000000001"/>
    <x v="2"/>
    <x v="1"/>
    <n v="46.02"/>
    <n v="276.12"/>
    <n v="289.92599999999999"/>
    <x v="21"/>
    <x v="5"/>
    <n v="2019"/>
  </r>
  <r>
    <s v="867-47-1948"/>
    <n v="10"/>
    <s v="Home and lifestyle"/>
    <x v="1"/>
    <n v="7.9"/>
    <x v="1"/>
    <x v="2"/>
    <n v="15.8"/>
    <n v="158"/>
    <n v="165.9"/>
    <x v="0"/>
    <x v="7"/>
    <n v="2019"/>
  </r>
  <r>
    <s v="324-92-3863"/>
    <n v="2"/>
    <s v="Electronic accessories"/>
    <x v="1"/>
    <n v="2.089"/>
    <x v="0"/>
    <x v="1"/>
    <n v="20.89"/>
    <n v="41.78"/>
    <n v="43.869"/>
    <x v="21"/>
    <x v="0"/>
    <n v="2019"/>
  </r>
  <r>
    <s v="172-42-8274"/>
    <n v="2"/>
    <s v="Electronic accessories"/>
    <x v="2"/>
    <n v="3.8270000000000004"/>
    <x v="2"/>
    <x v="1"/>
    <n v="38.270000000000003"/>
    <n v="76.540000000000006"/>
    <n v="80.367000000000004"/>
    <x v="1"/>
    <x v="4"/>
    <n v="2019"/>
  </r>
  <r>
    <s v="558-60-5016"/>
    <n v="9"/>
    <s v="Home and lifestyle"/>
    <x v="0"/>
    <n v="14.984999999999999"/>
    <x v="0"/>
    <x v="2"/>
    <n v="33.299999999999997"/>
    <n v="299.7"/>
    <n v="314.685"/>
    <x v="1"/>
    <x v="10"/>
    <n v="2019"/>
  </r>
  <r>
    <s v="214-30-2776"/>
    <n v="5"/>
    <s v="Electronic accessories"/>
    <x v="2"/>
    <n v="8.6225000000000005"/>
    <x v="2"/>
    <x v="1"/>
    <n v="34.49"/>
    <n v="172.45"/>
    <n v="181.07249999999999"/>
    <x v="1"/>
    <x v="11"/>
    <n v="2019"/>
  </r>
  <r>
    <s v="746-04-1077"/>
    <n v="10"/>
    <s v="Food and beverages"/>
    <x v="2"/>
    <n v="42.314999999999998"/>
    <x v="2"/>
    <x v="4"/>
    <n v="84.63"/>
    <n v="846.3"/>
    <n v="888.61500000000001"/>
    <x v="0"/>
    <x v="3"/>
    <n v="2019"/>
  </r>
  <r>
    <s v="448-34-8700"/>
    <n v="7"/>
    <s v="Home and lifestyle"/>
    <x v="0"/>
    <n v="12.918500000000002"/>
    <x v="2"/>
    <x v="2"/>
    <n v="36.909999999999997"/>
    <n v="258.37"/>
    <n v="271.2885"/>
    <x v="21"/>
    <x v="6"/>
    <n v="2019"/>
  </r>
  <r>
    <s v="531-56-4728"/>
    <n v="3"/>
    <s v="Home and lifestyle"/>
    <x v="1"/>
    <n v="12.012"/>
    <x v="0"/>
    <x v="2"/>
    <n v="80.08"/>
    <n v="240.24"/>
    <n v="252.25200000000001"/>
    <x v="21"/>
    <x v="11"/>
    <n v="2019"/>
  </r>
  <r>
    <s v="744-82-9138"/>
    <n v="2"/>
    <s v="Fashion accessories"/>
    <x v="1"/>
    <n v="8.6129999999999995"/>
    <x v="1"/>
    <x v="5"/>
    <n v="86.13"/>
    <n v="172.26"/>
    <n v="180.87299999999999"/>
    <x v="21"/>
    <x v="5"/>
    <n v="2019"/>
  </r>
  <r>
    <s v="883-69-1285"/>
    <n v="2"/>
    <s v="Fashion accessories"/>
    <x v="2"/>
    <n v="4.9920000000000009"/>
    <x v="2"/>
    <x v="5"/>
    <n v="49.92"/>
    <n v="99.84"/>
    <n v="104.83199999999999"/>
    <x v="1"/>
    <x v="9"/>
    <n v="2019"/>
  </r>
  <r>
    <s v="221-25-5073"/>
    <n v="4"/>
    <s v="Food and beverages"/>
    <x v="1"/>
    <n v="14.932"/>
    <x v="0"/>
    <x v="4"/>
    <n v="74.66"/>
    <n v="298.64"/>
    <n v="313.572"/>
    <x v="1"/>
    <x v="10"/>
    <n v="2019"/>
  </r>
  <r>
    <s v="156-20-0370"/>
    <n v="1"/>
    <s v="Electronic accessories"/>
    <x v="2"/>
    <n v="1.2725"/>
    <x v="2"/>
    <x v="1"/>
    <n v="25.45"/>
    <n v="25.45"/>
    <n v="26.7225"/>
    <x v="1"/>
    <x v="6"/>
    <n v="2019"/>
  </r>
  <r>
    <s v="151-33-7434"/>
    <n v="1"/>
    <s v="Food and beverages"/>
    <x v="2"/>
    <n v="3.3885000000000001"/>
    <x v="2"/>
    <x v="4"/>
    <n v="67.77"/>
    <n v="67.77"/>
    <n v="71.158500000000004"/>
    <x v="21"/>
    <x v="10"/>
    <n v="2019"/>
  </r>
  <r>
    <s v="189-40-5216"/>
    <n v="7"/>
    <s v="Electronic accessories"/>
    <x v="1"/>
    <n v="33.729500000000002"/>
    <x v="1"/>
    <x v="1"/>
    <n v="96.37"/>
    <n v="674.59"/>
    <n v="708.31949999999995"/>
    <x v="0"/>
    <x v="7"/>
    <n v="2019"/>
  </r>
  <r>
    <s v="374-38-5555"/>
    <n v="5"/>
    <s v="Fashion accessories"/>
    <x v="0"/>
    <n v="15.927500000000002"/>
    <x v="2"/>
    <x v="5"/>
    <n v="63.71"/>
    <n v="318.55"/>
    <n v="334.47750000000002"/>
    <x v="21"/>
    <x v="5"/>
    <n v="2019"/>
  </r>
  <r>
    <s v="552-44-5977"/>
    <n v="8"/>
    <s v="Health and beauty"/>
    <x v="2"/>
    <n v="24.8"/>
    <x v="2"/>
    <x v="0"/>
    <n v="62"/>
    <n v="496"/>
    <n v="520.79999999999995"/>
    <x v="0"/>
    <x v="2"/>
    <n v="2019"/>
  </r>
  <r>
    <s v="745-74-0715"/>
    <n v="2"/>
    <s v="Electronic accessories"/>
    <x v="0"/>
    <n v="5.8030000000000008"/>
    <x v="0"/>
    <x v="1"/>
    <n v="58.03"/>
    <n v="116.06"/>
    <n v="121.863"/>
    <x v="1"/>
    <x v="6"/>
    <n v="2019"/>
  </r>
  <r>
    <s v="303-96-2227"/>
    <n v="10"/>
    <s v="Home and lifestyle"/>
    <x v="0"/>
    <n v="48.69"/>
    <x v="2"/>
    <x v="2"/>
    <n v="97.38"/>
    <n v="973.8"/>
    <n v="1022.49"/>
    <x v="1"/>
    <x v="4"/>
    <n v="2019"/>
  </r>
  <r>
    <s v="727-02-1313"/>
    <n v="1"/>
    <s v="Food and beverages"/>
    <x v="1"/>
    <n v="1.5920000000000001"/>
    <x v="0"/>
    <x v="4"/>
    <n v="31.84"/>
    <n v="31.84"/>
    <n v="33.432000000000002"/>
    <x v="21"/>
    <x v="7"/>
    <n v="20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
  <r>
    <x v="0"/>
    <x v="0"/>
    <n v="7"/>
    <s v="Health and beauty"/>
    <x v="0"/>
    <n v="26.141500000000004"/>
    <x v="0"/>
    <x v="0"/>
    <n v="74.69"/>
    <n v="522.83000000000004"/>
    <n v="548.97149999999999"/>
    <n v="1"/>
    <x v="0"/>
    <n v="2019"/>
  </r>
  <r>
    <x v="1"/>
    <x v="1"/>
    <n v="5"/>
    <s v="Electronic accessories"/>
    <x v="1"/>
    <n v="3.8200000000000003"/>
    <x v="1"/>
    <x v="1"/>
    <n v="15.28"/>
    <n v="76.400000000000006"/>
    <n v="80.22"/>
    <n v="3"/>
    <x v="1"/>
    <n v="2019"/>
  </r>
  <r>
    <x v="2"/>
    <x v="2"/>
    <n v="7"/>
    <s v="Home and lifestyle"/>
    <x v="2"/>
    <n v="16.215500000000002"/>
    <x v="0"/>
    <x v="2"/>
    <n v="46.33"/>
    <n v="324.31"/>
    <n v="340.52550000000002"/>
    <n v="3"/>
    <x v="2"/>
    <n v="2019"/>
  </r>
  <r>
    <x v="3"/>
    <x v="3"/>
    <n v="8"/>
    <s v="Health and beauty"/>
    <x v="0"/>
    <n v="23.288"/>
    <x v="0"/>
    <x v="0"/>
    <n v="58.22"/>
    <n v="465.76"/>
    <n v="489.048"/>
    <n v="27"/>
    <x v="3"/>
    <n v="2019"/>
  </r>
  <r>
    <x v="4"/>
    <x v="4"/>
    <n v="7"/>
    <s v="Sports and travel"/>
    <x v="0"/>
    <n v="30.208500000000001"/>
    <x v="0"/>
    <x v="3"/>
    <n v="86.31"/>
    <n v="604.16999999999996"/>
    <n v="634.37850000000003"/>
    <n v="25"/>
    <x v="2"/>
    <n v="2019"/>
  </r>
  <r>
    <x v="5"/>
    <x v="5"/>
    <n v="7"/>
    <s v="Electronic accessories"/>
    <x v="0"/>
    <n v="29.886500000000002"/>
    <x v="1"/>
    <x v="1"/>
    <n v="85.39"/>
    <n v="597.73"/>
    <n v="627.61649999999997"/>
    <n v="25"/>
    <x v="4"/>
    <n v="2019"/>
  </r>
  <r>
    <x v="6"/>
    <x v="6"/>
    <n v="6"/>
    <s v="Electronic accessories"/>
    <x v="0"/>
    <n v="20.652000000000001"/>
    <x v="0"/>
    <x v="1"/>
    <n v="68.84"/>
    <n v="413.04"/>
    <n v="433.69200000000001"/>
    <n v="24"/>
    <x v="4"/>
    <n v="2019"/>
  </r>
  <r>
    <x v="7"/>
    <x v="7"/>
    <n v="10"/>
    <s v="Home and lifestyle"/>
    <x v="0"/>
    <n v="36.78"/>
    <x v="1"/>
    <x v="2"/>
    <n v="73.56"/>
    <n v="735.6"/>
    <n v="772.38"/>
    <n v="20"/>
    <x v="4"/>
    <n v="2019"/>
  </r>
  <r>
    <x v="8"/>
    <x v="8"/>
    <n v="2"/>
    <s v="Health and beauty"/>
    <x v="2"/>
    <n v="3.6259999999999999"/>
    <x v="0"/>
    <x v="0"/>
    <n v="36.26"/>
    <n v="72.52"/>
    <n v="76.146000000000001"/>
    <n v="29"/>
    <x v="2"/>
    <n v="2019"/>
  </r>
  <r>
    <x v="9"/>
    <x v="9"/>
    <n v="3"/>
    <s v="Food and beverages"/>
    <x v="2"/>
    <n v="8.2260000000000009"/>
    <x v="2"/>
    <x v="4"/>
    <n v="54.84"/>
    <n v="164.52"/>
    <n v="172.74600000000001"/>
    <n v="15"/>
    <x v="3"/>
    <n v="2019"/>
  </r>
  <r>
    <x v="10"/>
    <x v="10"/>
    <n v="4"/>
    <s v="Fashion accessories"/>
    <x v="0"/>
    <n v="2.8960000000000004"/>
    <x v="2"/>
    <x v="5"/>
    <n v="14.48"/>
    <n v="57.92"/>
    <n v="60.816000000000003"/>
    <n v="21"/>
    <x v="3"/>
    <n v="2019"/>
  </r>
  <r>
    <x v="5"/>
    <x v="11"/>
    <n v="4"/>
    <s v="Electronic accessories"/>
    <x v="1"/>
    <n v="5.1020000000000003"/>
    <x v="2"/>
    <x v="1"/>
    <n v="25.51"/>
    <n v="102.04"/>
    <n v="107.142"/>
    <n v="25"/>
    <x v="4"/>
    <n v="2019"/>
  </r>
  <r>
    <x v="11"/>
    <x v="12"/>
    <n v="5"/>
    <s v="Electronic accessories"/>
    <x v="0"/>
    <n v="11.737500000000001"/>
    <x v="0"/>
    <x v="1"/>
    <n v="46.95"/>
    <n v="234.75"/>
    <n v="246.48750000000001"/>
    <n v="15"/>
    <x v="2"/>
    <n v="2019"/>
  </r>
  <r>
    <x v="12"/>
    <x v="13"/>
    <n v="10"/>
    <s v="Food and beverages"/>
    <x v="0"/>
    <n v="21.594999999999999"/>
    <x v="0"/>
    <x v="4"/>
    <n v="43.19"/>
    <n v="431.9"/>
    <n v="453.495"/>
    <n v="17"/>
    <x v="4"/>
    <n v="2019"/>
  </r>
  <r>
    <x v="13"/>
    <x v="14"/>
    <n v="10"/>
    <s v="Health and beauty"/>
    <x v="1"/>
    <n v="35.69"/>
    <x v="0"/>
    <x v="0"/>
    <n v="71.38"/>
    <n v="713.8"/>
    <n v="749.49"/>
    <n v="22"/>
    <x v="2"/>
    <n v="2019"/>
  </r>
  <r>
    <x v="14"/>
    <x v="15"/>
    <n v="6"/>
    <s v="Sports and travel"/>
    <x v="1"/>
    <n v="28.116000000000003"/>
    <x v="2"/>
    <x v="3"/>
    <n v="93.72"/>
    <n v="562.32000000000005"/>
    <n v="590.43600000000004"/>
    <n v="25"/>
    <x v="3"/>
    <n v="2019"/>
  </r>
  <r>
    <x v="11"/>
    <x v="16"/>
    <n v="7"/>
    <s v="Health and beauty"/>
    <x v="2"/>
    <n v="24.125500000000002"/>
    <x v="0"/>
    <x v="0"/>
    <n v="68.930000000000007"/>
    <n v="482.51"/>
    <n v="506.63549999999998"/>
    <n v="15"/>
    <x v="2"/>
    <n v="2019"/>
  </r>
  <r>
    <x v="5"/>
    <x v="17"/>
    <n v="6"/>
    <s v="Sports and travel"/>
    <x v="2"/>
    <n v="21.783000000000001"/>
    <x v="0"/>
    <x v="3"/>
    <n v="72.61"/>
    <n v="435.66"/>
    <n v="457.44299999999998"/>
    <n v="25"/>
    <x v="4"/>
    <n v="2019"/>
  </r>
  <r>
    <x v="15"/>
    <x v="18"/>
    <n v="3"/>
    <s v="Food and beverages"/>
    <x v="2"/>
    <n v="8.2004999999999999"/>
    <x v="0"/>
    <x v="4"/>
    <n v="54.67"/>
    <n v="164.01"/>
    <n v="172.2105"/>
    <n v="28"/>
    <x v="3"/>
    <n v="2019"/>
  </r>
  <r>
    <x v="11"/>
    <x v="19"/>
    <n v="2"/>
    <s v="Home and lifestyle"/>
    <x v="0"/>
    <n v="4.03"/>
    <x v="2"/>
    <x v="2"/>
    <n v="40.299999999999997"/>
    <n v="80.599999999999994"/>
    <n v="84.63"/>
    <n v="15"/>
    <x v="2"/>
    <n v="2019"/>
  </r>
  <r>
    <x v="9"/>
    <x v="20"/>
    <n v="5"/>
    <s v="Electronic accessories"/>
    <x v="0"/>
    <n v="21.51"/>
    <x v="1"/>
    <x v="1"/>
    <n v="86.04"/>
    <n v="430.2"/>
    <n v="451.71"/>
    <n v="15"/>
    <x v="3"/>
    <n v="2019"/>
  </r>
  <r>
    <x v="16"/>
    <x v="21"/>
    <n v="3"/>
    <s v="Health and beauty"/>
    <x v="0"/>
    <n v="13.197000000000001"/>
    <x v="2"/>
    <x v="0"/>
    <n v="87.98"/>
    <n v="263.94"/>
    <n v="277.137"/>
    <n v="23"/>
    <x v="2"/>
    <n v="2019"/>
  </r>
  <r>
    <x v="17"/>
    <x v="22"/>
    <n v="2"/>
    <s v="Home and lifestyle"/>
    <x v="2"/>
    <n v="3.3200000000000003"/>
    <x v="2"/>
    <x v="2"/>
    <n v="33.200000000000003"/>
    <n v="66.400000000000006"/>
    <n v="69.72"/>
    <n v="17"/>
    <x v="3"/>
    <n v="2019"/>
  </r>
  <r>
    <x v="18"/>
    <x v="23"/>
    <n v="5"/>
    <s v="Electronic accessories"/>
    <x v="0"/>
    <n v="8.64"/>
    <x v="0"/>
    <x v="1"/>
    <n v="34.56"/>
    <n v="172.8"/>
    <n v="181.44"/>
    <n v="16"/>
    <x v="2"/>
    <n v="2019"/>
  </r>
  <r>
    <x v="19"/>
    <x v="24"/>
    <n v="3"/>
    <s v="Sports and travel"/>
    <x v="0"/>
    <n v="13.294499999999999"/>
    <x v="0"/>
    <x v="3"/>
    <n v="88.63"/>
    <n v="265.89"/>
    <n v="279.18450000000001"/>
    <n v="27"/>
    <x v="4"/>
    <n v="2019"/>
  </r>
  <r>
    <x v="20"/>
    <x v="25"/>
    <n v="8"/>
    <s v="Home and lifestyle"/>
    <x v="2"/>
    <n v="21.036000000000001"/>
    <x v="0"/>
    <x v="2"/>
    <n v="52.59"/>
    <n v="420.72"/>
    <n v="441.75599999999997"/>
    <n v="19"/>
    <x v="2"/>
    <n v="2019"/>
  </r>
  <r>
    <x v="13"/>
    <x v="26"/>
    <n v="1"/>
    <s v="Fashion accessories"/>
    <x v="1"/>
    <n v="1.6760000000000002"/>
    <x v="2"/>
    <x v="5"/>
    <n v="33.520000000000003"/>
    <n v="33.520000000000003"/>
    <n v="35.195999999999998"/>
    <n v="22"/>
    <x v="2"/>
    <n v="2019"/>
  </r>
  <r>
    <x v="14"/>
    <x v="27"/>
    <n v="2"/>
    <s v="Fashion accessories"/>
    <x v="2"/>
    <n v="8.7670000000000012"/>
    <x v="0"/>
    <x v="5"/>
    <n v="87.67"/>
    <n v="175.34"/>
    <n v="184.107"/>
    <n v="25"/>
    <x v="3"/>
    <n v="2019"/>
  </r>
  <r>
    <x v="21"/>
    <x v="28"/>
    <n v="5"/>
    <s v="Food and beverages"/>
    <x v="1"/>
    <n v="22.090000000000003"/>
    <x v="2"/>
    <x v="4"/>
    <n v="88.36"/>
    <n v="441.8"/>
    <n v="463.89"/>
    <n v="28"/>
    <x v="4"/>
    <n v="2019"/>
  </r>
  <r>
    <x v="22"/>
    <x v="29"/>
    <n v="9"/>
    <s v="Health and beauty"/>
    <x v="1"/>
    <n v="11.2005"/>
    <x v="0"/>
    <x v="0"/>
    <n v="24.89"/>
    <n v="224.01"/>
    <n v="235.2105"/>
    <n v="27"/>
    <x v="2"/>
    <n v="2019"/>
  </r>
  <r>
    <x v="23"/>
    <x v="30"/>
    <n v="5"/>
    <s v="Fashion accessories"/>
    <x v="2"/>
    <n v="23.532499999999999"/>
    <x v="2"/>
    <x v="5"/>
    <n v="94.13"/>
    <n v="470.65"/>
    <n v="494.1825"/>
    <n v="20"/>
    <x v="3"/>
    <n v="2019"/>
  </r>
  <r>
    <x v="24"/>
    <x v="31"/>
    <n v="9"/>
    <s v="Sports and travel"/>
    <x v="1"/>
    <n v="35.131500000000003"/>
    <x v="2"/>
    <x v="3"/>
    <n v="78.069999999999993"/>
    <n v="702.63"/>
    <n v="737.76149999999996"/>
    <n v="15"/>
    <x v="4"/>
    <n v="2019"/>
  </r>
  <r>
    <x v="6"/>
    <x v="32"/>
    <n v="8"/>
    <s v="Sports and travel"/>
    <x v="1"/>
    <n v="33.512"/>
    <x v="2"/>
    <x v="3"/>
    <n v="83.78"/>
    <n v="670.24"/>
    <n v="703.75199999999995"/>
    <n v="24"/>
    <x v="4"/>
    <n v="2019"/>
  </r>
  <r>
    <x v="25"/>
    <x v="33"/>
    <n v="2"/>
    <s v="Health and beauty"/>
    <x v="2"/>
    <n v="9.6580000000000013"/>
    <x v="0"/>
    <x v="0"/>
    <n v="96.58"/>
    <n v="193.16"/>
    <n v="202.81800000000001"/>
    <n v="14"/>
    <x v="4"/>
    <n v="2019"/>
  </r>
  <r>
    <x v="26"/>
    <x v="34"/>
    <n v="4"/>
    <s v="Food and beverages"/>
    <x v="0"/>
    <n v="19.884"/>
    <x v="1"/>
    <x v="4"/>
    <n v="99.42"/>
    <n v="397.68"/>
    <n v="417.56400000000002"/>
    <n v="13"/>
    <x v="2"/>
    <n v="2019"/>
  </r>
  <r>
    <x v="27"/>
    <x v="35"/>
    <n v="1"/>
    <s v="Sports and travel"/>
    <x v="0"/>
    <n v="3.4060000000000006"/>
    <x v="1"/>
    <x v="3"/>
    <n v="68.12"/>
    <n v="68.12"/>
    <n v="71.525999999999996"/>
    <n v="24"/>
    <x v="3"/>
    <n v="2019"/>
  </r>
  <r>
    <x v="28"/>
    <x v="36"/>
    <n v="5"/>
    <s v="Sports and travel"/>
    <x v="0"/>
    <n v="15.655000000000001"/>
    <x v="0"/>
    <x v="3"/>
    <n v="62.62"/>
    <n v="313.10000000000002"/>
    <n v="328.755"/>
    <n v="22"/>
    <x v="3"/>
    <n v="2019"/>
  </r>
  <r>
    <x v="29"/>
    <x v="37"/>
    <n v="9"/>
    <s v="Electronic accessories"/>
    <x v="0"/>
    <n v="27.396000000000001"/>
    <x v="0"/>
    <x v="1"/>
    <n v="60.88"/>
    <n v="547.91999999999996"/>
    <n v="575.31600000000003"/>
    <n v="13"/>
    <x v="3"/>
    <n v="2019"/>
  </r>
  <r>
    <x v="28"/>
    <x v="38"/>
    <n v="8"/>
    <s v="Health and beauty"/>
    <x v="0"/>
    <n v="21.968000000000004"/>
    <x v="1"/>
    <x v="0"/>
    <n v="54.92"/>
    <n v="439.36"/>
    <n v="461.32799999999997"/>
    <n v="22"/>
    <x v="3"/>
    <n v="2019"/>
  </r>
  <r>
    <x v="10"/>
    <x v="39"/>
    <n v="8"/>
    <s v="Home and lifestyle"/>
    <x v="1"/>
    <n v="12.048000000000002"/>
    <x v="2"/>
    <x v="2"/>
    <n v="30.12"/>
    <n v="240.96"/>
    <n v="253.00800000000001"/>
    <n v="21"/>
    <x v="3"/>
    <n v="2019"/>
  </r>
  <r>
    <x v="30"/>
    <x v="40"/>
    <n v="1"/>
    <s v="Home and lifestyle"/>
    <x v="0"/>
    <n v="4.3360000000000003"/>
    <x v="2"/>
    <x v="2"/>
    <n v="86.72"/>
    <n v="86.72"/>
    <n v="91.055999999999997"/>
    <n v="26"/>
    <x v="3"/>
    <n v="2019"/>
  </r>
  <r>
    <x v="31"/>
    <x v="41"/>
    <n v="2"/>
    <s v="Home and lifestyle"/>
    <x v="1"/>
    <n v="5.6110000000000007"/>
    <x v="1"/>
    <x v="2"/>
    <n v="56.11"/>
    <n v="112.22"/>
    <n v="117.831"/>
    <n v="23"/>
    <x v="3"/>
    <n v="2019"/>
  </r>
  <r>
    <x v="32"/>
    <x v="42"/>
    <n v="6"/>
    <s v="Sports and travel"/>
    <x v="1"/>
    <n v="20.736000000000004"/>
    <x v="2"/>
    <x v="3"/>
    <n v="69.12"/>
    <n v="414.72"/>
    <n v="435.45600000000002"/>
    <n v="23"/>
    <x v="4"/>
    <n v="2019"/>
  </r>
  <r>
    <x v="4"/>
    <x v="43"/>
    <n v="8"/>
    <s v="Food and beverages"/>
    <x v="1"/>
    <n v="39.480000000000004"/>
    <x v="1"/>
    <x v="4"/>
    <n v="98.7"/>
    <n v="789.6"/>
    <n v="829.08"/>
    <n v="25"/>
    <x v="2"/>
    <n v="2019"/>
  </r>
  <r>
    <x v="22"/>
    <x v="44"/>
    <n v="2"/>
    <s v="Health and beauty"/>
    <x v="1"/>
    <n v="1.5369999999999999"/>
    <x v="1"/>
    <x v="0"/>
    <n v="15.37"/>
    <n v="30.74"/>
    <n v="32.277000000000001"/>
    <n v="27"/>
    <x v="2"/>
    <n v="2019"/>
  </r>
  <r>
    <x v="19"/>
    <x v="45"/>
    <n v="4"/>
    <s v="Electronic accessories"/>
    <x v="1"/>
    <n v="18.791999999999998"/>
    <x v="2"/>
    <x v="1"/>
    <n v="93.96"/>
    <n v="375.84"/>
    <n v="394.63200000000001"/>
    <n v="27"/>
    <x v="4"/>
    <n v="2019"/>
  </r>
  <r>
    <x v="31"/>
    <x v="46"/>
    <n v="9"/>
    <s v="Health and beauty"/>
    <x v="2"/>
    <n v="25.5105"/>
    <x v="2"/>
    <x v="0"/>
    <n v="56.69"/>
    <n v="510.21"/>
    <n v="535.72050000000002"/>
    <n v="23"/>
    <x v="3"/>
    <n v="2019"/>
  </r>
  <r>
    <x v="30"/>
    <x v="47"/>
    <n v="9"/>
    <s v="Food and beverages"/>
    <x v="0"/>
    <n v="9.0045000000000002"/>
    <x v="2"/>
    <x v="4"/>
    <n v="20.010000000000002"/>
    <n v="180.09"/>
    <n v="189.09450000000001"/>
    <n v="26"/>
    <x v="3"/>
    <n v="2019"/>
  </r>
  <r>
    <x v="8"/>
    <x v="48"/>
    <n v="6"/>
    <s v="Electronic accessories"/>
    <x v="2"/>
    <n v="5.6790000000000003"/>
    <x v="2"/>
    <x v="1"/>
    <n v="18.93"/>
    <n v="113.58"/>
    <n v="119.259"/>
    <n v="29"/>
    <x v="2"/>
    <n v="2019"/>
  </r>
  <r>
    <x v="16"/>
    <x v="49"/>
    <n v="10"/>
    <s v="Fashion accessories"/>
    <x v="0"/>
    <n v="41.314999999999998"/>
    <x v="1"/>
    <x v="5"/>
    <n v="82.63"/>
    <n v="826.3"/>
    <n v="867.61500000000001"/>
    <n v="23"/>
    <x v="2"/>
    <n v="2019"/>
  </r>
  <r>
    <x v="33"/>
    <x v="50"/>
    <n v="7"/>
    <s v="Food and beverages"/>
    <x v="1"/>
    <n v="31.99"/>
    <x v="1"/>
    <x v="4"/>
    <n v="91.4"/>
    <n v="639.79999999999995"/>
    <n v="671.79"/>
    <n v="26"/>
    <x v="2"/>
    <n v="2019"/>
  </r>
  <r>
    <x v="34"/>
    <x v="51"/>
    <n v="5"/>
    <s v="Food and beverages"/>
    <x v="1"/>
    <n v="11.147500000000001"/>
    <x v="0"/>
    <x v="4"/>
    <n v="44.59"/>
    <n v="222.95"/>
    <n v="234.0975"/>
    <n v="28"/>
    <x v="2"/>
    <n v="2019"/>
  </r>
  <r>
    <x v="20"/>
    <x v="52"/>
    <n v="4"/>
    <s v="Fashion accessories"/>
    <x v="0"/>
    <n v="3.5740000000000003"/>
    <x v="2"/>
    <x v="5"/>
    <n v="17.87"/>
    <n v="71.48"/>
    <n v="75.054000000000002"/>
    <n v="19"/>
    <x v="2"/>
    <n v="2019"/>
  </r>
  <r>
    <x v="13"/>
    <x v="53"/>
    <n v="1"/>
    <s v="Fashion accessories"/>
    <x v="2"/>
    <n v="0.77150000000000007"/>
    <x v="1"/>
    <x v="5"/>
    <n v="15.43"/>
    <n v="15.43"/>
    <n v="16.201499999999999"/>
    <n v="22"/>
    <x v="2"/>
    <n v="2019"/>
  </r>
  <r>
    <x v="35"/>
    <x v="54"/>
    <n v="2"/>
    <s v="Home and lifestyle"/>
    <x v="0"/>
    <n v="1.6160000000000001"/>
    <x v="2"/>
    <x v="2"/>
    <n v="16.16"/>
    <n v="32.32"/>
    <n v="33.936"/>
    <n v="24"/>
    <x v="2"/>
    <n v="2019"/>
  </r>
  <r>
    <x v="24"/>
    <x v="55"/>
    <n v="8"/>
    <s v="Electronic accessories"/>
    <x v="1"/>
    <n v="34.392000000000003"/>
    <x v="1"/>
    <x v="1"/>
    <n v="85.98"/>
    <n v="687.84"/>
    <n v="722.23199999999997"/>
    <n v="15"/>
    <x v="4"/>
    <n v="2019"/>
  </r>
  <r>
    <x v="36"/>
    <x v="56"/>
    <n v="2"/>
    <s v="Home and lifestyle"/>
    <x v="1"/>
    <n v="4.4340000000000002"/>
    <x v="0"/>
    <x v="2"/>
    <n v="44.34"/>
    <n v="88.68"/>
    <n v="93.114000000000004"/>
    <n v="19"/>
    <x v="3"/>
    <n v="2019"/>
  </r>
  <r>
    <x v="37"/>
    <x v="57"/>
    <n v="8"/>
    <s v="Health and beauty"/>
    <x v="0"/>
    <n v="35.839999999999996"/>
    <x v="0"/>
    <x v="0"/>
    <n v="89.6"/>
    <n v="716.8"/>
    <n v="752.64"/>
    <n v="16"/>
    <x v="3"/>
    <n v="2019"/>
  </r>
  <r>
    <x v="23"/>
    <x v="58"/>
    <n v="10"/>
    <s v="Home and lifestyle"/>
    <x v="1"/>
    <n v="36.175000000000004"/>
    <x v="0"/>
    <x v="2"/>
    <n v="72.349999999999994"/>
    <n v="723.5"/>
    <n v="759.67499999999995"/>
    <n v="20"/>
    <x v="3"/>
    <n v="2019"/>
  </r>
  <r>
    <x v="25"/>
    <x v="59"/>
    <n v="6"/>
    <s v="Electronic accessories"/>
    <x v="1"/>
    <n v="9.1829999999999998"/>
    <x v="1"/>
    <x v="1"/>
    <n v="30.61"/>
    <n v="183.66"/>
    <n v="192.84299999999999"/>
    <n v="14"/>
    <x v="4"/>
    <n v="2019"/>
  </r>
  <r>
    <x v="26"/>
    <x v="60"/>
    <n v="3"/>
    <s v="Sports and travel"/>
    <x v="2"/>
    <n v="3.7110000000000003"/>
    <x v="1"/>
    <x v="3"/>
    <n v="24.74"/>
    <n v="74.22"/>
    <n v="77.930999999999997"/>
    <n v="13"/>
    <x v="2"/>
    <n v="2019"/>
  </r>
  <r>
    <x v="3"/>
    <x v="61"/>
    <n v="6"/>
    <s v="Home and lifestyle"/>
    <x v="0"/>
    <n v="16.719000000000001"/>
    <x v="1"/>
    <x v="2"/>
    <n v="55.73"/>
    <n v="334.38"/>
    <n v="351.09899999999999"/>
    <n v="27"/>
    <x v="3"/>
    <n v="2019"/>
  </r>
  <r>
    <x v="14"/>
    <x v="62"/>
    <n v="9"/>
    <s v="Sports and travel"/>
    <x v="0"/>
    <n v="24.781500000000001"/>
    <x v="2"/>
    <x v="3"/>
    <n v="55.07"/>
    <n v="495.63"/>
    <n v="520.41150000000005"/>
    <n v="25"/>
    <x v="3"/>
    <n v="2019"/>
  </r>
  <r>
    <x v="12"/>
    <x v="63"/>
    <n v="10"/>
    <s v="Sports and travel"/>
    <x v="2"/>
    <n v="7.9050000000000002"/>
    <x v="0"/>
    <x v="3"/>
    <n v="15.81"/>
    <n v="158.1"/>
    <n v="166.005"/>
    <n v="17"/>
    <x v="4"/>
    <n v="2019"/>
  </r>
  <r>
    <x v="38"/>
    <x v="64"/>
    <n v="4"/>
    <s v="Health and beauty"/>
    <x v="1"/>
    <n v="15.148"/>
    <x v="2"/>
    <x v="0"/>
    <n v="75.739999999999995"/>
    <n v="302.95999999999998"/>
    <n v="318.108"/>
    <n v="18"/>
    <x v="4"/>
    <n v="2019"/>
  </r>
  <r>
    <x v="39"/>
    <x v="65"/>
    <n v="10"/>
    <s v="Health and beauty"/>
    <x v="1"/>
    <n v="7.9349999999999996"/>
    <x v="0"/>
    <x v="0"/>
    <n v="15.87"/>
    <n v="158.69999999999999"/>
    <n v="166.63499999999999"/>
    <n v="18"/>
    <x v="3"/>
    <n v="2019"/>
  </r>
  <r>
    <x v="38"/>
    <x v="66"/>
    <n v="2"/>
    <s v="Health and beauty"/>
    <x v="0"/>
    <n v="3.347"/>
    <x v="1"/>
    <x v="0"/>
    <n v="33.47"/>
    <n v="66.94"/>
    <n v="70.287000000000006"/>
    <n v="18"/>
    <x v="4"/>
    <n v="2019"/>
  </r>
  <r>
    <x v="40"/>
    <x v="67"/>
    <n v="6"/>
    <s v="Fashion accessories"/>
    <x v="0"/>
    <n v="29.283000000000001"/>
    <x v="2"/>
    <x v="5"/>
    <n v="97.61"/>
    <n v="585.66"/>
    <n v="614.94299999999998"/>
    <n v="16"/>
    <x v="4"/>
    <n v="2019"/>
  </r>
  <r>
    <x v="18"/>
    <x v="68"/>
    <n v="10"/>
    <s v="Sports and travel"/>
    <x v="1"/>
    <n v="39.385000000000005"/>
    <x v="0"/>
    <x v="3"/>
    <n v="78.77"/>
    <n v="787.7"/>
    <n v="827.08500000000004"/>
    <n v="16"/>
    <x v="2"/>
    <n v="2019"/>
  </r>
  <r>
    <x v="31"/>
    <x v="69"/>
    <n v="1"/>
    <s v="Health and beauty"/>
    <x v="1"/>
    <n v="0.91649999999999998"/>
    <x v="0"/>
    <x v="0"/>
    <n v="18.329999999999998"/>
    <n v="18.329999999999998"/>
    <n v="19.246500000000001"/>
    <n v="23"/>
    <x v="3"/>
    <n v="2019"/>
  </r>
  <r>
    <x v="14"/>
    <x v="70"/>
    <n v="10"/>
    <s v="Food and beverages"/>
    <x v="2"/>
    <n v="44.74"/>
    <x v="1"/>
    <x v="4"/>
    <n v="89.48"/>
    <n v="894.8"/>
    <n v="939.54"/>
    <n v="25"/>
    <x v="3"/>
    <n v="2019"/>
  </r>
  <r>
    <x v="41"/>
    <x v="71"/>
    <n v="10"/>
    <s v="Fashion accessories"/>
    <x v="1"/>
    <n v="31.060000000000002"/>
    <x v="1"/>
    <x v="5"/>
    <n v="62.12"/>
    <n v="621.20000000000005"/>
    <n v="652.26"/>
    <n v="22"/>
    <x v="4"/>
    <n v="2019"/>
  </r>
  <r>
    <x v="10"/>
    <x v="72"/>
    <n v="3"/>
    <s v="Food and beverages"/>
    <x v="0"/>
    <n v="7.2780000000000005"/>
    <x v="2"/>
    <x v="4"/>
    <n v="48.52"/>
    <n v="145.56"/>
    <n v="152.83799999999999"/>
    <n v="21"/>
    <x v="3"/>
    <n v="2019"/>
  </r>
  <r>
    <x v="20"/>
    <x v="73"/>
    <n v="6"/>
    <s v="Electronic accessories"/>
    <x v="1"/>
    <n v="22.773"/>
    <x v="1"/>
    <x v="1"/>
    <n v="75.91"/>
    <n v="455.46"/>
    <n v="478.233"/>
    <n v="19"/>
    <x v="2"/>
    <n v="2019"/>
  </r>
  <r>
    <x v="22"/>
    <x v="74"/>
    <n v="9"/>
    <s v="Home and lifestyle"/>
    <x v="0"/>
    <n v="33.601500000000001"/>
    <x v="0"/>
    <x v="2"/>
    <n v="74.67"/>
    <n v="672.03"/>
    <n v="705.63149999999996"/>
    <n v="27"/>
    <x v="2"/>
    <n v="2019"/>
  </r>
  <r>
    <x v="16"/>
    <x v="75"/>
    <n v="10"/>
    <s v="Electronic accessories"/>
    <x v="2"/>
    <n v="20.825000000000003"/>
    <x v="1"/>
    <x v="1"/>
    <n v="41.65"/>
    <n v="416.5"/>
    <n v="437.32499999999999"/>
    <n v="23"/>
    <x v="2"/>
    <n v="2019"/>
  </r>
  <r>
    <x v="42"/>
    <x v="76"/>
    <n v="9"/>
    <s v="Fashion accessories"/>
    <x v="2"/>
    <n v="22.068000000000001"/>
    <x v="1"/>
    <x v="5"/>
    <n v="49.04"/>
    <n v="441.36"/>
    <n v="463.428"/>
    <n v="29"/>
    <x v="3"/>
    <n v="2019"/>
  </r>
  <r>
    <x v="15"/>
    <x v="77"/>
    <n v="9"/>
    <s v="Fashion accessories"/>
    <x v="2"/>
    <n v="9.0045000000000002"/>
    <x v="0"/>
    <x v="5"/>
    <n v="20.010000000000002"/>
    <n v="180.09"/>
    <n v="189.09450000000001"/>
    <n v="28"/>
    <x v="3"/>
    <n v="2019"/>
  </r>
  <r>
    <x v="7"/>
    <x v="78"/>
    <n v="10"/>
    <s v="Food and beverages"/>
    <x v="0"/>
    <n v="39.155000000000001"/>
    <x v="1"/>
    <x v="4"/>
    <n v="78.31"/>
    <n v="783.1"/>
    <n v="822.255"/>
    <n v="20"/>
    <x v="4"/>
    <n v="2019"/>
  </r>
  <r>
    <x v="43"/>
    <x v="79"/>
    <n v="5"/>
    <s v="Health and beauty"/>
    <x v="1"/>
    <n v="5.0950000000000006"/>
    <x v="1"/>
    <x v="0"/>
    <n v="20.38"/>
    <n v="101.9"/>
    <n v="106.995"/>
    <n v="30"/>
    <x v="2"/>
    <n v="2019"/>
  </r>
  <r>
    <x v="22"/>
    <x v="80"/>
    <n v="6"/>
    <s v="Health and beauty"/>
    <x v="2"/>
    <n v="29.757000000000001"/>
    <x v="1"/>
    <x v="0"/>
    <n v="99.19"/>
    <n v="595.14"/>
    <n v="624.89700000000005"/>
    <n v="27"/>
    <x v="2"/>
    <n v="2019"/>
  </r>
  <r>
    <x v="36"/>
    <x v="81"/>
    <n v="3"/>
    <s v="Food and beverages"/>
    <x v="0"/>
    <n v="14.502000000000002"/>
    <x v="2"/>
    <x v="4"/>
    <n v="96.68"/>
    <n v="290.04000000000002"/>
    <n v="304.54199999999997"/>
    <n v="19"/>
    <x v="3"/>
    <n v="2019"/>
  </r>
  <r>
    <x v="5"/>
    <x v="82"/>
    <n v="8"/>
    <s v="Food and beverages"/>
    <x v="0"/>
    <n v="7.7"/>
    <x v="1"/>
    <x v="4"/>
    <n v="19.25"/>
    <n v="154"/>
    <n v="161.69999999999999"/>
    <n v="25"/>
    <x v="4"/>
    <n v="2019"/>
  </r>
  <r>
    <x v="26"/>
    <x v="83"/>
    <n v="4"/>
    <s v="Food and beverages"/>
    <x v="2"/>
    <n v="16.071999999999999"/>
    <x v="1"/>
    <x v="4"/>
    <n v="80.36"/>
    <n v="321.44"/>
    <n v="337.512"/>
    <n v="13"/>
    <x v="2"/>
    <n v="2019"/>
  </r>
  <r>
    <x v="44"/>
    <x v="84"/>
    <n v="5"/>
    <s v="Sports and travel"/>
    <x v="1"/>
    <n v="12.227500000000001"/>
    <x v="1"/>
    <x v="3"/>
    <n v="48.91"/>
    <n v="244.55"/>
    <n v="256.77749999999997"/>
    <n v="30"/>
    <x v="3"/>
    <n v="2019"/>
  </r>
  <r>
    <x v="7"/>
    <x v="85"/>
    <n v="7"/>
    <s v="Sports and travel"/>
    <x v="0"/>
    <n v="29.070999999999998"/>
    <x v="1"/>
    <x v="3"/>
    <n v="83.06"/>
    <n v="581.41999999999996"/>
    <n v="610.49099999999999"/>
    <n v="20"/>
    <x v="4"/>
    <n v="2019"/>
  </r>
  <r>
    <x v="5"/>
    <x v="86"/>
    <n v="5"/>
    <s v="Fashion accessories"/>
    <x v="1"/>
    <n v="19.130000000000003"/>
    <x v="1"/>
    <x v="5"/>
    <n v="76.52"/>
    <n v="382.6"/>
    <n v="401.73"/>
    <n v="25"/>
    <x v="4"/>
    <n v="2019"/>
  </r>
  <r>
    <x v="37"/>
    <x v="87"/>
    <n v="7"/>
    <s v="Food and beverages"/>
    <x v="2"/>
    <n v="17.283000000000001"/>
    <x v="0"/>
    <x v="4"/>
    <n v="49.38"/>
    <n v="345.66"/>
    <n v="362.94299999999998"/>
    <n v="16"/>
    <x v="3"/>
    <n v="2019"/>
  </r>
  <r>
    <x v="36"/>
    <x v="88"/>
    <n v="1"/>
    <s v="Sports and travel"/>
    <x v="1"/>
    <n v="2.1234999999999999"/>
    <x v="0"/>
    <x v="3"/>
    <n v="42.47"/>
    <n v="42.47"/>
    <n v="44.593499999999999"/>
    <n v="19"/>
    <x v="3"/>
    <n v="2019"/>
  </r>
  <r>
    <x v="30"/>
    <x v="89"/>
    <n v="6"/>
    <s v="Health and beauty"/>
    <x v="1"/>
    <n v="23.097000000000001"/>
    <x v="2"/>
    <x v="0"/>
    <n v="76.989999999999995"/>
    <n v="461.94"/>
    <n v="485.03699999999998"/>
    <n v="26"/>
    <x v="3"/>
    <n v="2019"/>
  </r>
  <r>
    <x v="36"/>
    <x v="90"/>
    <n v="4"/>
    <s v="Home and lifestyle"/>
    <x v="1"/>
    <n v="9.4760000000000009"/>
    <x v="1"/>
    <x v="2"/>
    <n v="47.38"/>
    <n v="189.52"/>
    <n v="198.99600000000001"/>
    <n v="19"/>
    <x v="3"/>
    <n v="2019"/>
  </r>
  <r>
    <x v="39"/>
    <x v="91"/>
    <n v="10"/>
    <s v="Sports and travel"/>
    <x v="0"/>
    <n v="22.430000000000003"/>
    <x v="1"/>
    <x v="3"/>
    <n v="44.86"/>
    <n v="448.6"/>
    <n v="471.03"/>
    <n v="18"/>
    <x v="3"/>
    <n v="2019"/>
  </r>
  <r>
    <x v="45"/>
    <x v="92"/>
    <n v="7"/>
    <s v="Sports and travel"/>
    <x v="0"/>
    <n v="7.6930000000000014"/>
    <x v="0"/>
    <x v="3"/>
    <n v="21.98"/>
    <n v="153.86000000000001"/>
    <n v="161.553"/>
    <n v="21"/>
    <x v="2"/>
    <n v="2019"/>
  </r>
  <r>
    <x v="46"/>
    <x v="93"/>
    <n v="9"/>
    <s v="Health and beauty"/>
    <x v="2"/>
    <n v="28.962000000000003"/>
    <x v="2"/>
    <x v="0"/>
    <n v="64.36"/>
    <n v="579.24"/>
    <n v="608.202"/>
    <n v="13"/>
    <x v="4"/>
    <n v="2019"/>
  </r>
  <r>
    <x v="16"/>
    <x v="94"/>
    <n v="1"/>
    <s v="Health and beauty"/>
    <x v="2"/>
    <n v="4.4874999999999998"/>
    <x v="1"/>
    <x v="0"/>
    <n v="89.75"/>
    <n v="89.75"/>
    <n v="94.237499999999997"/>
    <n v="23"/>
    <x v="2"/>
    <n v="2019"/>
  </r>
  <r>
    <x v="15"/>
    <x v="95"/>
    <n v="1"/>
    <s v="Electronic accessories"/>
    <x v="0"/>
    <n v="4.8580000000000005"/>
    <x v="0"/>
    <x v="1"/>
    <n v="97.16"/>
    <n v="97.16"/>
    <n v="102.018"/>
    <n v="28"/>
    <x v="3"/>
    <n v="2019"/>
  </r>
  <r>
    <x v="31"/>
    <x v="96"/>
    <n v="10"/>
    <s v="Health and beauty"/>
    <x v="0"/>
    <n v="43.935000000000002"/>
    <x v="2"/>
    <x v="0"/>
    <n v="87.87"/>
    <n v="878.7"/>
    <n v="922.63499999999999"/>
    <n v="23"/>
    <x v="3"/>
    <n v="2019"/>
  </r>
  <r>
    <x v="16"/>
    <x v="97"/>
    <n v="6"/>
    <s v="Electronic accessories"/>
    <x v="1"/>
    <n v="3.7350000000000003"/>
    <x v="1"/>
    <x v="1"/>
    <n v="12.45"/>
    <n v="74.7"/>
    <n v="78.435000000000002"/>
    <n v="23"/>
    <x v="2"/>
    <n v="2019"/>
  </r>
  <r>
    <x v="14"/>
    <x v="98"/>
    <n v="3"/>
    <s v="Food and beverages"/>
    <x v="0"/>
    <n v="7.9125000000000005"/>
    <x v="0"/>
    <x v="4"/>
    <n v="52.75"/>
    <n v="158.25"/>
    <n v="166.16249999999999"/>
    <n v="25"/>
    <x v="3"/>
    <n v="2019"/>
  </r>
  <r>
    <x v="15"/>
    <x v="99"/>
    <n v="6"/>
    <s v="Home and lifestyle"/>
    <x v="1"/>
    <n v="24.810000000000002"/>
    <x v="2"/>
    <x v="2"/>
    <n v="82.7"/>
    <n v="496.2"/>
    <n v="521.01"/>
    <n v="28"/>
    <x v="3"/>
    <n v="2019"/>
  </r>
  <r>
    <x v="9"/>
    <x v="100"/>
    <n v="1"/>
    <s v="Fashion accessories"/>
    <x v="1"/>
    <n v="2.4355000000000002"/>
    <x v="1"/>
    <x v="5"/>
    <n v="48.71"/>
    <n v="48.71"/>
    <n v="51.145499999999998"/>
    <n v="15"/>
    <x v="3"/>
    <n v="2019"/>
  </r>
  <r>
    <x v="18"/>
    <x v="101"/>
    <n v="9"/>
    <s v="Fashion accessories"/>
    <x v="1"/>
    <n v="35.347500000000004"/>
    <x v="1"/>
    <x v="5"/>
    <n v="78.55"/>
    <n v="706.95"/>
    <n v="742.29750000000001"/>
    <n v="16"/>
    <x v="2"/>
    <n v="2019"/>
  </r>
  <r>
    <x v="30"/>
    <x v="102"/>
    <n v="9"/>
    <s v="Electronic accessories"/>
    <x v="1"/>
    <n v="10.381500000000001"/>
    <x v="1"/>
    <x v="1"/>
    <n v="23.07"/>
    <n v="207.63"/>
    <n v="218.01150000000001"/>
    <n v="26"/>
    <x v="3"/>
    <n v="2019"/>
  </r>
  <r>
    <x v="20"/>
    <x v="103"/>
    <n v="6"/>
    <s v="Food and beverages"/>
    <x v="1"/>
    <n v="17.478000000000002"/>
    <x v="0"/>
    <x v="4"/>
    <n v="58.26"/>
    <n v="349.56"/>
    <n v="367.03800000000001"/>
    <n v="19"/>
    <x v="2"/>
    <n v="2019"/>
  </r>
  <r>
    <x v="29"/>
    <x v="104"/>
    <n v="7"/>
    <s v="Health and beauty"/>
    <x v="1"/>
    <n v="10.6225"/>
    <x v="2"/>
    <x v="0"/>
    <n v="30.35"/>
    <n v="212.45"/>
    <n v="223.07249999999999"/>
    <n v="13"/>
    <x v="3"/>
    <n v="2019"/>
  </r>
  <r>
    <x v="33"/>
    <x v="105"/>
    <n v="10"/>
    <s v="Electronic accessories"/>
    <x v="0"/>
    <n v="44.335000000000008"/>
    <x v="0"/>
    <x v="1"/>
    <n v="88.67"/>
    <n v="886.7"/>
    <n v="931.03499999999997"/>
    <n v="26"/>
    <x v="2"/>
    <n v="2019"/>
  </r>
  <r>
    <x v="16"/>
    <x v="106"/>
    <n v="6"/>
    <s v="Fashion accessories"/>
    <x v="2"/>
    <n v="8.2140000000000004"/>
    <x v="1"/>
    <x v="5"/>
    <n v="27.38"/>
    <n v="164.28"/>
    <n v="172.494"/>
    <n v="23"/>
    <x v="2"/>
    <n v="2019"/>
  </r>
  <r>
    <x v="12"/>
    <x v="107"/>
    <n v="6"/>
    <s v="Sports and travel"/>
    <x v="1"/>
    <n v="18.638999999999999"/>
    <x v="0"/>
    <x v="3"/>
    <n v="62.13"/>
    <n v="372.78"/>
    <n v="391.41899999999998"/>
    <n v="17"/>
    <x v="4"/>
    <n v="2019"/>
  </r>
  <r>
    <x v="42"/>
    <x v="108"/>
    <n v="9"/>
    <s v="Food and beverages"/>
    <x v="1"/>
    <n v="15.291"/>
    <x v="1"/>
    <x v="4"/>
    <n v="33.979999999999997"/>
    <n v="305.82"/>
    <n v="321.11099999999999"/>
    <n v="29"/>
    <x v="3"/>
    <n v="2019"/>
  </r>
  <r>
    <x v="11"/>
    <x v="109"/>
    <n v="10"/>
    <s v="Electronic accessories"/>
    <x v="1"/>
    <n v="40.985000000000007"/>
    <x v="1"/>
    <x v="1"/>
    <n v="81.97"/>
    <n v="819.7"/>
    <n v="860.68499999999995"/>
    <n v="15"/>
    <x v="2"/>
    <n v="2019"/>
  </r>
  <r>
    <x v="47"/>
    <x v="110"/>
    <n v="2"/>
    <s v="Sports and travel"/>
    <x v="0"/>
    <n v="1.649"/>
    <x v="2"/>
    <x v="3"/>
    <n v="16.489999999999998"/>
    <n v="32.979999999999997"/>
    <n v="34.628999999999998"/>
    <n v="14"/>
    <x v="3"/>
    <n v="2019"/>
  </r>
  <r>
    <x v="24"/>
    <x v="111"/>
    <n v="3"/>
    <s v="Health and beauty"/>
    <x v="2"/>
    <n v="14.7315"/>
    <x v="1"/>
    <x v="0"/>
    <n v="98.21"/>
    <n v="294.63"/>
    <n v="309.36149999999998"/>
    <n v="15"/>
    <x v="4"/>
    <n v="2019"/>
  </r>
  <r>
    <x v="48"/>
    <x v="112"/>
    <n v="7"/>
    <s v="Fashion accessories"/>
    <x v="1"/>
    <n v="25.494"/>
    <x v="2"/>
    <x v="5"/>
    <n v="72.84"/>
    <n v="509.88"/>
    <n v="535.37400000000002"/>
    <n v="18"/>
    <x v="2"/>
    <n v="2019"/>
  </r>
  <r>
    <x v="34"/>
    <x v="113"/>
    <n v="9"/>
    <s v="Home and lifestyle"/>
    <x v="0"/>
    <n v="26.131500000000003"/>
    <x v="0"/>
    <x v="2"/>
    <n v="58.07"/>
    <n v="522.63"/>
    <n v="548.76149999999996"/>
    <n v="28"/>
    <x v="2"/>
    <n v="2019"/>
  </r>
  <r>
    <x v="14"/>
    <x v="114"/>
    <n v="9"/>
    <s v="Home and lifestyle"/>
    <x v="2"/>
    <n v="36.355499999999999"/>
    <x v="1"/>
    <x v="2"/>
    <n v="80.790000000000006"/>
    <n v="727.11"/>
    <n v="763.46550000000002"/>
    <n v="25"/>
    <x v="3"/>
    <n v="2019"/>
  </r>
  <r>
    <x v="37"/>
    <x v="115"/>
    <n v="3"/>
    <s v="Fashion accessories"/>
    <x v="2"/>
    <n v="4.0529999999999999"/>
    <x v="1"/>
    <x v="5"/>
    <n v="27.02"/>
    <n v="81.06"/>
    <n v="85.113"/>
    <n v="16"/>
    <x v="3"/>
    <n v="2019"/>
  </r>
  <r>
    <x v="49"/>
    <x v="116"/>
    <n v="5"/>
    <s v="Fashion accessories"/>
    <x v="0"/>
    <n v="5.4850000000000003"/>
    <x v="2"/>
    <x v="5"/>
    <n v="21.94"/>
    <n v="109.7"/>
    <n v="115.185"/>
    <n v="20"/>
    <x v="2"/>
    <n v="2019"/>
  </r>
  <r>
    <x v="13"/>
    <x v="117"/>
    <n v="1"/>
    <s v="Fashion accessories"/>
    <x v="0"/>
    <n v="2.5680000000000001"/>
    <x v="2"/>
    <x v="5"/>
    <n v="51.36"/>
    <n v="51.36"/>
    <n v="53.927999999999997"/>
    <n v="22"/>
    <x v="2"/>
    <n v="2019"/>
  </r>
  <r>
    <x v="35"/>
    <x v="118"/>
    <n v="10"/>
    <s v="Food and beverages"/>
    <x v="0"/>
    <n v="5.48"/>
    <x v="0"/>
    <x v="4"/>
    <n v="10.96"/>
    <n v="109.6"/>
    <n v="115.08"/>
    <n v="24"/>
    <x v="2"/>
    <n v="2019"/>
  </r>
  <r>
    <x v="50"/>
    <x v="119"/>
    <n v="2"/>
    <s v="Home and lifestyle"/>
    <x v="0"/>
    <n v="5.3440000000000003"/>
    <x v="2"/>
    <x v="2"/>
    <n v="53.44"/>
    <n v="106.88"/>
    <n v="112.224"/>
    <n v="21"/>
    <x v="4"/>
    <n v="2019"/>
  </r>
  <r>
    <x v="51"/>
    <x v="120"/>
    <n v="8"/>
    <s v="Electronic accessories"/>
    <x v="2"/>
    <n v="39.824000000000005"/>
    <x v="0"/>
    <x v="1"/>
    <n v="99.56"/>
    <n v="796.48"/>
    <n v="836.30399999999997"/>
    <n v="31"/>
    <x v="3"/>
    <n v="2019"/>
  </r>
  <r>
    <x v="12"/>
    <x v="121"/>
    <n v="7"/>
    <s v="Sports and travel"/>
    <x v="2"/>
    <n v="19.992000000000001"/>
    <x v="1"/>
    <x v="3"/>
    <n v="57.12"/>
    <n v="399.84"/>
    <n v="419.83199999999999"/>
    <n v="17"/>
    <x v="4"/>
    <n v="2019"/>
  </r>
  <r>
    <x v="50"/>
    <x v="122"/>
    <n v="9"/>
    <s v="Sports and travel"/>
    <x v="2"/>
    <n v="44.981999999999999"/>
    <x v="2"/>
    <x v="3"/>
    <n v="99.96"/>
    <n v="899.64"/>
    <n v="944.62199999999996"/>
    <n v="21"/>
    <x v="4"/>
    <n v="2019"/>
  </r>
  <r>
    <x v="49"/>
    <x v="123"/>
    <n v="8"/>
    <s v="Home and lifestyle"/>
    <x v="2"/>
    <n v="25.564"/>
    <x v="1"/>
    <x v="2"/>
    <n v="63.91"/>
    <n v="511.28"/>
    <n v="536.84400000000005"/>
    <n v="20"/>
    <x v="2"/>
    <n v="2019"/>
  </r>
  <r>
    <x v="30"/>
    <x v="124"/>
    <n v="8"/>
    <s v="Fashion accessories"/>
    <x v="0"/>
    <n v="22.588000000000001"/>
    <x v="2"/>
    <x v="5"/>
    <n v="56.47"/>
    <n v="451.76"/>
    <n v="474.34800000000001"/>
    <n v="26"/>
    <x v="3"/>
    <n v="2019"/>
  </r>
  <r>
    <x v="51"/>
    <x v="125"/>
    <n v="7"/>
    <s v="Home and lifestyle"/>
    <x v="2"/>
    <n v="32.791500000000006"/>
    <x v="0"/>
    <x v="2"/>
    <n v="93.69"/>
    <n v="655.83"/>
    <n v="688.62149999999997"/>
    <n v="31"/>
    <x v="3"/>
    <n v="2019"/>
  </r>
  <r>
    <x v="52"/>
    <x v="126"/>
    <n v="5"/>
    <s v="Sports and travel"/>
    <x v="1"/>
    <n v="8.0625"/>
    <x v="0"/>
    <x v="3"/>
    <n v="32.25"/>
    <n v="161.25"/>
    <n v="169.3125"/>
    <n v="26"/>
    <x v="4"/>
    <n v="2019"/>
  </r>
  <r>
    <x v="30"/>
    <x v="127"/>
    <n v="9"/>
    <s v="Fashion accessories"/>
    <x v="2"/>
    <n v="14.278500000000001"/>
    <x v="1"/>
    <x v="5"/>
    <n v="31.73"/>
    <n v="285.57"/>
    <n v="299.8485"/>
    <n v="26"/>
    <x v="3"/>
    <n v="2019"/>
  </r>
  <r>
    <x v="50"/>
    <x v="128"/>
    <n v="8"/>
    <s v="Food and beverages"/>
    <x v="0"/>
    <n v="27.416000000000004"/>
    <x v="1"/>
    <x v="4"/>
    <n v="68.540000000000006"/>
    <n v="548.32000000000005"/>
    <n v="575.73599999999999"/>
    <n v="21"/>
    <x v="4"/>
    <n v="2019"/>
  </r>
  <r>
    <x v="23"/>
    <x v="129"/>
    <n v="9"/>
    <s v="Sports and travel"/>
    <x v="0"/>
    <n v="40.626000000000005"/>
    <x v="2"/>
    <x v="3"/>
    <n v="90.28"/>
    <n v="812.52"/>
    <n v="853.14599999999996"/>
    <n v="20"/>
    <x v="3"/>
    <n v="2019"/>
  </r>
  <r>
    <x v="15"/>
    <x v="130"/>
    <n v="7"/>
    <s v="Fashion accessories"/>
    <x v="1"/>
    <n v="13.866999999999999"/>
    <x v="2"/>
    <x v="5"/>
    <n v="39.619999999999997"/>
    <n v="277.33999999999997"/>
    <n v="291.20699999999999"/>
    <n v="28"/>
    <x v="3"/>
    <n v="2019"/>
  </r>
  <r>
    <x v="21"/>
    <x v="131"/>
    <n v="6"/>
    <s v="Sports and travel"/>
    <x v="1"/>
    <n v="27.638999999999999"/>
    <x v="0"/>
    <x v="3"/>
    <n v="92.13"/>
    <n v="552.78"/>
    <n v="580.41899999999998"/>
    <n v="28"/>
    <x v="4"/>
    <n v="2019"/>
  </r>
  <r>
    <x v="31"/>
    <x v="132"/>
    <n v="4"/>
    <s v="Sports and travel"/>
    <x v="1"/>
    <n v="6.9680000000000009"/>
    <x v="2"/>
    <x v="3"/>
    <n v="34.840000000000003"/>
    <n v="139.36000000000001"/>
    <n v="146.328"/>
    <n v="23"/>
    <x v="3"/>
    <n v="2019"/>
  </r>
  <r>
    <x v="47"/>
    <x v="133"/>
    <n v="6"/>
    <s v="Electronic accessories"/>
    <x v="2"/>
    <n v="26.235000000000003"/>
    <x v="2"/>
    <x v="1"/>
    <n v="87.45"/>
    <n v="524.70000000000005"/>
    <n v="550.93499999999995"/>
    <n v="14"/>
    <x v="3"/>
    <n v="2019"/>
  </r>
  <r>
    <x v="53"/>
    <x v="134"/>
    <n v="6"/>
    <s v="Health and beauty"/>
    <x v="0"/>
    <n v="24.39"/>
    <x v="1"/>
    <x v="0"/>
    <n v="81.3"/>
    <n v="487.8"/>
    <n v="512.19000000000005"/>
    <n v="17"/>
    <x v="2"/>
    <n v="2019"/>
  </r>
  <r>
    <x v="18"/>
    <x v="135"/>
    <n v="3"/>
    <s v="Fashion accessories"/>
    <x v="1"/>
    <n v="13.533000000000001"/>
    <x v="1"/>
    <x v="5"/>
    <n v="90.22"/>
    <n v="270.66000000000003"/>
    <n v="284.19299999999998"/>
    <n v="16"/>
    <x v="2"/>
    <n v="2019"/>
  </r>
  <r>
    <x v="42"/>
    <x v="136"/>
    <n v="5"/>
    <s v="Electronic accessories"/>
    <x v="2"/>
    <n v="6.5775000000000006"/>
    <x v="0"/>
    <x v="1"/>
    <n v="26.31"/>
    <n v="131.55000000000001"/>
    <n v="138.1275"/>
    <n v="29"/>
    <x v="3"/>
    <n v="2019"/>
  </r>
  <r>
    <x v="51"/>
    <x v="137"/>
    <n v="6"/>
    <s v="Home and lifestyle"/>
    <x v="1"/>
    <n v="10.326000000000001"/>
    <x v="0"/>
    <x v="2"/>
    <n v="34.42"/>
    <n v="206.52"/>
    <n v="216.846"/>
    <n v="31"/>
    <x v="3"/>
    <n v="2019"/>
  </r>
  <r>
    <x v="46"/>
    <x v="138"/>
    <n v="10"/>
    <s v="Sports and travel"/>
    <x v="1"/>
    <n v="25.955000000000002"/>
    <x v="2"/>
    <x v="3"/>
    <n v="51.91"/>
    <n v="519.1"/>
    <n v="545.05499999999995"/>
    <n v="13"/>
    <x v="4"/>
    <n v="2019"/>
  </r>
  <r>
    <x v="20"/>
    <x v="139"/>
    <n v="8"/>
    <s v="Sports and travel"/>
    <x v="0"/>
    <n v="29"/>
    <x v="0"/>
    <x v="3"/>
    <n v="72.5"/>
    <n v="580"/>
    <n v="609"/>
    <n v="19"/>
    <x v="2"/>
    <n v="2019"/>
  </r>
  <r>
    <x v="26"/>
    <x v="140"/>
    <n v="10"/>
    <s v="Sports and travel"/>
    <x v="2"/>
    <n v="44.900000000000006"/>
    <x v="1"/>
    <x v="3"/>
    <n v="89.8"/>
    <n v="898"/>
    <n v="942.9"/>
    <n v="13"/>
    <x v="2"/>
    <n v="2019"/>
  </r>
  <r>
    <x v="52"/>
    <x v="141"/>
    <n v="10"/>
    <s v="Health and beauty"/>
    <x v="1"/>
    <n v="45.25"/>
    <x v="1"/>
    <x v="0"/>
    <n v="90.5"/>
    <n v="905"/>
    <n v="950.25"/>
    <n v="26"/>
    <x v="4"/>
    <n v="2019"/>
  </r>
  <r>
    <x v="54"/>
    <x v="142"/>
    <n v="10"/>
    <s v="Health and beauty"/>
    <x v="1"/>
    <n v="34.300000000000004"/>
    <x v="1"/>
    <x v="0"/>
    <n v="68.599999999999994"/>
    <n v="686"/>
    <n v="720.3"/>
    <n v="14"/>
    <x v="2"/>
    <n v="2019"/>
  </r>
  <r>
    <x v="3"/>
    <x v="143"/>
    <n v="1"/>
    <s v="Food and beverages"/>
    <x v="2"/>
    <n v="1.5205000000000002"/>
    <x v="1"/>
    <x v="4"/>
    <n v="30.41"/>
    <n v="30.41"/>
    <n v="31.930499999999999"/>
    <n v="27"/>
    <x v="3"/>
    <n v="2019"/>
  </r>
  <r>
    <x v="52"/>
    <x v="144"/>
    <n v="6"/>
    <s v="Home and lifestyle"/>
    <x v="0"/>
    <n v="23.385000000000002"/>
    <x v="0"/>
    <x v="2"/>
    <n v="77.95"/>
    <n v="467.7"/>
    <n v="491.08499999999998"/>
    <n v="26"/>
    <x v="4"/>
    <n v="2019"/>
  </r>
  <r>
    <x v="49"/>
    <x v="145"/>
    <n v="6"/>
    <s v="Health and beauty"/>
    <x v="2"/>
    <n v="13.878"/>
    <x v="1"/>
    <x v="0"/>
    <n v="46.26"/>
    <n v="277.56"/>
    <n v="291.43799999999999"/>
    <n v="20"/>
    <x v="2"/>
    <n v="2019"/>
  </r>
  <r>
    <x v="49"/>
    <x v="146"/>
    <n v="10"/>
    <s v="Fashion accessories"/>
    <x v="0"/>
    <n v="15.07"/>
    <x v="0"/>
    <x v="5"/>
    <n v="30.14"/>
    <n v="301.39999999999998"/>
    <n v="316.47000000000003"/>
    <n v="20"/>
    <x v="2"/>
    <n v="2019"/>
  </r>
  <r>
    <x v="24"/>
    <x v="147"/>
    <n v="4"/>
    <s v="Health and beauty"/>
    <x v="2"/>
    <n v="13.228000000000002"/>
    <x v="1"/>
    <x v="0"/>
    <n v="66.14"/>
    <n v="264.56"/>
    <n v="277.78800000000001"/>
    <n v="15"/>
    <x v="4"/>
    <n v="2019"/>
  </r>
  <r>
    <x v="7"/>
    <x v="148"/>
    <n v="8"/>
    <s v="Home and lifestyle"/>
    <x v="2"/>
    <n v="28.744"/>
    <x v="2"/>
    <x v="2"/>
    <n v="71.86"/>
    <n v="574.88"/>
    <n v="603.62400000000002"/>
    <n v="20"/>
    <x v="4"/>
    <n v="2019"/>
  </r>
  <r>
    <x v="35"/>
    <x v="149"/>
    <n v="8"/>
    <s v="Health and beauty"/>
    <x v="2"/>
    <n v="12.984000000000002"/>
    <x v="0"/>
    <x v="0"/>
    <n v="32.46"/>
    <n v="259.68"/>
    <n v="272.66399999999999"/>
    <n v="24"/>
    <x v="2"/>
    <n v="2019"/>
  </r>
  <r>
    <x v="51"/>
    <x v="150"/>
    <n v="4"/>
    <s v="Fashion accessories"/>
    <x v="2"/>
    <n v="18.308000000000003"/>
    <x v="2"/>
    <x v="5"/>
    <n v="91.54"/>
    <n v="366.16"/>
    <n v="384.46800000000002"/>
    <n v="31"/>
    <x v="3"/>
    <n v="2019"/>
  </r>
  <r>
    <x v="14"/>
    <x v="151"/>
    <n v="7"/>
    <s v="Sports and travel"/>
    <x v="2"/>
    <n v="12.096"/>
    <x v="1"/>
    <x v="3"/>
    <n v="34.56"/>
    <n v="241.92"/>
    <n v="254.01599999999999"/>
    <n v="25"/>
    <x v="3"/>
    <n v="2019"/>
  </r>
  <r>
    <x v="27"/>
    <x v="152"/>
    <n v="9"/>
    <s v="Fashion accessories"/>
    <x v="2"/>
    <n v="37.457999999999998"/>
    <x v="0"/>
    <x v="5"/>
    <n v="83.24"/>
    <n v="749.16"/>
    <n v="786.61800000000005"/>
    <n v="24"/>
    <x v="3"/>
    <n v="2019"/>
  </r>
  <r>
    <x v="54"/>
    <x v="153"/>
    <n v="6"/>
    <s v="Food and beverages"/>
    <x v="0"/>
    <n v="4.944"/>
    <x v="1"/>
    <x v="4"/>
    <n v="16.48"/>
    <n v="98.88"/>
    <n v="103.824"/>
    <n v="14"/>
    <x v="2"/>
    <n v="2019"/>
  </r>
  <r>
    <x v="38"/>
    <x v="154"/>
    <n v="8"/>
    <s v="Sports and travel"/>
    <x v="1"/>
    <n v="32.387999999999998"/>
    <x v="1"/>
    <x v="3"/>
    <n v="80.97"/>
    <n v="647.76"/>
    <n v="680.14800000000002"/>
    <n v="18"/>
    <x v="4"/>
    <n v="2019"/>
  </r>
  <r>
    <x v="10"/>
    <x v="155"/>
    <n v="5"/>
    <s v="Food and beverages"/>
    <x v="2"/>
    <n v="23.072500000000002"/>
    <x v="0"/>
    <x v="4"/>
    <n v="92.29"/>
    <n v="461.45"/>
    <n v="484.52249999999998"/>
    <n v="21"/>
    <x v="3"/>
    <n v="2019"/>
  </r>
  <r>
    <x v="26"/>
    <x v="156"/>
    <n v="1"/>
    <s v="Electronic accessories"/>
    <x v="1"/>
    <n v="3.6085000000000003"/>
    <x v="2"/>
    <x v="1"/>
    <n v="72.17"/>
    <n v="72.17"/>
    <n v="75.778499999999994"/>
    <n v="13"/>
    <x v="2"/>
    <n v="2019"/>
  </r>
  <r>
    <x v="8"/>
    <x v="157"/>
    <n v="5"/>
    <s v="Home and lifestyle"/>
    <x v="0"/>
    <n v="12.57"/>
    <x v="2"/>
    <x v="2"/>
    <n v="50.28"/>
    <n v="251.4"/>
    <n v="263.97000000000003"/>
    <n v="29"/>
    <x v="2"/>
    <n v="2019"/>
  </r>
  <r>
    <x v="14"/>
    <x v="158"/>
    <n v="9"/>
    <s v="Health and beauty"/>
    <x v="0"/>
    <n v="43.749000000000002"/>
    <x v="2"/>
    <x v="0"/>
    <n v="97.22"/>
    <n v="874.98"/>
    <n v="918.72900000000004"/>
    <n v="25"/>
    <x v="3"/>
    <n v="2019"/>
  </r>
  <r>
    <x v="36"/>
    <x v="159"/>
    <n v="6"/>
    <s v="Sports and travel"/>
    <x v="0"/>
    <n v="28.017000000000003"/>
    <x v="2"/>
    <x v="3"/>
    <n v="93.39"/>
    <n v="560.34"/>
    <n v="588.35699999999997"/>
    <n v="19"/>
    <x v="3"/>
    <n v="2019"/>
  </r>
  <r>
    <x v="5"/>
    <x v="160"/>
    <n v="8"/>
    <s v="Food and beverages"/>
    <x v="2"/>
    <n v="17.272000000000002"/>
    <x v="1"/>
    <x v="4"/>
    <n v="43.18"/>
    <n v="345.44"/>
    <n v="362.71199999999999"/>
    <n v="25"/>
    <x v="4"/>
    <n v="2019"/>
  </r>
  <r>
    <x v="48"/>
    <x v="161"/>
    <n v="1"/>
    <s v="Sports and travel"/>
    <x v="1"/>
    <n v="3.1844999999999999"/>
    <x v="0"/>
    <x v="3"/>
    <n v="63.69"/>
    <n v="63.69"/>
    <n v="66.874499999999998"/>
    <n v="18"/>
    <x v="2"/>
    <n v="2019"/>
  </r>
  <r>
    <x v="32"/>
    <x v="162"/>
    <n v="7"/>
    <s v="Food and beverages"/>
    <x v="2"/>
    <n v="16.026499999999999"/>
    <x v="0"/>
    <x v="4"/>
    <n v="45.79"/>
    <n v="320.52999999999997"/>
    <n v="336.55650000000003"/>
    <n v="23"/>
    <x v="4"/>
    <n v="2019"/>
  </r>
  <r>
    <x v="33"/>
    <x v="163"/>
    <n v="2"/>
    <s v="Sports and travel"/>
    <x v="0"/>
    <n v="7.6400000000000006"/>
    <x v="1"/>
    <x v="3"/>
    <n v="76.400000000000006"/>
    <n v="152.80000000000001"/>
    <n v="160.44"/>
    <n v="26"/>
    <x v="2"/>
    <n v="2019"/>
  </r>
  <r>
    <x v="43"/>
    <x v="164"/>
    <n v="10"/>
    <s v="Food and beverages"/>
    <x v="2"/>
    <n v="19.950000000000003"/>
    <x v="2"/>
    <x v="4"/>
    <n v="39.9"/>
    <n v="399"/>
    <n v="418.95"/>
    <n v="30"/>
    <x v="2"/>
    <n v="2019"/>
  </r>
  <r>
    <x v="12"/>
    <x v="165"/>
    <n v="8"/>
    <s v="Health and beauty"/>
    <x v="0"/>
    <n v="17.028000000000002"/>
    <x v="2"/>
    <x v="0"/>
    <n v="42.57"/>
    <n v="340.56"/>
    <n v="357.58800000000002"/>
    <n v="17"/>
    <x v="4"/>
    <n v="2019"/>
  </r>
  <r>
    <x v="45"/>
    <x v="166"/>
    <n v="10"/>
    <s v="Home and lifestyle"/>
    <x v="1"/>
    <n v="47.79"/>
    <x v="1"/>
    <x v="2"/>
    <n v="95.58"/>
    <n v="955.8"/>
    <n v="1003.59"/>
    <n v="21"/>
    <x v="2"/>
    <n v="2019"/>
  </r>
  <r>
    <x v="51"/>
    <x v="167"/>
    <n v="10"/>
    <s v="Fashion accessories"/>
    <x v="2"/>
    <n v="49.49"/>
    <x v="0"/>
    <x v="5"/>
    <n v="98.98"/>
    <n v="989.8"/>
    <n v="1039.29"/>
    <n v="31"/>
    <x v="3"/>
    <n v="2019"/>
  </r>
  <r>
    <x v="25"/>
    <x v="168"/>
    <n v="6"/>
    <s v="Food and beverages"/>
    <x v="1"/>
    <n v="15.384"/>
    <x v="0"/>
    <x v="4"/>
    <n v="51.28"/>
    <n v="307.68"/>
    <n v="323.06400000000002"/>
    <n v="14"/>
    <x v="4"/>
    <n v="2019"/>
  </r>
  <r>
    <x v="38"/>
    <x v="169"/>
    <n v="7"/>
    <s v="Sports and travel"/>
    <x v="2"/>
    <n v="24.332000000000001"/>
    <x v="0"/>
    <x v="3"/>
    <n v="69.52"/>
    <n v="486.64"/>
    <n v="510.97199999999998"/>
    <n v="18"/>
    <x v="4"/>
    <n v="2019"/>
  </r>
  <r>
    <x v="52"/>
    <x v="170"/>
    <n v="5"/>
    <s v="Health and beauty"/>
    <x v="0"/>
    <n v="17.502500000000001"/>
    <x v="0"/>
    <x v="0"/>
    <n v="70.010000000000005"/>
    <n v="350.05"/>
    <n v="367.55250000000001"/>
    <n v="26"/>
    <x v="4"/>
    <n v="2019"/>
  </r>
  <r>
    <x v="39"/>
    <x v="171"/>
    <n v="5"/>
    <s v="Food and beverages"/>
    <x v="2"/>
    <n v="20.012500000000003"/>
    <x v="2"/>
    <x v="4"/>
    <n v="80.05"/>
    <n v="400.25"/>
    <n v="420.26249999999999"/>
    <n v="18"/>
    <x v="3"/>
    <n v="2019"/>
  </r>
  <r>
    <x v="24"/>
    <x v="172"/>
    <n v="8"/>
    <s v="Electronic accessories"/>
    <x v="1"/>
    <n v="8.3400000000000016"/>
    <x v="1"/>
    <x v="1"/>
    <n v="20.85"/>
    <n v="166.8"/>
    <n v="175.14"/>
    <n v="15"/>
    <x v="4"/>
    <n v="2019"/>
  </r>
  <r>
    <x v="17"/>
    <x v="173"/>
    <n v="6"/>
    <s v="Electronic accessories"/>
    <x v="2"/>
    <n v="15.866999999999999"/>
    <x v="2"/>
    <x v="1"/>
    <n v="52.89"/>
    <n v="317.33999999999997"/>
    <n v="333.20699999999999"/>
    <n v="17"/>
    <x v="3"/>
    <n v="2019"/>
  </r>
  <r>
    <x v="14"/>
    <x v="174"/>
    <n v="8"/>
    <s v="Food and beverages"/>
    <x v="0"/>
    <n v="7.9160000000000004"/>
    <x v="2"/>
    <x v="4"/>
    <n v="19.79"/>
    <n v="158.32"/>
    <n v="166.23599999999999"/>
    <n v="25"/>
    <x v="3"/>
    <n v="2019"/>
  </r>
  <r>
    <x v="4"/>
    <x v="175"/>
    <n v="9"/>
    <s v="Home and lifestyle"/>
    <x v="0"/>
    <n v="15.228000000000002"/>
    <x v="0"/>
    <x v="2"/>
    <n v="33.840000000000003"/>
    <n v="304.56"/>
    <n v="319.78800000000001"/>
    <n v="25"/>
    <x v="2"/>
    <n v="2019"/>
  </r>
  <r>
    <x v="12"/>
    <x v="176"/>
    <n v="8"/>
    <s v="Food and beverages"/>
    <x v="2"/>
    <n v="8.8680000000000003"/>
    <x v="0"/>
    <x v="4"/>
    <n v="22.17"/>
    <n v="177.36"/>
    <n v="186.22800000000001"/>
    <n v="17"/>
    <x v="4"/>
    <n v="2019"/>
  </r>
  <r>
    <x v="54"/>
    <x v="177"/>
    <n v="7"/>
    <s v="Fashion accessories"/>
    <x v="2"/>
    <n v="7.8784999999999998"/>
    <x v="1"/>
    <x v="5"/>
    <n v="22.51"/>
    <n v="157.57"/>
    <n v="165.4485"/>
    <n v="14"/>
    <x v="2"/>
    <n v="2019"/>
  </r>
  <r>
    <x v="35"/>
    <x v="178"/>
    <n v="6"/>
    <s v="Food and beverages"/>
    <x v="0"/>
    <n v="22.164000000000001"/>
    <x v="0"/>
    <x v="4"/>
    <n v="73.88"/>
    <n v="443.28"/>
    <n v="465.44400000000002"/>
    <n v="24"/>
    <x v="2"/>
    <n v="2019"/>
  </r>
  <r>
    <x v="45"/>
    <x v="179"/>
    <n v="3"/>
    <s v="Health and beauty"/>
    <x v="0"/>
    <n v="13.02"/>
    <x v="1"/>
    <x v="0"/>
    <n v="86.8"/>
    <n v="260.39999999999998"/>
    <n v="273.42"/>
    <n v="21"/>
    <x v="2"/>
    <n v="2019"/>
  </r>
  <r>
    <x v="20"/>
    <x v="180"/>
    <n v="7"/>
    <s v="Fashion accessories"/>
    <x v="1"/>
    <n v="22.491"/>
    <x v="1"/>
    <x v="5"/>
    <n v="64.260000000000005"/>
    <n v="449.82"/>
    <n v="472.31099999999998"/>
    <n v="19"/>
    <x v="2"/>
    <n v="2019"/>
  </r>
  <r>
    <x v="6"/>
    <x v="181"/>
    <n v="8"/>
    <s v="Food and beverages"/>
    <x v="1"/>
    <n v="15.388"/>
    <x v="1"/>
    <x v="4"/>
    <n v="38.47"/>
    <n v="307.76"/>
    <n v="323.14800000000002"/>
    <n v="24"/>
    <x v="4"/>
    <n v="2019"/>
  </r>
  <r>
    <x v="34"/>
    <x v="182"/>
    <n v="10"/>
    <s v="Sports and travel"/>
    <x v="0"/>
    <n v="7.75"/>
    <x v="0"/>
    <x v="3"/>
    <n v="15.5"/>
    <n v="155"/>
    <n v="162.75"/>
    <n v="28"/>
    <x v="2"/>
    <n v="2019"/>
  </r>
  <r>
    <x v="24"/>
    <x v="183"/>
    <n v="8"/>
    <s v="Health and beauty"/>
    <x v="0"/>
    <n v="13.724000000000002"/>
    <x v="1"/>
    <x v="0"/>
    <n v="34.31"/>
    <n v="274.48"/>
    <n v="288.20400000000001"/>
    <n v="15"/>
    <x v="4"/>
    <n v="2019"/>
  </r>
  <r>
    <x v="44"/>
    <x v="184"/>
    <n v="7"/>
    <s v="Sports and travel"/>
    <x v="2"/>
    <n v="4.319"/>
    <x v="0"/>
    <x v="3"/>
    <n v="12.34"/>
    <n v="86.38"/>
    <n v="90.698999999999998"/>
    <n v="30"/>
    <x v="3"/>
    <n v="2019"/>
  </r>
  <r>
    <x v="25"/>
    <x v="185"/>
    <n v="3"/>
    <s v="Food and beverages"/>
    <x v="0"/>
    <n v="2.7120000000000002"/>
    <x v="2"/>
    <x v="4"/>
    <n v="18.079999999999998"/>
    <n v="54.24"/>
    <n v="56.951999999999998"/>
    <n v="14"/>
    <x v="4"/>
    <n v="2019"/>
  </r>
  <r>
    <x v="19"/>
    <x v="186"/>
    <n v="8"/>
    <s v="Home and lifestyle"/>
    <x v="0"/>
    <n v="37.795999999999999"/>
    <x v="2"/>
    <x v="2"/>
    <n v="94.49"/>
    <n v="755.92"/>
    <n v="793.71600000000001"/>
    <n v="27"/>
    <x v="4"/>
    <n v="2019"/>
  </r>
  <r>
    <x v="23"/>
    <x v="187"/>
    <n v="4"/>
    <s v="Home and lifestyle"/>
    <x v="1"/>
    <n v="9.2940000000000005"/>
    <x v="2"/>
    <x v="2"/>
    <n v="46.47"/>
    <n v="185.88"/>
    <n v="195.17400000000001"/>
    <n v="20"/>
    <x v="3"/>
    <n v="2019"/>
  </r>
  <r>
    <x v="34"/>
    <x v="188"/>
    <n v="1"/>
    <s v="Home and lifestyle"/>
    <x v="0"/>
    <n v="3.7035"/>
    <x v="0"/>
    <x v="2"/>
    <n v="74.069999999999993"/>
    <n v="74.069999999999993"/>
    <n v="77.773499999999999"/>
    <n v="28"/>
    <x v="2"/>
    <n v="2019"/>
  </r>
  <r>
    <x v="19"/>
    <x v="189"/>
    <n v="4"/>
    <s v="Home and lifestyle"/>
    <x v="2"/>
    <n v="13.962000000000002"/>
    <x v="1"/>
    <x v="2"/>
    <n v="69.81"/>
    <n v="279.24"/>
    <n v="293.202"/>
    <n v="27"/>
    <x v="4"/>
    <n v="2019"/>
  </r>
  <r>
    <x v="24"/>
    <x v="190"/>
    <n v="3"/>
    <s v="Home and lifestyle"/>
    <x v="2"/>
    <n v="11.556000000000001"/>
    <x v="2"/>
    <x v="2"/>
    <n v="77.040000000000006"/>
    <n v="231.12"/>
    <n v="242.67599999999999"/>
    <n v="15"/>
    <x v="4"/>
    <n v="2019"/>
  </r>
  <r>
    <x v="30"/>
    <x v="191"/>
    <n v="2"/>
    <s v="Fashion accessories"/>
    <x v="0"/>
    <n v="7.3520000000000003"/>
    <x v="2"/>
    <x v="5"/>
    <n v="73.52"/>
    <n v="147.04"/>
    <n v="154.392"/>
    <n v="26"/>
    <x v="3"/>
    <n v="2019"/>
  </r>
  <r>
    <x v="54"/>
    <x v="192"/>
    <n v="9"/>
    <s v="Food and beverages"/>
    <x v="1"/>
    <n v="39.510000000000005"/>
    <x v="1"/>
    <x v="4"/>
    <n v="87.8"/>
    <n v="790.2"/>
    <n v="829.71"/>
    <n v="14"/>
    <x v="2"/>
    <n v="2019"/>
  </r>
  <r>
    <x v="18"/>
    <x v="193"/>
    <n v="4"/>
    <s v="Home and lifestyle"/>
    <x v="0"/>
    <n v="5.1100000000000003"/>
    <x v="2"/>
    <x v="2"/>
    <n v="25.55"/>
    <n v="102.2"/>
    <n v="107.31"/>
    <n v="16"/>
    <x v="2"/>
    <n v="2019"/>
  </r>
  <r>
    <x v="12"/>
    <x v="194"/>
    <n v="5"/>
    <s v="Electronic accessories"/>
    <x v="2"/>
    <n v="8.1775000000000002"/>
    <x v="0"/>
    <x v="1"/>
    <n v="32.71"/>
    <n v="163.55000000000001"/>
    <n v="171.72749999999999"/>
    <n v="17"/>
    <x v="4"/>
    <n v="2019"/>
  </r>
  <r>
    <x v="19"/>
    <x v="195"/>
    <n v="1"/>
    <s v="Fashion accessories"/>
    <x v="1"/>
    <n v="3.7145000000000006"/>
    <x v="1"/>
    <x v="5"/>
    <n v="74.290000000000006"/>
    <n v="74.290000000000006"/>
    <n v="78.004499999999993"/>
    <n v="27"/>
    <x v="4"/>
    <n v="2019"/>
  </r>
  <r>
    <x v="10"/>
    <x v="196"/>
    <n v="2"/>
    <s v="Health and beauty"/>
    <x v="1"/>
    <n v="4.37"/>
    <x v="1"/>
    <x v="0"/>
    <n v="43.7"/>
    <n v="87.4"/>
    <n v="91.77"/>
    <n v="21"/>
    <x v="3"/>
    <n v="2019"/>
  </r>
  <r>
    <x v="55"/>
    <x v="197"/>
    <n v="1"/>
    <s v="Home and lifestyle"/>
    <x v="0"/>
    <n v="1.2645"/>
    <x v="0"/>
    <x v="2"/>
    <n v="25.29"/>
    <n v="25.29"/>
    <n v="26.554500000000001"/>
    <n v="19"/>
    <x v="4"/>
    <n v="2019"/>
  </r>
  <r>
    <x v="54"/>
    <x v="198"/>
    <n v="4"/>
    <s v="Health and beauty"/>
    <x v="2"/>
    <n v="8.3000000000000007"/>
    <x v="1"/>
    <x v="0"/>
    <n v="41.5"/>
    <n v="166"/>
    <n v="174.3"/>
    <n v="14"/>
    <x v="2"/>
    <n v="2019"/>
  </r>
  <r>
    <x v="35"/>
    <x v="199"/>
    <n v="5"/>
    <s v="Food and beverages"/>
    <x v="2"/>
    <n v="17.8475"/>
    <x v="1"/>
    <x v="4"/>
    <n v="71.39"/>
    <n v="356.95"/>
    <n v="374.79750000000001"/>
    <n v="24"/>
    <x v="2"/>
    <n v="2019"/>
  </r>
  <r>
    <x v="3"/>
    <x v="200"/>
    <n v="6"/>
    <s v="Sports and travel"/>
    <x v="2"/>
    <n v="5.745000000000001"/>
    <x v="1"/>
    <x v="3"/>
    <n v="19.149999999999999"/>
    <n v="114.9"/>
    <n v="120.645"/>
    <n v="27"/>
    <x v="3"/>
    <n v="2019"/>
  </r>
  <r>
    <x v="14"/>
    <x v="201"/>
    <n v="4"/>
    <s v="Electronic accessories"/>
    <x v="1"/>
    <n v="11.498000000000001"/>
    <x v="2"/>
    <x v="1"/>
    <n v="57.49"/>
    <n v="229.96"/>
    <n v="241.458"/>
    <n v="25"/>
    <x v="3"/>
    <n v="2019"/>
  </r>
  <r>
    <x v="54"/>
    <x v="202"/>
    <n v="7"/>
    <s v="Electronic accessories"/>
    <x v="1"/>
    <n v="21.493500000000001"/>
    <x v="1"/>
    <x v="1"/>
    <n v="61.41"/>
    <n v="429.87"/>
    <n v="451.36349999999999"/>
    <n v="14"/>
    <x v="2"/>
    <n v="2019"/>
  </r>
  <r>
    <x v="42"/>
    <x v="203"/>
    <n v="10"/>
    <s v="Health and beauty"/>
    <x v="0"/>
    <n v="12.950000000000001"/>
    <x v="2"/>
    <x v="0"/>
    <n v="25.9"/>
    <n v="259"/>
    <n v="271.95"/>
    <n v="29"/>
    <x v="3"/>
    <n v="2019"/>
  </r>
  <r>
    <x v="47"/>
    <x v="204"/>
    <n v="5"/>
    <s v="Home and lifestyle"/>
    <x v="2"/>
    <n v="4.4424999999999999"/>
    <x v="2"/>
    <x v="2"/>
    <n v="17.77"/>
    <n v="88.85"/>
    <n v="93.292500000000004"/>
    <n v="14"/>
    <x v="3"/>
    <n v="2019"/>
  </r>
  <r>
    <x v="41"/>
    <x v="205"/>
    <n v="9"/>
    <s v="Health and beauty"/>
    <x v="0"/>
    <n v="10.363500000000002"/>
    <x v="0"/>
    <x v="0"/>
    <n v="23.03"/>
    <n v="207.27"/>
    <n v="217.6335"/>
    <n v="22"/>
    <x v="4"/>
    <n v="2019"/>
  </r>
  <r>
    <x v="44"/>
    <x v="206"/>
    <n v="9"/>
    <s v="Electronic accessories"/>
    <x v="2"/>
    <n v="29.992500000000003"/>
    <x v="1"/>
    <x v="1"/>
    <n v="66.650000000000006"/>
    <n v="599.85"/>
    <n v="629.84249999999997"/>
    <n v="30"/>
    <x v="3"/>
    <n v="2019"/>
  </r>
  <r>
    <x v="20"/>
    <x v="207"/>
    <n v="10"/>
    <s v="Home and lifestyle"/>
    <x v="0"/>
    <n v="14.265000000000001"/>
    <x v="1"/>
    <x v="2"/>
    <n v="28.53"/>
    <n v="285.3"/>
    <n v="299.565"/>
    <n v="19"/>
    <x v="2"/>
    <n v="2019"/>
  </r>
  <r>
    <x v="47"/>
    <x v="208"/>
    <n v="3"/>
    <s v="Fashion accessories"/>
    <x v="0"/>
    <n v="4.5555000000000003"/>
    <x v="2"/>
    <x v="5"/>
    <n v="30.37"/>
    <n v="91.11"/>
    <n v="95.665499999999994"/>
    <n v="14"/>
    <x v="3"/>
    <n v="2019"/>
  </r>
  <r>
    <x v="51"/>
    <x v="209"/>
    <n v="9"/>
    <s v="Electronic accessories"/>
    <x v="2"/>
    <n v="44.878500000000003"/>
    <x v="2"/>
    <x v="1"/>
    <n v="99.73"/>
    <n v="897.57"/>
    <n v="942.44849999999997"/>
    <n v="31"/>
    <x v="3"/>
    <n v="2019"/>
  </r>
  <r>
    <x v="7"/>
    <x v="210"/>
    <n v="9"/>
    <s v="Electronic accessories"/>
    <x v="0"/>
    <n v="11.8035"/>
    <x v="0"/>
    <x v="1"/>
    <n v="26.23"/>
    <n v="236.07"/>
    <n v="247.87350000000001"/>
    <n v="20"/>
    <x v="4"/>
    <n v="2019"/>
  </r>
  <r>
    <x v="3"/>
    <x v="211"/>
    <n v="9"/>
    <s v="Food and beverages"/>
    <x v="1"/>
    <n v="41.967000000000006"/>
    <x v="1"/>
    <x v="4"/>
    <n v="93.26"/>
    <n v="839.34"/>
    <n v="881.30700000000002"/>
    <n v="27"/>
    <x v="3"/>
    <n v="2019"/>
  </r>
  <r>
    <x v="24"/>
    <x v="212"/>
    <n v="5"/>
    <s v="Home and lifestyle"/>
    <x v="0"/>
    <n v="23.090000000000003"/>
    <x v="2"/>
    <x v="2"/>
    <n v="92.36"/>
    <n v="461.8"/>
    <n v="484.89"/>
    <n v="15"/>
    <x v="4"/>
    <n v="2019"/>
  </r>
  <r>
    <x v="30"/>
    <x v="213"/>
    <n v="3"/>
    <s v="Sports and travel"/>
    <x v="2"/>
    <n v="6.9630000000000001"/>
    <x v="2"/>
    <x v="3"/>
    <n v="46.42"/>
    <n v="139.26"/>
    <n v="146.22300000000001"/>
    <n v="26"/>
    <x v="3"/>
    <n v="2019"/>
  </r>
  <r>
    <x v="46"/>
    <x v="214"/>
    <n v="7"/>
    <s v="Sports and travel"/>
    <x v="1"/>
    <n v="10.363500000000002"/>
    <x v="2"/>
    <x v="3"/>
    <n v="29.61"/>
    <n v="207.27"/>
    <n v="217.6335"/>
    <n v="13"/>
    <x v="4"/>
    <n v="2019"/>
  </r>
  <r>
    <x v="27"/>
    <x v="215"/>
    <n v="1"/>
    <s v="Home and lifestyle"/>
    <x v="2"/>
    <n v="0.91400000000000015"/>
    <x v="0"/>
    <x v="2"/>
    <n v="18.28"/>
    <n v="18.28"/>
    <n v="19.193999999999999"/>
    <n v="24"/>
    <x v="3"/>
    <n v="2019"/>
  </r>
  <r>
    <x v="26"/>
    <x v="216"/>
    <n v="5"/>
    <s v="Sports and travel"/>
    <x v="1"/>
    <n v="6.1924999999999999"/>
    <x v="2"/>
    <x v="3"/>
    <n v="24.77"/>
    <n v="123.85"/>
    <n v="130.04249999999999"/>
    <n v="13"/>
    <x v="2"/>
    <n v="2019"/>
  </r>
  <r>
    <x v="11"/>
    <x v="217"/>
    <n v="3"/>
    <s v="Electronic accessories"/>
    <x v="1"/>
    <n v="14.196000000000002"/>
    <x v="0"/>
    <x v="1"/>
    <n v="94.64"/>
    <n v="283.92"/>
    <n v="298.11599999999999"/>
    <n v="15"/>
    <x v="2"/>
    <n v="2019"/>
  </r>
  <r>
    <x v="4"/>
    <x v="218"/>
    <n v="8"/>
    <s v="Fashion accessories"/>
    <x v="0"/>
    <n v="37.948"/>
    <x v="2"/>
    <x v="5"/>
    <n v="94.87"/>
    <n v="758.96"/>
    <n v="796.90800000000002"/>
    <n v="25"/>
    <x v="2"/>
    <n v="2019"/>
  </r>
  <r>
    <x v="41"/>
    <x v="219"/>
    <n v="3"/>
    <s v="Food and beverages"/>
    <x v="2"/>
    <n v="8.6010000000000009"/>
    <x v="2"/>
    <x v="4"/>
    <n v="57.34"/>
    <n v="172.02"/>
    <n v="180.62100000000001"/>
    <n v="22"/>
    <x v="4"/>
    <n v="2019"/>
  </r>
  <r>
    <x v="40"/>
    <x v="220"/>
    <n v="6"/>
    <s v="Electronic accessories"/>
    <x v="0"/>
    <n v="13.605000000000002"/>
    <x v="2"/>
    <x v="1"/>
    <n v="45.35"/>
    <n v="272.10000000000002"/>
    <n v="285.70499999999998"/>
    <n v="16"/>
    <x v="4"/>
    <n v="2019"/>
  </r>
  <r>
    <x v="36"/>
    <x v="221"/>
    <n v="7"/>
    <s v="Food and beverages"/>
    <x v="0"/>
    <n v="21.728000000000002"/>
    <x v="2"/>
    <x v="4"/>
    <n v="62.08"/>
    <n v="434.56"/>
    <n v="456.28800000000001"/>
    <n v="19"/>
    <x v="3"/>
    <n v="2019"/>
  </r>
  <r>
    <x v="15"/>
    <x v="222"/>
    <n v="5"/>
    <s v="Electronic accessories"/>
    <x v="1"/>
    <n v="2.9525000000000001"/>
    <x v="1"/>
    <x v="1"/>
    <n v="11.81"/>
    <n v="59.05"/>
    <n v="62.002499999999998"/>
    <n v="28"/>
    <x v="3"/>
    <n v="2019"/>
  </r>
  <r>
    <x v="14"/>
    <x v="223"/>
    <n v="1"/>
    <s v="Fashion accessories"/>
    <x v="1"/>
    <n v="0.627"/>
    <x v="1"/>
    <x v="5"/>
    <n v="12.54"/>
    <n v="12.54"/>
    <n v="13.167"/>
    <n v="25"/>
    <x v="3"/>
    <n v="2019"/>
  </r>
  <r>
    <x v="13"/>
    <x v="224"/>
    <n v="2"/>
    <s v="Food and beverages"/>
    <x v="1"/>
    <n v="4.3250000000000002"/>
    <x v="0"/>
    <x v="4"/>
    <n v="43.25"/>
    <n v="86.5"/>
    <n v="90.825000000000003"/>
    <n v="22"/>
    <x v="2"/>
    <n v="2019"/>
  </r>
  <r>
    <x v="14"/>
    <x v="225"/>
    <n v="2"/>
    <s v="Sports and travel"/>
    <x v="2"/>
    <n v="8.7159999999999993"/>
    <x v="1"/>
    <x v="3"/>
    <n v="87.16"/>
    <n v="174.32"/>
    <n v="183.036"/>
    <n v="25"/>
    <x v="3"/>
    <n v="2019"/>
  </r>
  <r>
    <x v="28"/>
    <x v="226"/>
    <n v="9"/>
    <s v="Health and beauty"/>
    <x v="0"/>
    <n v="31.216500000000003"/>
    <x v="2"/>
    <x v="0"/>
    <n v="69.37"/>
    <n v="624.33000000000004"/>
    <n v="655.54650000000004"/>
    <n v="22"/>
    <x v="3"/>
    <n v="2019"/>
  </r>
  <r>
    <x v="34"/>
    <x v="227"/>
    <n v="4"/>
    <s v="Electronic accessories"/>
    <x v="0"/>
    <n v="7.4120000000000008"/>
    <x v="1"/>
    <x v="1"/>
    <n v="37.06"/>
    <n v="148.24"/>
    <n v="155.65199999999999"/>
    <n v="28"/>
    <x v="2"/>
    <n v="2019"/>
  </r>
  <r>
    <x v="31"/>
    <x v="228"/>
    <n v="6"/>
    <s v="Electronic accessories"/>
    <x v="1"/>
    <n v="27.210000000000004"/>
    <x v="2"/>
    <x v="1"/>
    <n v="90.7"/>
    <n v="544.20000000000005"/>
    <n v="571.41"/>
    <n v="23"/>
    <x v="3"/>
    <n v="2019"/>
  </r>
  <r>
    <x v="20"/>
    <x v="229"/>
    <n v="8"/>
    <s v="Home and lifestyle"/>
    <x v="0"/>
    <n v="25.368000000000002"/>
    <x v="0"/>
    <x v="2"/>
    <n v="63.42"/>
    <n v="507.36"/>
    <n v="532.72799999999995"/>
    <n v="19"/>
    <x v="2"/>
    <n v="2019"/>
  </r>
  <r>
    <x v="10"/>
    <x v="230"/>
    <n v="2"/>
    <s v="Fashion accessories"/>
    <x v="1"/>
    <n v="8.1370000000000005"/>
    <x v="2"/>
    <x v="5"/>
    <n v="81.37"/>
    <n v="162.74"/>
    <n v="170.87700000000001"/>
    <n v="21"/>
    <x v="3"/>
    <n v="2019"/>
  </r>
  <r>
    <x v="49"/>
    <x v="231"/>
    <n v="3"/>
    <s v="Electronic accessories"/>
    <x v="2"/>
    <n v="1.5885"/>
    <x v="2"/>
    <x v="1"/>
    <n v="10.59"/>
    <n v="31.77"/>
    <n v="33.358499999999999"/>
    <n v="20"/>
    <x v="2"/>
    <n v="2019"/>
  </r>
  <r>
    <x v="19"/>
    <x v="232"/>
    <n v="9"/>
    <s v="Health and beauty"/>
    <x v="1"/>
    <n v="37.840499999999999"/>
    <x v="2"/>
    <x v="0"/>
    <n v="84.09"/>
    <n v="756.81"/>
    <n v="794.65049999999997"/>
    <n v="27"/>
    <x v="4"/>
    <n v="2019"/>
  </r>
  <r>
    <x v="51"/>
    <x v="233"/>
    <n v="4"/>
    <s v="Fashion accessories"/>
    <x v="1"/>
    <n v="14.763999999999999"/>
    <x v="2"/>
    <x v="5"/>
    <n v="73.819999999999993"/>
    <n v="295.27999999999997"/>
    <n v="310.04399999999998"/>
    <n v="31"/>
    <x v="3"/>
    <n v="2019"/>
  </r>
  <r>
    <x v="29"/>
    <x v="234"/>
    <n v="10"/>
    <s v="Health and beauty"/>
    <x v="0"/>
    <n v="25.97"/>
    <x v="0"/>
    <x v="0"/>
    <n v="51.94"/>
    <n v="519.4"/>
    <n v="545.37"/>
    <n v="13"/>
    <x v="3"/>
    <n v="2019"/>
  </r>
  <r>
    <x v="41"/>
    <x v="235"/>
    <n v="2"/>
    <s v="Sports and travel"/>
    <x v="0"/>
    <n v="9.3140000000000001"/>
    <x v="0"/>
    <x v="3"/>
    <n v="93.14"/>
    <n v="186.28"/>
    <n v="195.59399999999999"/>
    <n v="22"/>
    <x v="4"/>
    <n v="2019"/>
  </r>
  <r>
    <x v="20"/>
    <x v="236"/>
    <n v="5"/>
    <s v="Health and beauty"/>
    <x v="2"/>
    <n v="4.3525"/>
    <x v="1"/>
    <x v="0"/>
    <n v="17.41"/>
    <n v="87.05"/>
    <n v="91.402500000000003"/>
    <n v="19"/>
    <x v="2"/>
    <n v="2019"/>
  </r>
  <r>
    <x v="23"/>
    <x v="237"/>
    <n v="5"/>
    <s v="Fashion accessories"/>
    <x v="2"/>
    <n v="11.055"/>
    <x v="1"/>
    <x v="5"/>
    <n v="44.22"/>
    <n v="221.1"/>
    <n v="232.155"/>
    <n v="20"/>
    <x v="3"/>
    <n v="2019"/>
  </r>
  <r>
    <x v="9"/>
    <x v="238"/>
    <n v="5"/>
    <s v="Electronic accessories"/>
    <x v="1"/>
    <n v="3.3049999999999997"/>
    <x v="2"/>
    <x v="1"/>
    <n v="13.22"/>
    <n v="66.099999999999994"/>
    <n v="69.405000000000001"/>
    <n v="15"/>
    <x v="3"/>
    <n v="2019"/>
  </r>
  <r>
    <x v="13"/>
    <x v="239"/>
    <n v="1"/>
    <s v="Fashion accessories"/>
    <x v="0"/>
    <n v="4.4844999999999997"/>
    <x v="0"/>
    <x v="5"/>
    <n v="89.69"/>
    <n v="89.69"/>
    <n v="94.174499999999995"/>
    <n v="22"/>
    <x v="2"/>
    <n v="2019"/>
  </r>
  <r>
    <x v="9"/>
    <x v="240"/>
    <n v="9"/>
    <s v="Food and beverages"/>
    <x v="2"/>
    <n v="11.223000000000001"/>
    <x v="0"/>
    <x v="4"/>
    <n v="24.94"/>
    <n v="224.46"/>
    <n v="235.68299999999999"/>
    <n v="15"/>
    <x v="3"/>
    <n v="2019"/>
  </r>
  <r>
    <x v="9"/>
    <x v="241"/>
    <n v="2"/>
    <s v="Health and beauty"/>
    <x v="2"/>
    <n v="5.9770000000000003"/>
    <x v="0"/>
    <x v="0"/>
    <n v="59.77"/>
    <n v="119.54"/>
    <n v="125.517"/>
    <n v="15"/>
    <x v="3"/>
    <n v="2019"/>
  </r>
  <r>
    <x v="15"/>
    <x v="242"/>
    <n v="2"/>
    <s v="Fashion accessories"/>
    <x v="2"/>
    <n v="9.32"/>
    <x v="1"/>
    <x v="5"/>
    <n v="93.2"/>
    <n v="186.4"/>
    <n v="195.72"/>
    <n v="28"/>
    <x v="3"/>
    <n v="2019"/>
  </r>
  <r>
    <x v="25"/>
    <x v="243"/>
    <n v="4"/>
    <s v="Home and lifestyle"/>
    <x v="1"/>
    <n v="12.530000000000001"/>
    <x v="0"/>
    <x v="2"/>
    <n v="62.65"/>
    <n v="250.6"/>
    <n v="263.13"/>
    <n v="14"/>
    <x v="4"/>
    <n v="2019"/>
  </r>
  <r>
    <x v="33"/>
    <x v="244"/>
    <n v="8"/>
    <s v="Home and lifestyle"/>
    <x v="2"/>
    <n v="37.548000000000002"/>
    <x v="2"/>
    <x v="2"/>
    <n v="93.87"/>
    <n v="750.96"/>
    <n v="788.50800000000004"/>
    <n v="26"/>
    <x v="2"/>
    <n v="2019"/>
  </r>
  <r>
    <x v="18"/>
    <x v="245"/>
    <n v="8"/>
    <s v="Home and lifestyle"/>
    <x v="1"/>
    <n v="19.036000000000001"/>
    <x v="0"/>
    <x v="2"/>
    <n v="47.59"/>
    <n v="380.72"/>
    <n v="399.75599999999997"/>
    <n v="16"/>
    <x v="2"/>
    <n v="2019"/>
  </r>
  <r>
    <x v="51"/>
    <x v="246"/>
    <n v="3"/>
    <s v="Electronic accessories"/>
    <x v="1"/>
    <n v="12.21"/>
    <x v="2"/>
    <x v="1"/>
    <n v="81.400000000000006"/>
    <n v="244.2"/>
    <n v="256.41000000000003"/>
    <n v="31"/>
    <x v="3"/>
    <n v="2019"/>
  </r>
  <r>
    <x v="46"/>
    <x v="247"/>
    <n v="5"/>
    <s v="Fashion accessories"/>
    <x v="0"/>
    <n v="4.4850000000000003"/>
    <x v="0"/>
    <x v="5"/>
    <n v="17.940000000000001"/>
    <n v="89.7"/>
    <n v="94.185000000000002"/>
    <n v="13"/>
    <x v="4"/>
    <n v="2019"/>
  </r>
  <r>
    <x v="24"/>
    <x v="248"/>
    <n v="4"/>
    <s v="Electronic accessories"/>
    <x v="2"/>
    <n v="15.544"/>
    <x v="0"/>
    <x v="1"/>
    <n v="77.72"/>
    <n v="310.88"/>
    <n v="326.42399999999998"/>
    <n v="15"/>
    <x v="4"/>
    <n v="2019"/>
  </r>
  <r>
    <x v="3"/>
    <x v="249"/>
    <n v="7"/>
    <s v="Food and beverages"/>
    <x v="2"/>
    <n v="25.571000000000002"/>
    <x v="2"/>
    <x v="4"/>
    <n v="73.06"/>
    <n v="511.42"/>
    <n v="536.99099999999999"/>
    <n v="27"/>
    <x v="3"/>
    <n v="2019"/>
  </r>
  <r>
    <x v="32"/>
    <x v="250"/>
    <n v="9"/>
    <s v="Food and beverages"/>
    <x v="0"/>
    <n v="20.947500000000002"/>
    <x v="2"/>
    <x v="4"/>
    <n v="46.55"/>
    <n v="418.95"/>
    <n v="439.89749999999998"/>
    <n v="23"/>
    <x v="4"/>
    <n v="2019"/>
  </r>
  <r>
    <x v="53"/>
    <x v="251"/>
    <n v="10"/>
    <s v="Fashion accessories"/>
    <x v="2"/>
    <n v="17.594999999999999"/>
    <x v="1"/>
    <x v="5"/>
    <n v="35.19"/>
    <n v="351.9"/>
    <n v="369.495"/>
    <n v="17"/>
    <x v="2"/>
    <n v="2019"/>
  </r>
  <r>
    <x v="34"/>
    <x v="252"/>
    <n v="2"/>
    <s v="Sports and travel"/>
    <x v="2"/>
    <n v="1.4390000000000001"/>
    <x v="1"/>
    <x v="3"/>
    <n v="14.39"/>
    <n v="28.78"/>
    <n v="30.219000000000001"/>
    <n v="28"/>
    <x v="2"/>
    <n v="2019"/>
  </r>
  <r>
    <x v="13"/>
    <x v="253"/>
    <n v="4"/>
    <s v="Home and lifestyle"/>
    <x v="1"/>
    <n v="4.75"/>
    <x v="0"/>
    <x v="2"/>
    <n v="23.75"/>
    <n v="95"/>
    <n v="99.75"/>
    <n v="22"/>
    <x v="2"/>
    <n v="2019"/>
  </r>
  <r>
    <x v="24"/>
    <x v="254"/>
    <n v="8"/>
    <s v="Home and lifestyle"/>
    <x v="1"/>
    <n v="23.560000000000002"/>
    <x v="0"/>
    <x v="2"/>
    <n v="58.9"/>
    <n v="471.2"/>
    <n v="494.76"/>
    <n v="15"/>
    <x v="4"/>
    <n v="2019"/>
  </r>
  <r>
    <x v="31"/>
    <x v="255"/>
    <n v="4"/>
    <s v="Fashion accessories"/>
    <x v="1"/>
    <n v="6.524"/>
    <x v="2"/>
    <x v="5"/>
    <n v="32.619999999999997"/>
    <n v="130.47999999999999"/>
    <n v="137.00399999999999"/>
    <n v="23"/>
    <x v="3"/>
    <n v="2019"/>
  </r>
  <r>
    <x v="14"/>
    <x v="256"/>
    <n v="1"/>
    <s v="Electronic accessories"/>
    <x v="2"/>
    <n v="3.3174999999999999"/>
    <x v="0"/>
    <x v="1"/>
    <n v="66.349999999999994"/>
    <n v="66.349999999999994"/>
    <n v="69.667500000000004"/>
    <n v="25"/>
    <x v="3"/>
    <n v="2019"/>
  </r>
  <r>
    <x v="43"/>
    <x v="257"/>
    <n v="6"/>
    <s v="Home and lifestyle"/>
    <x v="0"/>
    <n v="7.7730000000000006"/>
    <x v="0"/>
    <x v="2"/>
    <n v="25.91"/>
    <n v="155.46"/>
    <n v="163.233"/>
    <n v="30"/>
    <x v="2"/>
    <n v="2019"/>
  </r>
  <r>
    <x v="43"/>
    <x v="258"/>
    <n v="4"/>
    <s v="Electronic accessories"/>
    <x v="0"/>
    <n v="6.45"/>
    <x v="0"/>
    <x v="1"/>
    <n v="32.25"/>
    <n v="129"/>
    <n v="135.44999999999999"/>
    <n v="30"/>
    <x v="2"/>
    <n v="2019"/>
  </r>
  <r>
    <x v="5"/>
    <x v="259"/>
    <n v="4"/>
    <s v="Electronic accessories"/>
    <x v="2"/>
    <n v="13.188000000000001"/>
    <x v="1"/>
    <x v="1"/>
    <n v="65.94"/>
    <n v="263.76"/>
    <n v="276.94799999999998"/>
    <n v="25"/>
    <x v="4"/>
    <n v="2019"/>
  </r>
  <r>
    <x v="48"/>
    <x v="260"/>
    <n v="9"/>
    <s v="Electronic accessories"/>
    <x v="0"/>
    <n v="33.777000000000001"/>
    <x v="0"/>
    <x v="1"/>
    <n v="75.06"/>
    <n v="675.54"/>
    <n v="709.31700000000001"/>
    <n v="18"/>
    <x v="2"/>
    <n v="2019"/>
  </r>
  <r>
    <x v="18"/>
    <x v="261"/>
    <n v="4"/>
    <s v="Fashion accessories"/>
    <x v="0"/>
    <n v="3.29"/>
    <x v="1"/>
    <x v="5"/>
    <n v="16.45"/>
    <n v="65.8"/>
    <n v="69.09"/>
    <n v="16"/>
    <x v="2"/>
    <n v="2019"/>
  </r>
  <r>
    <x v="42"/>
    <x v="262"/>
    <n v="4"/>
    <s v="Fashion accessories"/>
    <x v="1"/>
    <n v="7.66"/>
    <x v="2"/>
    <x v="5"/>
    <n v="38.299999999999997"/>
    <n v="153.19999999999999"/>
    <n v="160.86000000000001"/>
    <n v="29"/>
    <x v="3"/>
    <n v="2019"/>
  </r>
  <r>
    <x v="24"/>
    <x v="263"/>
    <n v="10"/>
    <s v="Sports and travel"/>
    <x v="1"/>
    <n v="11.120000000000001"/>
    <x v="0"/>
    <x v="3"/>
    <n v="22.24"/>
    <n v="222.4"/>
    <n v="233.52"/>
    <n v="15"/>
    <x v="4"/>
    <n v="2019"/>
  </r>
  <r>
    <x v="45"/>
    <x v="264"/>
    <n v="1"/>
    <s v="Sports and travel"/>
    <x v="0"/>
    <n v="2.7225000000000001"/>
    <x v="2"/>
    <x v="3"/>
    <n v="54.45"/>
    <n v="54.45"/>
    <n v="57.172499999999999"/>
    <n v="21"/>
    <x v="2"/>
    <n v="2019"/>
  </r>
  <r>
    <x v="21"/>
    <x v="265"/>
    <n v="7"/>
    <s v="Sports and travel"/>
    <x v="2"/>
    <n v="34.44"/>
    <x v="0"/>
    <x v="3"/>
    <n v="98.4"/>
    <n v="688.8"/>
    <n v="723.24"/>
    <n v="28"/>
    <x v="4"/>
    <n v="2019"/>
  </r>
  <r>
    <x v="16"/>
    <x v="266"/>
    <n v="4"/>
    <s v="Home and lifestyle"/>
    <x v="2"/>
    <n v="7.0940000000000003"/>
    <x v="1"/>
    <x v="2"/>
    <n v="35.47"/>
    <n v="141.88"/>
    <n v="148.97399999999999"/>
    <n v="23"/>
    <x v="2"/>
    <n v="2019"/>
  </r>
  <r>
    <x v="44"/>
    <x v="267"/>
    <n v="10"/>
    <s v="Food and beverages"/>
    <x v="1"/>
    <n v="37.300000000000004"/>
    <x v="2"/>
    <x v="4"/>
    <n v="74.599999999999994"/>
    <n v="746"/>
    <n v="783.3"/>
    <n v="30"/>
    <x v="3"/>
    <n v="2019"/>
  </r>
  <r>
    <x v="26"/>
    <x v="268"/>
    <n v="4"/>
    <s v="Home and lifestyle"/>
    <x v="2"/>
    <n v="14.148"/>
    <x v="0"/>
    <x v="2"/>
    <n v="70.739999999999995"/>
    <n v="282.95999999999998"/>
    <n v="297.108"/>
    <n v="13"/>
    <x v="2"/>
    <n v="2019"/>
  </r>
  <r>
    <x v="11"/>
    <x v="269"/>
    <n v="10"/>
    <s v="Home and lifestyle"/>
    <x v="0"/>
    <n v="17.77"/>
    <x v="0"/>
    <x v="2"/>
    <n v="35.54"/>
    <n v="355.4"/>
    <n v="373.17"/>
    <n v="15"/>
    <x v="2"/>
    <n v="2019"/>
  </r>
  <r>
    <x v="52"/>
    <x v="270"/>
    <n v="5"/>
    <s v="Sports and travel"/>
    <x v="0"/>
    <n v="16.857499999999998"/>
    <x v="2"/>
    <x v="3"/>
    <n v="67.430000000000007"/>
    <n v="337.15"/>
    <n v="354.00749999999999"/>
    <n v="26"/>
    <x v="4"/>
    <n v="2019"/>
  </r>
  <r>
    <x v="49"/>
    <x v="271"/>
    <n v="2"/>
    <s v="Health and beauty"/>
    <x v="1"/>
    <n v="2.1120000000000001"/>
    <x v="1"/>
    <x v="0"/>
    <n v="21.12"/>
    <n v="42.24"/>
    <n v="44.351999999999997"/>
    <n v="20"/>
    <x v="2"/>
    <n v="2019"/>
  </r>
  <r>
    <x v="3"/>
    <x v="272"/>
    <n v="9"/>
    <s v="Home and lifestyle"/>
    <x v="2"/>
    <n v="9.6930000000000014"/>
    <x v="0"/>
    <x v="2"/>
    <n v="21.54"/>
    <n v="193.86"/>
    <n v="203.553"/>
    <n v="27"/>
    <x v="3"/>
    <n v="2019"/>
  </r>
  <r>
    <x v="10"/>
    <x v="273"/>
    <n v="2"/>
    <s v="Home and lifestyle"/>
    <x v="1"/>
    <n v="1.2030000000000001"/>
    <x v="0"/>
    <x v="2"/>
    <n v="12.03"/>
    <n v="24.06"/>
    <n v="25.263000000000002"/>
    <n v="21"/>
    <x v="3"/>
    <n v="2019"/>
  </r>
  <r>
    <x v="3"/>
    <x v="274"/>
    <n v="6"/>
    <s v="Health and beauty"/>
    <x v="0"/>
    <n v="29.913"/>
    <x v="2"/>
    <x v="0"/>
    <n v="99.71"/>
    <n v="598.26"/>
    <n v="628.173"/>
    <n v="27"/>
    <x v="3"/>
    <n v="2019"/>
  </r>
  <r>
    <x v="4"/>
    <x v="275"/>
    <n v="7"/>
    <s v="Fashion accessories"/>
    <x v="1"/>
    <n v="16.7895"/>
    <x v="2"/>
    <x v="5"/>
    <n v="47.97"/>
    <n v="335.79"/>
    <n v="352.5795"/>
    <n v="25"/>
    <x v="2"/>
    <n v="2019"/>
  </r>
  <r>
    <x v="5"/>
    <x v="276"/>
    <n v="10"/>
    <s v="Home and lifestyle"/>
    <x v="1"/>
    <n v="10.91"/>
    <x v="1"/>
    <x v="2"/>
    <n v="21.82"/>
    <n v="218.2"/>
    <n v="229.11"/>
    <n v="25"/>
    <x v="4"/>
    <n v="2019"/>
  </r>
  <r>
    <x v="15"/>
    <x v="277"/>
    <n v="4"/>
    <s v="Fashion accessories"/>
    <x v="0"/>
    <n v="19.084"/>
    <x v="1"/>
    <x v="5"/>
    <n v="95.42"/>
    <n v="381.68"/>
    <n v="400.76400000000001"/>
    <n v="28"/>
    <x v="3"/>
    <n v="2019"/>
  </r>
  <r>
    <x v="42"/>
    <x v="278"/>
    <n v="10"/>
    <s v="Fashion accessories"/>
    <x v="1"/>
    <n v="35.494999999999997"/>
    <x v="1"/>
    <x v="5"/>
    <n v="70.989999999999995"/>
    <n v="709.9"/>
    <n v="745.39499999999998"/>
    <n v="29"/>
    <x v="3"/>
    <n v="2019"/>
  </r>
  <r>
    <x v="8"/>
    <x v="279"/>
    <n v="10"/>
    <s v="Sports and travel"/>
    <x v="2"/>
    <n v="22.01"/>
    <x v="0"/>
    <x v="3"/>
    <n v="44.02"/>
    <n v="440.2"/>
    <n v="462.21"/>
    <n v="29"/>
    <x v="2"/>
    <n v="2019"/>
  </r>
  <r>
    <x v="37"/>
    <x v="280"/>
    <n v="8"/>
    <s v="Home and lifestyle"/>
    <x v="2"/>
    <n v="27.983999999999998"/>
    <x v="0"/>
    <x v="2"/>
    <n v="69.959999999999994"/>
    <n v="559.67999999999995"/>
    <n v="587.66399999999999"/>
    <n v="16"/>
    <x v="3"/>
    <n v="2019"/>
  </r>
  <r>
    <x v="3"/>
    <x v="281"/>
    <n v="1"/>
    <s v="Home and lifestyle"/>
    <x v="2"/>
    <n v="1.85"/>
    <x v="1"/>
    <x v="2"/>
    <n v="37"/>
    <n v="37"/>
    <n v="38.85"/>
    <n v="27"/>
    <x v="3"/>
    <n v="2019"/>
  </r>
  <r>
    <x v="54"/>
    <x v="282"/>
    <n v="1"/>
    <s v="Sports and travel"/>
    <x v="1"/>
    <n v="0.76700000000000002"/>
    <x v="0"/>
    <x v="3"/>
    <n v="15.34"/>
    <n v="15.34"/>
    <n v="16.106999999999999"/>
    <n v="14"/>
    <x v="2"/>
    <n v="2019"/>
  </r>
  <r>
    <x v="32"/>
    <x v="283"/>
    <n v="6"/>
    <s v="Health and beauty"/>
    <x v="0"/>
    <n v="29.949000000000002"/>
    <x v="0"/>
    <x v="0"/>
    <n v="99.83"/>
    <n v="598.98"/>
    <n v="628.92899999999997"/>
    <n v="23"/>
    <x v="4"/>
    <n v="2019"/>
  </r>
  <r>
    <x v="48"/>
    <x v="284"/>
    <n v="4"/>
    <s v="Health and beauty"/>
    <x v="1"/>
    <n v="9.5340000000000007"/>
    <x v="0"/>
    <x v="0"/>
    <n v="47.67"/>
    <n v="190.68"/>
    <n v="200.214"/>
    <n v="18"/>
    <x v="2"/>
    <n v="2019"/>
  </r>
  <r>
    <x v="8"/>
    <x v="285"/>
    <n v="5"/>
    <s v="Health and beauty"/>
    <x v="1"/>
    <n v="16.669999999999998"/>
    <x v="2"/>
    <x v="0"/>
    <n v="66.680000000000007"/>
    <n v="333.4"/>
    <n v="350.07"/>
    <n v="29"/>
    <x v="2"/>
    <n v="2019"/>
  </r>
  <r>
    <x v="28"/>
    <x v="286"/>
    <n v="1"/>
    <s v="Home and lifestyle"/>
    <x v="1"/>
    <n v="3.7430000000000003"/>
    <x v="1"/>
    <x v="2"/>
    <n v="74.86"/>
    <n v="74.86"/>
    <n v="78.602999999999994"/>
    <n v="22"/>
    <x v="3"/>
    <n v="2019"/>
  </r>
  <r>
    <x v="17"/>
    <x v="287"/>
    <n v="9"/>
    <s v="Sports and travel"/>
    <x v="1"/>
    <n v="10.6875"/>
    <x v="1"/>
    <x v="3"/>
    <n v="23.75"/>
    <n v="213.75"/>
    <n v="224.4375"/>
    <n v="17"/>
    <x v="3"/>
    <n v="2019"/>
  </r>
  <r>
    <x v="33"/>
    <x v="288"/>
    <n v="7"/>
    <s v="Food and beverages"/>
    <x v="2"/>
    <n v="16.9785"/>
    <x v="2"/>
    <x v="4"/>
    <n v="48.51"/>
    <n v="339.57"/>
    <n v="356.54849999999999"/>
    <n v="26"/>
    <x v="2"/>
    <n v="2019"/>
  </r>
  <r>
    <x v="49"/>
    <x v="289"/>
    <n v="7"/>
    <s v="Home and lifestyle"/>
    <x v="1"/>
    <n v="33.207999999999998"/>
    <x v="0"/>
    <x v="2"/>
    <n v="94.88"/>
    <n v="664.16"/>
    <n v="697.36800000000005"/>
    <n v="20"/>
    <x v="2"/>
    <n v="2019"/>
  </r>
  <r>
    <x v="3"/>
    <x v="290"/>
    <n v="10"/>
    <s v="Electronic accessories"/>
    <x v="2"/>
    <n v="20.150000000000002"/>
    <x v="2"/>
    <x v="1"/>
    <n v="40.299999999999997"/>
    <n v="403"/>
    <n v="423.15"/>
    <n v="27"/>
    <x v="3"/>
    <n v="2019"/>
  </r>
  <r>
    <x v="5"/>
    <x v="291"/>
    <n v="7"/>
    <s v="Electronic accessories"/>
    <x v="0"/>
    <n v="9.7475000000000005"/>
    <x v="1"/>
    <x v="1"/>
    <n v="27.85"/>
    <n v="194.95"/>
    <n v="204.69749999999999"/>
    <n v="25"/>
    <x v="4"/>
    <n v="2019"/>
  </r>
  <r>
    <x v="37"/>
    <x v="292"/>
    <n v="1"/>
    <s v="Electronic accessories"/>
    <x v="1"/>
    <n v="3.1240000000000001"/>
    <x v="0"/>
    <x v="1"/>
    <n v="62.48"/>
    <n v="62.48"/>
    <n v="65.603999999999999"/>
    <n v="16"/>
    <x v="3"/>
    <n v="2019"/>
  </r>
  <r>
    <x v="29"/>
    <x v="293"/>
    <n v="2"/>
    <s v="Food and beverages"/>
    <x v="1"/>
    <n v="3.6360000000000001"/>
    <x v="0"/>
    <x v="4"/>
    <n v="36.36"/>
    <n v="72.72"/>
    <n v="76.355999999999995"/>
    <n v="13"/>
    <x v="3"/>
    <n v="2019"/>
  </r>
  <r>
    <x v="12"/>
    <x v="294"/>
    <n v="10"/>
    <s v="Health and beauty"/>
    <x v="0"/>
    <n v="9.0549999999999997"/>
    <x v="2"/>
    <x v="0"/>
    <n v="18.11"/>
    <n v="181.1"/>
    <n v="190.155"/>
    <n v="17"/>
    <x v="4"/>
    <n v="2019"/>
  </r>
  <r>
    <x v="27"/>
    <x v="295"/>
    <n v="5"/>
    <s v="Electronic accessories"/>
    <x v="1"/>
    <n v="12.980000000000002"/>
    <x v="1"/>
    <x v="1"/>
    <n v="51.92"/>
    <n v="259.60000000000002"/>
    <n v="272.58"/>
    <n v="24"/>
    <x v="3"/>
    <n v="2019"/>
  </r>
  <r>
    <x v="33"/>
    <x v="296"/>
    <n v="4"/>
    <s v="Electronic accessories"/>
    <x v="1"/>
    <n v="5.7680000000000007"/>
    <x v="1"/>
    <x v="1"/>
    <n v="28.84"/>
    <n v="115.36"/>
    <n v="121.128"/>
    <n v="26"/>
    <x v="2"/>
    <n v="2019"/>
  </r>
  <r>
    <x v="5"/>
    <x v="297"/>
    <n v="6"/>
    <s v="Home and lifestyle"/>
    <x v="0"/>
    <n v="23.513999999999999"/>
    <x v="0"/>
    <x v="2"/>
    <n v="78.38"/>
    <n v="470.28"/>
    <n v="493.79399999999998"/>
    <n v="25"/>
    <x v="4"/>
    <n v="2019"/>
  </r>
  <r>
    <x v="28"/>
    <x v="298"/>
    <n v="4"/>
    <s v="Home and lifestyle"/>
    <x v="1"/>
    <n v="12.002000000000001"/>
    <x v="0"/>
    <x v="2"/>
    <n v="60.01"/>
    <n v="240.04"/>
    <n v="252.042"/>
    <n v="22"/>
    <x v="3"/>
    <n v="2019"/>
  </r>
  <r>
    <x v="46"/>
    <x v="299"/>
    <n v="1"/>
    <s v="Home and lifestyle"/>
    <x v="1"/>
    <n v="4.4305000000000003"/>
    <x v="1"/>
    <x v="2"/>
    <n v="88.61"/>
    <n v="88.61"/>
    <n v="93.040499999999994"/>
    <n v="13"/>
    <x v="4"/>
    <n v="2019"/>
  </r>
  <r>
    <x v="15"/>
    <x v="300"/>
    <n v="2"/>
    <s v="Fashion accessories"/>
    <x v="2"/>
    <n v="9.9819999999999993"/>
    <x v="1"/>
    <x v="5"/>
    <n v="99.82"/>
    <n v="199.64"/>
    <n v="209.62200000000001"/>
    <n v="28"/>
    <x v="3"/>
    <n v="2019"/>
  </r>
  <r>
    <x v="20"/>
    <x v="301"/>
    <n v="1"/>
    <s v="Health and beauty"/>
    <x v="2"/>
    <n v="1.9504999999999999"/>
    <x v="2"/>
    <x v="0"/>
    <n v="39.01"/>
    <n v="39.01"/>
    <n v="40.960500000000003"/>
    <n v="19"/>
    <x v="2"/>
    <n v="2019"/>
  </r>
  <r>
    <x v="30"/>
    <x v="302"/>
    <n v="1"/>
    <s v="Food and beverages"/>
    <x v="1"/>
    <n v="2.4305000000000003"/>
    <x v="1"/>
    <x v="4"/>
    <n v="48.61"/>
    <n v="48.61"/>
    <n v="51.040500000000002"/>
    <n v="26"/>
    <x v="3"/>
    <n v="2019"/>
  </r>
  <r>
    <x v="31"/>
    <x v="303"/>
    <n v="4"/>
    <s v="Electronic accessories"/>
    <x v="2"/>
    <n v="10.238"/>
    <x v="0"/>
    <x v="1"/>
    <n v="51.19"/>
    <n v="204.76"/>
    <n v="214.99799999999999"/>
    <n v="23"/>
    <x v="3"/>
    <n v="2019"/>
  </r>
  <r>
    <x v="41"/>
    <x v="304"/>
    <n v="8"/>
    <s v="Electronic accessories"/>
    <x v="1"/>
    <n v="5.9840000000000009"/>
    <x v="2"/>
    <x v="1"/>
    <n v="14.96"/>
    <n v="119.68"/>
    <n v="125.664"/>
    <n v="22"/>
    <x v="4"/>
    <n v="2019"/>
  </r>
  <r>
    <x v="4"/>
    <x v="305"/>
    <n v="7"/>
    <s v="Electronic accessories"/>
    <x v="0"/>
    <n v="25.27"/>
    <x v="0"/>
    <x v="1"/>
    <n v="72.2"/>
    <n v="505.4"/>
    <n v="530.66999999999996"/>
    <n v="25"/>
    <x v="2"/>
    <n v="2019"/>
  </r>
  <r>
    <x v="23"/>
    <x v="306"/>
    <n v="7"/>
    <s v="Sports and travel"/>
    <x v="1"/>
    <n v="14.080500000000001"/>
    <x v="0"/>
    <x v="3"/>
    <n v="40.229999999999997"/>
    <n v="281.61"/>
    <n v="295.69049999999999"/>
    <n v="20"/>
    <x v="3"/>
    <n v="2019"/>
  </r>
  <r>
    <x v="44"/>
    <x v="307"/>
    <n v="8"/>
    <s v="Home and lifestyle"/>
    <x v="1"/>
    <n v="35.516000000000005"/>
    <x v="0"/>
    <x v="2"/>
    <n v="88.79"/>
    <n v="710.32"/>
    <n v="745.83600000000001"/>
    <n v="30"/>
    <x v="3"/>
    <n v="2019"/>
  </r>
  <r>
    <x v="8"/>
    <x v="308"/>
    <n v="3"/>
    <s v="Electronic accessories"/>
    <x v="0"/>
    <n v="3.972"/>
    <x v="0"/>
    <x v="1"/>
    <n v="26.48"/>
    <n v="79.44"/>
    <n v="83.412000000000006"/>
    <n v="29"/>
    <x v="2"/>
    <n v="2019"/>
  </r>
  <r>
    <x v="54"/>
    <x v="309"/>
    <n v="2"/>
    <s v="Fashion accessories"/>
    <x v="1"/>
    <n v="8.1910000000000007"/>
    <x v="0"/>
    <x v="5"/>
    <n v="81.91"/>
    <n v="163.82"/>
    <n v="172.011"/>
    <n v="14"/>
    <x v="2"/>
    <n v="2019"/>
  </r>
  <r>
    <x v="44"/>
    <x v="310"/>
    <n v="6"/>
    <s v="Sports and travel"/>
    <x v="1"/>
    <n v="23.978999999999999"/>
    <x v="2"/>
    <x v="3"/>
    <n v="79.930000000000007"/>
    <n v="479.58"/>
    <n v="503.55900000000003"/>
    <n v="30"/>
    <x v="3"/>
    <n v="2019"/>
  </r>
  <r>
    <x v="49"/>
    <x v="311"/>
    <n v="2"/>
    <s v="Fashion accessories"/>
    <x v="0"/>
    <n v="6.9329999999999998"/>
    <x v="1"/>
    <x v="5"/>
    <n v="69.33"/>
    <n v="138.66"/>
    <n v="145.59299999999999"/>
    <n v="20"/>
    <x v="2"/>
    <n v="2019"/>
  </r>
  <r>
    <x v="49"/>
    <x v="312"/>
    <n v="5"/>
    <s v="Food and beverages"/>
    <x v="2"/>
    <n v="3.5575000000000006"/>
    <x v="0"/>
    <x v="4"/>
    <n v="14.23"/>
    <n v="71.150000000000006"/>
    <n v="74.707499999999996"/>
    <n v="20"/>
    <x v="2"/>
    <n v="2019"/>
  </r>
  <r>
    <x v="17"/>
    <x v="313"/>
    <n v="9"/>
    <s v="Health and beauty"/>
    <x v="1"/>
    <n v="6.9974999999999996"/>
    <x v="0"/>
    <x v="0"/>
    <n v="15.55"/>
    <n v="139.94999999999999"/>
    <n v="146.94749999999999"/>
    <n v="17"/>
    <x v="3"/>
    <n v="2019"/>
  </r>
  <r>
    <x v="5"/>
    <x v="314"/>
    <n v="10"/>
    <s v="Electronic accessories"/>
    <x v="1"/>
    <n v="39.064999999999998"/>
    <x v="1"/>
    <x v="1"/>
    <n v="78.13"/>
    <n v="781.3"/>
    <n v="820.36500000000001"/>
    <n v="25"/>
    <x v="4"/>
    <n v="2019"/>
  </r>
  <r>
    <x v="42"/>
    <x v="315"/>
    <n v="2"/>
    <s v="Food and beverages"/>
    <x v="1"/>
    <n v="9.9370000000000012"/>
    <x v="1"/>
    <x v="4"/>
    <n v="99.37"/>
    <n v="198.74"/>
    <n v="208.67699999999999"/>
    <n v="29"/>
    <x v="3"/>
    <n v="2019"/>
  </r>
  <r>
    <x v="29"/>
    <x v="316"/>
    <n v="3"/>
    <s v="Food and beverages"/>
    <x v="1"/>
    <n v="3.1620000000000004"/>
    <x v="1"/>
    <x v="4"/>
    <n v="21.08"/>
    <n v="63.24"/>
    <n v="66.402000000000001"/>
    <n v="13"/>
    <x v="3"/>
    <n v="2019"/>
  </r>
  <r>
    <x v="13"/>
    <x v="317"/>
    <n v="5"/>
    <s v="Electronic accessories"/>
    <x v="1"/>
    <n v="18.697500000000002"/>
    <x v="1"/>
    <x v="1"/>
    <n v="74.790000000000006"/>
    <n v="373.95"/>
    <n v="392.64749999999998"/>
    <n v="22"/>
    <x v="2"/>
    <n v="2019"/>
  </r>
  <r>
    <x v="7"/>
    <x v="318"/>
    <n v="7"/>
    <s v="Health and beauty"/>
    <x v="2"/>
    <n v="10.384500000000001"/>
    <x v="1"/>
    <x v="0"/>
    <n v="29.67"/>
    <n v="207.69"/>
    <n v="218.0745"/>
    <n v="20"/>
    <x v="4"/>
    <n v="2019"/>
  </r>
  <r>
    <x v="47"/>
    <x v="319"/>
    <n v="4"/>
    <s v="Health and beauty"/>
    <x v="0"/>
    <n v="8.8140000000000001"/>
    <x v="1"/>
    <x v="0"/>
    <n v="44.07"/>
    <n v="176.28"/>
    <n v="185.09399999999999"/>
    <n v="14"/>
    <x v="3"/>
    <n v="2019"/>
  </r>
  <r>
    <x v="33"/>
    <x v="320"/>
    <n v="9"/>
    <s v="Food and beverages"/>
    <x v="1"/>
    <n v="10.3185"/>
    <x v="1"/>
    <x v="4"/>
    <n v="22.93"/>
    <n v="206.37"/>
    <n v="216.6885"/>
    <n v="26"/>
    <x v="2"/>
    <n v="2019"/>
  </r>
  <r>
    <x v="46"/>
    <x v="321"/>
    <n v="1"/>
    <s v="Health and beauty"/>
    <x v="1"/>
    <n v="1.9710000000000001"/>
    <x v="1"/>
    <x v="0"/>
    <n v="39.42"/>
    <n v="39.42"/>
    <n v="41.390999999999998"/>
    <n v="13"/>
    <x v="4"/>
    <n v="2019"/>
  </r>
  <r>
    <x v="47"/>
    <x v="322"/>
    <n v="6"/>
    <s v="Health and beauty"/>
    <x v="0"/>
    <n v="4.5780000000000003"/>
    <x v="0"/>
    <x v="0"/>
    <n v="15.26"/>
    <n v="91.56"/>
    <n v="96.138000000000005"/>
    <n v="14"/>
    <x v="3"/>
    <n v="2019"/>
  </r>
  <r>
    <x v="36"/>
    <x v="323"/>
    <n v="5"/>
    <s v="Fashion accessories"/>
    <x v="1"/>
    <n v="15.442500000000003"/>
    <x v="0"/>
    <x v="5"/>
    <n v="61.77"/>
    <n v="308.85000000000002"/>
    <n v="324.29250000000002"/>
    <n v="19"/>
    <x v="3"/>
    <n v="2019"/>
  </r>
  <r>
    <x v="22"/>
    <x v="324"/>
    <n v="6"/>
    <s v="Home and lifestyle"/>
    <x v="2"/>
    <n v="6.4560000000000004"/>
    <x v="0"/>
    <x v="2"/>
    <n v="21.52"/>
    <n v="129.12"/>
    <n v="135.57599999999999"/>
    <n v="27"/>
    <x v="2"/>
    <n v="2019"/>
  </r>
  <r>
    <x v="54"/>
    <x v="325"/>
    <n v="4"/>
    <s v="Sports and travel"/>
    <x v="0"/>
    <n v="19.548000000000002"/>
    <x v="2"/>
    <x v="3"/>
    <n v="97.74"/>
    <n v="390.96"/>
    <n v="410.50799999999998"/>
    <n v="14"/>
    <x v="2"/>
    <n v="2019"/>
  </r>
  <r>
    <x v="3"/>
    <x v="326"/>
    <n v="5"/>
    <s v="Food and beverages"/>
    <x v="1"/>
    <n v="24.945"/>
    <x v="0"/>
    <x v="4"/>
    <n v="99.78"/>
    <n v="498.9"/>
    <n v="523.84500000000003"/>
    <n v="27"/>
    <x v="3"/>
    <n v="2019"/>
  </r>
  <r>
    <x v="11"/>
    <x v="327"/>
    <n v="4"/>
    <s v="Food and beverages"/>
    <x v="1"/>
    <n v="18.852"/>
    <x v="1"/>
    <x v="4"/>
    <n v="94.26"/>
    <n v="377.04"/>
    <n v="395.892"/>
    <n v="15"/>
    <x v="2"/>
    <n v="2019"/>
  </r>
  <r>
    <x v="24"/>
    <x v="328"/>
    <n v="4"/>
    <s v="Health and beauty"/>
    <x v="2"/>
    <n v="10.226000000000001"/>
    <x v="2"/>
    <x v="0"/>
    <n v="51.13"/>
    <n v="204.52"/>
    <n v="214.74600000000001"/>
    <n v="15"/>
    <x v="4"/>
    <n v="2019"/>
  </r>
  <r>
    <x v="12"/>
    <x v="329"/>
    <n v="4"/>
    <s v="Electronic accessories"/>
    <x v="1"/>
    <n v="7.2720000000000002"/>
    <x v="0"/>
    <x v="1"/>
    <n v="36.36"/>
    <n v="145.44"/>
    <n v="152.71199999999999"/>
    <n v="17"/>
    <x v="4"/>
    <n v="2019"/>
  </r>
  <r>
    <x v="30"/>
    <x v="330"/>
    <n v="9"/>
    <s v="Home and lifestyle"/>
    <x v="1"/>
    <n v="9.9090000000000007"/>
    <x v="2"/>
    <x v="2"/>
    <n v="22.02"/>
    <n v="198.18"/>
    <n v="208.089"/>
    <n v="26"/>
    <x v="3"/>
    <n v="2019"/>
  </r>
  <r>
    <x v="35"/>
    <x v="331"/>
    <n v="3"/>
    <s v="Food and beverages"/>
    <x v="2"/>
    <n v="4.9350000000000005"/>
    <x v="0"/>
    <x v="4"/>
    <n v="32.9"/>
    <n v="98.7"/>
    <n v="103.63500000000001"/>
    <n v="24"/>
    <x v="2"/>
    <n v="2019"/>
  </r>
  <r>
    <x v="31"/>
    <x v="332"/>
    <n v="5"/>
    <s v="Fashion accessories"/>
    <x v="1"/>
    <n v="19.255000000000003"/>
    <x v="0"/>
    <x v="5"/>
    <n v="77.02"/>
    <n v="385.1"/>
    <n v="404.35500000000002"/>
    <n v="23"/>
    <x v="3"/>
    <n v="2019"/>
  </r>
  <r>
    <x v="30"/>
    <x v="333"/>
    <n v="2"/>
    <s v="Food and beverages"/>
    <x v="2"/>
    <n v="2.3480000000000003"/>
    <x v="0"/>
    <x v="4"/>
    <n v="23.48"/>
    <n v="46.96"/>
    <n v="49.308"/>
    <n v="26"/>
    <x v="3"/>
    <n v="2019"/>
  </r>
  <r>
    <x v="54"/>
    <x v="334"/>
    <n v="5"/>
    <s v="Sports and travel"/>
    <x v="0"/>
    <n v="3.6750000000000003"/>
    <x v="1"/>
    <x v="3"/>
    <n v="14.7"/>
    <n v="73.5"/>
    <n v="77.174999999999997"/>
    <n v="14"/>
    <x v="2"/>
    <n v="2019"/>
  </r>
  <r>
    <x v="53"/>
    <x v="335"/>
    <n v="5"/>
    <s v="Electronic accessories"/>
    <x v="2"/>
    <n v="7.1125000000000007"/>
    <x v="0"/>
    <x v="1"/>
    <n v="28.45"/>
    <n v="142.25"/>
    <n v="149.36250000000001"/>
    <n v="17"/>
    <x v="2"/>
    <n v="2019"/>
  </r>
  <r>
    <x v="34"/>
    <x v="336"/>
    <n v="9"/>
    <s v="Fashion accessories"/>
    <x v="0"/>
    <n v="34.380000000000003"/>
    <x v="0"/>
    <x v="5"/>
    <n v="76.400000000000006"/>
    <n v="687.6"/>
    <n v="721.98"/>
    <n v="28"/>
    <x v="2"/>
    <n v="2019"/>
  </r>
  <r>
    <x v="31"/>
    <x v="337"/>
    <n v="6"/>
    <s v="Sports and travel"/>
    <x v="1"/>
    <n v="17.385000000000002"/>
    <x v="2"/>
    <x v="3"/>
    <n v="57.95"/>
    <n v="347.7"/>
    <n v="365.08499999999998"/>
    <n v="23"/>
    <x v="3"/>
    <n v="2019"/>
  </r>
  <r>
    <x v="17"/>
    <x v="338"/>
    <n v="3"/>
    <s v="Electronic accessories"/>
    <x v="2"/>
    <n v="7.1475"/>
    <x v="1"/>
    <x v="1"/>
    <n v="47.65"/>
    <n v="142.94999999999999"/>
    <n v="150.0975"/>
    <n v="17"/>
    <x v="3"/>
    <n v="2019"/>
  </r>
  <r>
    <x v="27"/>
    <x v="339"/>
    <n v="9"/>
    <s v="Food and beverages"/>
    <x v="2"/>
    <n v="19.269000000000002"/>
    <x v="2"/>
    <x v="4"/>
    <n v="42.82"/>
    <n v="385.38"/>
    <n v="404.649"/>
    <n v="24"/>
    <x v="3"/>
    <n v="2019"/>
  </r>
  <r>
    <x v="36"/>
    <x v="340"/>
    <n v="3"/>
    <s v="Electronic accessories"/>
    <x v="2"/>
    <n v="7.2135000000000007"/>
    <x v="2"/>
    <x v="1"/>
    <n v="48.09"/>
    <n v="144.27000000000001"/>
    <n v="151.48349999999999"/>
    <n v="19"/>
    <x v="3"/>
    <n v="2019"/>
  </r>
  <r>
    <x v="49"/>
    <x v="341"/>
    <n v="7"/>
    <s v="Health and beauty"/>
    <x v="0"/>
    <n v="19.589500000000001"/>
    <x v="2"/>
    <x v="0"/>
    <n v="55.97"/>
    <n v="391.79"/>
    <n v="411.37950000000001"/>
    <n v="20"/>
    <x v="2"/>
    <n v="2019"/>
  </r>
  <r>
    <x v="29"/>
    <x v="342"/>
    <n v="7"/>
    <s v="Health and beauty"/>
    <x v="1"/>
    <n v="26.914999999999999"/>
    <x v="2"/>
    <x v="0"/>
    <n v="76.900000000000006"/>
    <n v="538.29999999999995"/>
    <n v="565.21500000000003"/>
    <n v="13"/>
    <x v="3"/>
    <n v="2019"/>
  </r>
  <r>
    <x v="54"/>
    <x v="343"/>
    <n v="5"/>
    <s v="Food and beverages"/>
    <x v="0"/>
    <n v="24.2575"/>
    <x v="1"/>
    <x v="4"/>
    <n v="97.03"/>
    <n v="485.15"/>
    <n v="509.40750000000003"/>
    <n v="14"/>
    <x v="2"/>
    <n v="2019"/>
  </r>
  <r>
    <x v="31"/>
    <x v="344"/>
    <n v="3"/>
    <s v="Sports and travel"/>
    <x v="1"/>
    <n v="6.6974999999999998"/>
    <x v="0"/>
    <x v="3"/>
    <n v="44.65"/>
    <n v="133.94999999999999"/>
    <n v="140.64750000000001"/>
    <n v="23"/>
    <x v="3"/>
    <n v="2019"/>
  </r>
  <r>
    <x v="34"/>
    <x v="345"/>
    <n v="9"/>
    <s v="Fashion accessories"/>
    <x v="0"/>
    <n v="35.0685"/>
    <x v="0"/>
    <x v="5"/>
    <n v="77.930000000000007"/>
    <n v="701.37"/>
    <n v="736.43849999999998"/>
    <n v="28"/>
    <x v="2"/>
    <n v="2019"/>
  </r>
  <r>
    <x v="49"/>
    <x v="346"/>
    <n v="1"/>
    <s v="Electronic accessories"/>
    <x v="1"/>
    <n v="3.5975000000000001"/>
    <x v="0"/>
    <x v="1"/>
    <n v="71.95"/>
    <n v="71.95"/>
    <n v="75.547499999999999"/>
    <n v="20"/>
    <x v="2"/>
    <n v="2019"/>
  </r>
  <r>
    <x v="17"/>
    <x v="347"/>
    <n v="8"/>
    <s v="Home and lifestyle"/>
    <x v="1"/>
    <n v="35.700000000000003"/>
    <x v="1"/>
    <x v="2"/>
    <n v="89.25"/>
    <n v="714"/>
    <n v="749.7"/>
    <n v="17"/>
    <x v="3"/>
    <n v="2019"/>
  </r>
  <r>
    <x v="40"/>
    <x v="348"/>
    <n v="7"/>
    <s v="Electronic accessories"/>
    <x v="1"/>
    <n v="9.1069999999999993"/>
    <x v="0"/>
    <x v="1"/>
    <n v="26.02"/>
    <n v="182.14"/>
    <n v="191.24700000000001"/>
    <n v="16"/>
    <x v="4"/>
    <n v="2019"/>
  </r>
  <r>
    <x v="30"/>
    <x v="349"/>
    <n v="10"/>
    <s v="Health and beauty"/>
    <x v="2"/>
    <n v="6.75"/>
    <x v="2"/>
    <x v="0"/>
    <n v="13.5"/>
    <n v="135"/>
    <n v="141.75"/>
    <n v="26"/>
    <x v="3"/>
    <n v="2019"/>
  </r>
  <r>
    <x v="54"/>
    <x v="350"/>
    <n v="10"/>
    <s v="Fashion accessories"/>
    <x v="2"/>
    <n v="49.650000000000006"/>
    <x v="1"/>
    <x v="5"/>
    <n v="99.3"/>
    <n v="993"/>
    <n v="1042.6500000000001"/>
    <n v="14"/>
    <x v="2"/>
    <n v="2019"/>
  </r>
  <r>
    <x v="14"/>
    <x v="351"/>
    <n v="7"/>
    <s v="Electronic accessories"/>
    <x v="1"/>
    <n v="18.0915"/>
    <x v="0"/>
    <x v="1"/>
    <n v="51.69"/>
    <n v="361.83"/>
    <n v="379.92149999999998"/>
    <n v="25"/>
    <x v="3"/>
    <n v="2019"/>
  </r>
  <r>
    <x v="30"/>
    <x v="352"/>
    <n v="7"/>
    <s v="Fashion accessories"/>
    <x v="2"/>
    <n v="19.1555"/>
    <x v="2"/>
    <x v="5"/>
    <n v="54.73"/>
    <n v="383.11"/>
    <n v="402.26549999999997"/>
    <n v="26"/>
    <x v="3"/>
    <n v="2019"/>
  </r>
  <r>
    <x v="36"/>
    <x v="353"/>
    <n v="9"/>
    <s v="Home and lifestyle"/>
    <x v="1"/>
    <n v="12.15"/>
    <x v="2"/>
    <x v="2"/>
    <n v="27"/>
    <n v="243"/>
    <n v="255.15"/>
    <n v="19"/>
    <x v="3"/>
    <n v="2019"/>
  </r>
  <r>
    <x v="9"/>
    <x v="354"/>
    <n v="1"/>
    <s v="Electronic accessories"/>
    <x v="1"/>
    <n v="1.512"/>
    <x v="1"/>
    <x v="1"/>
    <n v="30.24"/>
    <n v="30.24"/>
    <n v="31.751999999999999"/>
    <n v="15"/>
    <x v="3"/>
    <n v="2019"/>
  </r>
  <r>
    <x v="48"/>
    <x v="355"/>
    <n v="4"/>
    <s v="Food and beverages"/>
    <x v="2"/>
    <n v="17.827999999999999"/>
    <x v="2"/>
    <x v="4"/>
    <n v="89.14"/>
    <n v="356.56"/>
    <n v="374.38799999999998"/>
    <n v="18"/>
    <x v="2"/>
    <n v="2019"/>
  </r>
  <r>
    <x v="49"/>
    <x v="356"/>
    <n v="10"/>
    <s v="Fashion accessories"/>
    <x v="2"/>
    <n v="18.775000000000002"/>
    <x v="1"/>
    <x v="5"/>
    <n v="37.549999999999997"/>
    <n v="375.5"/>
    <n v="394.27499999999998"/>
    <n v="20"/>
    <x v="2"/>
    <n v="2019"/>
  </r>
  <r>
    <x v="9"/>
    <x v="357"/>
    <n v="10"/>
    <s v="Sports and travel"/>
    <x v="1"/>
    <n v="47.72"/>
    <x v="1"/>
    <x v="3"/>
    <n v="95.44"/>
    <n v="954.4"/>
    <n v="1002.12"/>
    <n v="15"/>
    <x v="3"/>
    <n v="2019"/>
  </r>
  <r>
    <x v="20"/>
    <x v="358"/>
    <n v="3"/>
    <s v="Electronic accessories"/>
    <x v="0"/>
    <n v="4.125"/>
    <x v="2"/>
    <x v="1"/>
    <n v="27.5"/>
    <n v="82.5"/>
    <n v="86.625"/>
    <n v="19"/>
    <x v="2"/>
    <n v="2019"/>
  </r>
  <r>
    <x v="19"/>
    <x v="359"/>
    <n v="1"/>
    <s v="Sports and travel"/>
    <x v="1"/>
    <n v="3.7484999999999999"/>
    <x v="2"/>
    <x v="3"/>
    <n v="74.97"/>
    <n v="74.97"/>
    <n v="78.718500000000006"/>
    <n v="27"/>
    <x v="4"/>
    <n v="2019"/>
  </r>
  <r>
    <x v="32"/>
    <x v="360"/>
    <n v="8"/>
    <s v="Food and beverages"/>
    <x v="2"/>
    <n v="32.384"/>
    <x v="0"/>
    <x v="4"/>
    <n v="80.959999999999994"/>
    <n v="647.67999999999995"/>
    <n v="680.06399999999996"/>
    <n v="23"/>
    <x v="4"/>
    <n v="2019"/>
  </r>
  <r>
    <x v="20"/>
    <x v="361"/>
    <n v="8"/>
    <s v="Food and beverages"/>
    <x v="1"/>
    <n v="37.788000000000004"/>
    <x v="1"/>
    <x v="4"/>
    <n v="94.47"/>
    <n v="755.76"/>
    <n v="793.548"/>
    <n v="19"/>
    <x v="2"/>
    <n v="2019"/>
  </r>
  <r>
    <x v="22"/>
    <x v="362"/>
    <n v="2"/>
    <s v="Food and beverages"/>
    <x v="0"/>
    <n v="9.979000000000001"/>
    <x v="1"/>
    <x v="4"/>
    <n v="99.79"/>
    <n v="199.58"/>
    <n v="209.559"/>
    <n v="27"/>
    <x v="2"/>
    <n v="2019"/>
  </r>
  <r>
    <x v="43"/>
    <x v="363"/>
    <n v="6"/>
    <s v="Home and lifestyle"/>
    <x v="1"/>
    <n v="21.966000000000001"/>
    <x v="0"/>
    <x v="2"/>
    <n v="73.22"/>
    <n v="439.32"/>
    <n v="461.286"/>
    <n v="30"/>
    <x v="2"/>
    <n v="2019"/>
  </r>
  <r>
    <x v="40"/>
    <x v="364"/>
    <n v="4"/>
    <s v="Food and beverages"/>
    <x v="1"/>
    <n v="8.2480000000000011"/>
    <x v="1"/>
    <x v="4"/>
    <n v="41.24"/>
    <n v="164.96"/>
    <n v="173.208"/>
    <n v="16"/>
    <x v="4"/>
    <n v="2019"/>
  </r>
  <r>
    <x v="39"/>
    <x v="365"/>
    <n v="4"/>
    <s v="Fashion accessories"/>
    <x v="1"/>
    <n v="16.336000000000002"/>
    <x v="1"/>
    <x v="5"/>
    <n v="81.680000000000007"/>
    <n v="326.72000000000003"/>
    <n v="343.05599999999998"/>
    <n v="18"/>
    <x v="3"/>
    <n v="2019"/>
  </r>
  <r>
    <x v="43"/>
    <x v="366"/>
    <n v="9"/>
    <s v="Electronic accessories"/>
    <x v="1"/>
    <n v="23.094000000000001"/>
    <x v="1"/>
    <x v="1"/>
    <n v="51.32"/>
    <n v="461.88"/>
    <n v="484.97399999999999"/>
    <n v="30"/>
    <x v="2"/>
    <n v="2019"/>
  </r>
  <r>
    <x v="49"/>
    <x v="367"/>
    <n v="4"/>
    <s v="Home and lifestyle"/>
    <x v="1"/>
    <n v="13.188000000000001"/>
    <x v="0"/>
    <x v="2"/>
    <n v="65.94"/>
    <n v="263.76"/>
    <n v="276.94799999999998"/>
    <n v="20"/>
    <x v="2"/>
    <n v="2019"/>
  </r>
  <r>
    <x v="37"/>
    <x v="368"/>
    <n v="10"/>
    <s v="Sports and travel"/>
    <x v="1"/>
    <n v="7.18"/>
    <x v="1"/>
    <x v="3"/>
    <n v="14.36"/>
    <n v="143.6"/>
    <n v="150.78"/>
    <n v="16"/>
    <x v="3"/>
    <n v="2019"/>
  </r>
  <r>
    <x v="6"/>
    <x v="369"/>
    <n v="9"/>
    <s v="Electronic accessories"/>
    <x v="2"/>
    <n v="9.6750000000000007"/>
    <x v="0"/>
    <x v="1"/>
    <n v="21.5"/>
    <n v="193.5"/>
    <n v="203.17500000000001"/>
    <n v="24"/>
    <x v="4"/>
    <n v="2019"/>
  </r>
  <r>
    <x v="9"/>
    <x v="370"/>
    <n v="7"/>
    <s v="Electronic accessories"/>
    <x v="1"/>
    <n v="9.1910000000000007"/>
    <x v="2"/>
    <x v="1"/>
    <n v="26.26"/>
    <n v="183.82"/>
    <n v="193.011"/>
    <n v="15"/>
    <x v="3"/>
    <n v="2019"/>
  </r>
  <r>
    <x v="28"/>
    <x v="371"/>
    <n v="2"/>
    <s v="Fashion accessories"/>
    <x v="2"/>
    <n v="6.0960000000000001"/>
    <x v="2"/>
    <x v="5"/>
    <n v="60.96"/>
    <n v="121.92"/>
    <n v="128.01599999999999"/>
    <n v="22"/>
    <x v="3"/>
    <n v="2019"/>
  </r>
  <r>
    <x v="40"/>
    <x v="372"/>
    <n v="6"/>
    <s v="Home and lifestyle"/>
    <x v="0"/>
    <n v="21.033000000000001"/>
    <x v="1"/>
    <x v="2"/>
    <n v="70.11"/>
    <n v="420.66"/>
    <n v="441.69299999999998"/>
    <n v="16"/>
    <x v="4"/>
    <n v="2019"/>
  </r>
  <r>
    <x v="54"/>
    <x v="373"/>
    <n v="6"/>
    <s v="Fashion accessories"/>
    <x v="1"/>
    <n v="12.624000000000001"/>
    <x v="1"/>
    <x v="5"/>
    <n v="42.08"/>
    <n v="252.48"/>
    <n v="265.10399999999998"/>
    <n v="14"/>
    <x v="2"/>
    <n v="2019"/>
  </r>
  <r>
    <x v="19"/>
    <x v="374"/>
    <n v="5"/>
    <s v="Home and lifestyle"/>
    <x v="2"/>
    <n v="16.772500000000001"/>
    <x v="0"/>
    <x v="2"/>
    <n v="67.09"/>
    <n v="335.45"/>
    <n v="352.22250000000003"/>
    <n v="27"/>
    <x v="4"/>
    <n v="2019"/>
  </r>
  <r>
    <x v="39"/>
    <x v="375"/>
    <n v="5"/>
    <s v="Fashion accessories"/>
    <x v="0"/>
    <n v="24.175000000000001"/>
    <x v="0"/>
    <x v="5"/>
    <n v="96.7"/>
    <n v="483.5"/>
    <n v="507.67500000000001"/>
    <n v="18"/>
    <x v="3"/>
    <n v="2019"/>
  </r>
  <r>
    <x v="42"/>
    <x v="376"/>
    <n v="9"/>
    <s v="Home and lifestyle"/>
    <x v="2"/>
    <n v="15.921000000000001"/>
    <x v="2"/>
    <x v="2"/>
    <n v="35.380000000000003"/>
    <n v="318.42"/>
    <n v="334.34100000000001"/>
    <n v="29"/>
    <x v="3"/>
    <n v="2019"/>
  </r>
  <r>
    <x v="52"/>
    <x v="377"/>
    <n v="7"/>
    <s v="Sports and travel"/>
    <x v="0"/>
    <n v="33.421500000000002"/>
    <x v="1"/>
    <x v="3"/>
    <n v="95.49"/>
    <n v="668.43"/>
    <n v="701.85149999999999"/>
    <n v="26"/>
    <x v="4"/>
    <n v="2019"/>
  </r>
  <r>
    <x v="37"/>
    <x v="378"/>
    <n v="4"/>
    <s v="Fashion accessories"/>
    <x v="0"/>
    <n v="19.396000000000001"/>
    <x v="1"/>
    <x v="5"/>
    <n v="96.98"/>
    <n v="387.92"/>
    <n v="407.31599999999997"/>
    <n v="16"/>
    <x v="3"/>
    <n v="2019"/>
  </r>
  <r>
    <x v="35"/>
    <x v="379"/>
    <n v="4"/>
    <s v="Electronic accessories"/>
    <x v="2"/>
    <n v="4.7299999999999995"/>
    <x v="2"/>
    <x v="1"/>
    <n v="23.65"/>
    <n v="94.6"/>
    <n v="99.33"/>
    <n v="24"/>
    <x v="2"/>
    <n v="2019"/>
  </r>
  <r>
    <x v="50"/>
    <x v="380"/>
    <n v="4"/>
    <s v="Sports and travel"/>
    <x v="2"/>
    <n v="16.466000000000001"/>
    <x v="0"/>
    <x v="3"/>
    <n v="82.33"/>
    <n v="329.32"/>
    <n v="345.786"/>
    <n v="21"/>
    <x v="4"/>
    <n v="2019"/>
  </r>
  <r>
    <x v="7"/>
    <x v="381"/>
    <n v="2"/>
    <s v="Electronic accessories"/>
    <x v="1"/>
    <n v="2.661"/>
    <x v="1"/>
    <x v="1"/>
    <n v="26.61"/>
    <n v="53.22"/>
    <n v="55.881"/>
    <n v="20"/>
    <x v="4"/>
    <n v="2019"/>
  </r>
  <r>
    <x v="32"/>
    <x v="382"/>
    <n v="5"/>
    <s v="Food and beverages"/>
    <x v="1"/>
    <n v="24.922499999999999"/>
    <x v="2"/>
    <x v="4"/>
    <n v="99.69"/>
    <n v="498.45"/>
    <n v="523.37249999999995"/>
    <n v="23"/>
    <x v="4"/>
    <n v="2019"/>
  </r>
  <r>
    <x v="40"/>
    <x v="383"/>
    <n v="4"/>
    <s v="Food and beverages"/>
    <x v="0"/>
    <n v="14.978000000000002"/>
    <x v="1"/>
    <x v="4"/>
    <n v="74.89"/>
    <n v="299.56"/>
    <n v="314.53800000000001"/>
    <n v="16"/>
    <x v="4"/>
    <n v="2019"/>
  </r>
  <r>
    <x v="17"/>
    <x v="384"/>
    <n v="5"/>
    <s v="Food and beverages"/>
    <x v="0"/>
    <n v="10.234999999999999"/>
    <x v="0"/>
    <x v="4"/>
    <n v="40.94"/>
    <n v="204.7"/>
    <n v="214.935"/>
    <n v="17"/>
    <x v="3"/>
    <n v="2019"/>
  </r>
  <r>
    <x v="47"/>
    <x v="385"/>
    <n v="1"/>
    <s v="Sports and travel"/>
    <x v="1"/>
    <n v="3.7909999999999999"/>
    <x v="2"/>
    <x v="3"/>
    <n v="75.819999999999993"/>
    <n v="75.819999999999993"/>
    <n v="79.611000000000004"/>
    <n v="14"/>
    <x v="3"/>
    <n v="2019"/>
  </r>
  <r>
    <x v="43"/>
    <x v="386"/>
    <n v="6"/>
    <s v="Food and beverages"/>
    <x v="1"/>
    <n v="14.031000000000001"/>
    <x v="1"/>
    <x v="4"/>
    <n v="46.77"/>
    <n v="280.62"/>
    <n v="294.65100000000001"/>
    <n v="30"/>
    <x v="2"/>
    <n v="2019"/>
  </r>
  <r>
    <x v="24"/>
    <x v="387"/>
    <n v="10"/>
    <s v="Health and beauty"/>
    <x v="2"/>
    <n v="16.16"/>
    <x v="0"/>
    <x v="0"/>
    <n v="32.32"/>
    <n v="323.2"/>
    <n v="339.36"/>
    <n v="15"/>
    <x v="4"/>
    <n v="2019"/>
  </r>
  <r>
    <x v="6"/>
    <x v="388"/>
    <n v="9"/>
    <s v="Fashion accessories"/>
    <x v="0"/>
    <n v="24.331500000000002"/>
    <x v="1"/>
    <x v="5"/>
    <n v="54.07"/>
    <n v="486.63"/>
    <n v="510.9615"/>
    <n v="24"/>
    <x v="4"/>
    <n v="2019"/>
  </r>
  <r>
    <x v="55"/>
    <x v="389"/>
    <n v="7"/>
    <s v="Food and beverages"/>
    <x v="2"/>
    <n v="6.3770000000000007"/>
    <x v="2"/>
    <x v="4"/>
    <n v="18.22"/>
    <n v="127.54"/>
    <n v="133.917"/>
    <n v="19"/>
    <x v="4"/>
    <n v="2019"/>
  </r>
  <r>
    <x v="32"/>
    <x v="390"/>
    <n v="3"/>
    <s v="Fashion accessories"/>
    <x v="1"/>
    <n v="12.072000000000001"/>
    <x v="1"/>
    <x v="5"/>
    <n v="80.48"/>
    <n v="241.44"/>
    <n v="253.512"/>
    <n v="23"/>
    <x v="4"/>
    <n v="2019"/>
  </r>
  <r>
    <x v="47"/>
    <x v="391"/>
    <n v="10"/>
    <s v="Fashion accessories"/>
    <x v="1"/>
    <n v="18.975000000000001"/>
    <x v="2"/>
    <x v="5"/>
    <n v="37.950000000000003"/>
    <n v="379.5"/>
    <n v="398.47500000000002"/>
    <n v="14"/>
    <x v="3"/>
    <n v="2019"/>
  </r>
  <r>
    <x v="19"/>
    <x v="392"/>
    <n v="1"/>
    <s v="Electronic accessories"/>
    <x v="0"/>
    <n v="3.8409999999999997"/>
    <x v="0"/>
    <x v="1"/>
    <n v="76.819999999999993"/>
    <n v="76.819999999999993"/>
    <n v="80.661000000000001"/>
    <n v="27"/>
    <x v="4"/>
    <n v="2019"/>
  </r>
  <r>
    <x v="27"/>
    <x v="393"/>
    <n v="10"/>
    <s v="Sports and travel"/>
    <x v="2"/>
    <n v="26.130000000000003"/>
    <x v="0"/>
    <x v="3"/>
    <n v="52.26"/>
    <n v="522.6"/>
    <n v="548.73"/>
    <n v="24"/>
    <x v="3"/>
    <n v="2019"/>
  </r>
  <r>
    <x v="37"/>
    <x v="394"/>
    <n v="1"/>
    <s v="Health and beauty"/>
    <x v="0"/>
    <n v="3.9870000000000001"/>
    <x v="0"/>
    <x v="0"/>
    <n v="79.739999999999995"/>
    <n v="79.739999999999995"/>
    <n v="83.727000000000004"/>
    <n v="16"/>
    <x v="3"/>
    <n v="2019"/>
  </r>
  <r>
    <x v="26"/>
    <x v="395"/>
    <n v="5"/>
    <s v="Health and beauty"/>
    <x v="0"/>
    <n v="19.375"/>
    <x v="0"/>
    <x v="0"/>
    <n v="77.5"/>
    <n v="387.5"/>
    <n v="406.875"/>
    <n v="13"/>
    <x v="2"/>
    <n v="2019"/>
  </r>
  <r>
    <x v="24"/>
    <x v="396"/>
    <n v="5"/>
    <s v="Food and beverages"/>
    <x v="0"/>
    <n v="13.567500000000003"/>
    <x v="0"/>
    <x v="4"/>
    <n v="54.27"/>
    <n v="271.35000000000002"/>
    <n v="284.91750000000002"/>
    <n v="15"/>
    <x v="4"/>
    <n v="2019"/>
  </r>
  <r>
    <x v="14"/>
    <x v="397"/>
    <n v="9"/>
    <s v="Home and lifestyle"/>
    <x v="1"/>
    <n v="6.1155000000000008"/>
    <x v="2"/>
    <x v="2"/>
    <n v="13.59"/>
    <n v="122.31"/>
    <n v="128.4255"/>
    <n v="25"/>
    <x v="3"/>
    <n v="2019"/>
  </r>
  <r>
    <x v="37"/>
    <x v="398"/>
    <n v="6"/>
    <s v="Health and beauty"/>
    <x v="2"/>
    <n v="12.318000000000001"/>
    <x v="2"/>
    <x v="0"/>
    <n v="41.06"/>
    <n v="246.36"/>
    <n v="258.678"/>
    <n v="16"/>
    <x v="3"/>
    <n v="2019"/>
  </r>
  <r>
    <x v="42"/>
    <x v="399"/>
    <n v="9"/>
    <s v="Electronic accessories"/>
    <x v="1"/>
    <n v="8.6579999999999995"/>
    <x v="2"/>
    <x v="1"/>
    <n v="19.239999999999998"/>
    <n v="173.16"/>
    <n v="181.81800000000001"/>
    <n v="29"/>
    <x v="3"/>
    <n v="2019"/>
  </r>
  <r>
    <x v="55"/>
    <x v="400"/>
    <n v="6"/>
    <s v="Food and beverages"/>
    <x v="2"/>
    <n v="11.829000000000001"/>
    <x v="1"/>
    <x v="4"/>
    <n v="39.43"/>
    <n v="236.58"/>
    <n v="248.40899999999999"/>
    <n v="19"/>
    <x v="4"/>
    <n v="2019"/>
  </r>
  <r>
    <x v="22"/>
    <x v="401"/>
    <n v="4"/>
    <s v="Home and lifestyle"/>
    <x v="2"/>
    <n v="9.2439999999999998"/>
    <x v="1"/>
    <x v="2"/>
    <n v="46.22"/>
    <n v="184.88"/>
    <n v="194.124"/>
    <n v="27"/>
    <x v="2"/>
    <n v="2019"/>
  </r>
  <r>
    <x v="19"/>
    <x v="402"/>
    <n v="1"/>
    <s v="Home and lifestyle"/>
    <x v="0"/>
    <n v="0.69900000000000007"/>
    <x v="1"/>
    <x v="2"/>
    <n v="13.98"/>
    <n v="13.98"/>
    <n v="14.679"/>
    <n v="27"/>
    <x v="4"/>
    <n v="2019"/>
  </r>
  <r>
    <x v="8"/>
    <x v="403"/>
    <n v="5"/>
    <s v="Fashion accessories"/>
    <x v="0"/>
    <n v="9.9375"/>
    <x v="2"/>
    <x v="5"/>
    <n v="39.75"/>
    <n v="198.75"/>
    <n v="208.6875"/>
    <n v="29"/>
    <x v="2"/>
    <n v="2019"/>
  </r>
  <r>
    <x v="51"/>
    <x v="404"/>
    <n v="7"/>
    <s v="Fashion accessories"/>
    <x v="0"/>
    <n v="34.226500000000001"/>
    <x v="1"/>
    <x v="5"/>
    <n v="97.79"/>
    <n v="684.53"/>
    <n v="718.75649999999996"/>
    <n v="31"/>
    <x v="3"/>
    <n v="2019"/>
  </r>
  <r>
    <x v="10"/>
    <x v="405"/>
    <n v="4"/>
    <s v="Sports and travel"/>
    <x v="2"/>
    <n v="13.452000000000002"/>
    <x v="0"/>
    <x v="3"/>
    <n v="67.260000000000005"/>
    <n v="269.04000000000002"/>
    <n v="282.49200000000002"/>
    <n v="21"/>
    <x v="3"/>
    <n v="2019"/>
  </r>
  <r>
    <x v="23"/>
    <x v="406"/>
    <n v="5"/>
    <s v="Food and beverages"/>
    <x v="2"/>
    <n v="3.4475000000000002"/>
    <x v="0"/>
    <x v="4"/>
    <n v="13.79"/>
    <n v="68.95"/>
    <n v="72.397499999999994"/>
    <n v="20"/>
    <x v="3"/>
    <n v="2019"/>
  </r>
  <r>
    <x v="17"/>
    <x v="407"/>
    <n v="4"/>
    <s v="Fashion accessories"/>
    <x v="1"/>
    <n v="13.741999999999999"/>
    <x v="2"/>
    <x v="5"/>
    <n v="68.709999999999994"/>
    <n v="274.83999999999997"/>
    <n v="288.58199999999999"/>
    <n v="17"/>
    <x v="3"/>
    <n v="2019"/>
  </r>
  <r>
    <x v="21"/>
    <x v="408"/>
    <n v="4"/>
    <s v="Home and lifestyle"/>
    <x v="0"/>
    <n v="11.306000000000001"/>
    <x v="0"/>
    <x v="2"/>
    <n v="56.53"/>
    <n v="226.12"/>
    <n v="237.42599999999999"/>
    <n v="28"/>
    <x v="4"/>
    <n v="2019"/>
  </r>
  <r>
    <x v="20"/>
    <x v="409"/>
    <n v="5"/>
    <s v="Fashion accessories"/>
    <x v="0"/>
    <n v="5.9550000000000001"/>
    <x v="1"/>
    <x v="5"/>
    <n v="23.82"/>
    <n v="119.1"/>
    <n v="125.05500000000001"/>
    <n v="19"/>
    <x v="2"/>
    <n v="2019"/>
  </r>
  <r>
    <x v="55"/>
    <x v="410"/>
    <n v="10"/>
    <s v="Health and beauty"/>
    <x v="1"/>
    <n v="17.105"/>
    <x v="2"/>
    <x v="0"/>
    <n v="34.21"/>
    <n v="342.1"/>
    <n v="359.20499999999998"/>
    <n v="19"/>
    <x v="4"/>
    <n v="2019"/>
  </r>
  <r>
    <x v="51"/>
    <x v="411"/>
    <n v="2"/>
    <s v="Sports and travel"/>
    <x v="0"/>
    <n v="2.1870000000000003"/>
    <x v="2"/>
    <x v="3"/>
    <n v="21.87"/>
    <n v="43.74"/>
    <n v="45.927"/>
    <n v="31"/>
    <x v="3"/>
    <n v="2019"/>
  </r>
  <r>
    <x v="34"/>
    <x v="412"/>
    <n v="5"/>
    <s v="Health and beauty"/>
    <x v="1"/>
    <n v="5.2424999999999997"/>
    <x v="0"/>
    <x v="0"/>
    <n v="20.97"/>
    <n v="104.85"/>
    <n v="110.0925"/>
    <n v="28"/>
    <x v="2"/>
    <n v="2019"/>
  </r>
  <r>
    <x v="36"/>
    <x v="413"/>
    <n v="3"/>
    <s v="Sports and travel"/>
    <x v="0"/>
    <n v="3.8759999999999999"/>
    <x v="0"/>
    <x v="3"/>
    <n v="25.84"/>
    <n v="77.52"/>
    <n v="81.396000000000001"/>
    <n v="19"/>
    <x v="3"/>
    <n v="2019"/>
  </r>
  <r>
    <x v="12"/>
    <x v="414"/>
    <n v="8"/>
    <s v="Home and lifestyle"/>
    <x v="0"/>
    <n v="20.372"/>
    <x v="0"/>
    <x v="2"/>
    <n v="50.93"/>
    <n v="407.44"/>
    <n v="427.81200000000001"/>
    <n v="17"/>
    <x v="4"/>
    <n v="2019"/>
  </r>
  <r>
    <x v="39"/>
    <x v="415"/>
    <n v="1"/>
    <s v="Health and beauty"/>
    <x v="0"/>
    <n v="4.8055000000000003"/>
    <x v="2"/>
    <x v="0"/>
    <n v="96.11"/>
    <n v="96.11"/>
    <n v="100.91549999999999"/>
    <n v="18"/>
    <x v="3"/>
    <n v="2019"/>
  </r>
  <r>
    <x v="39"/>
    <x v="416"/>
    <n v="4"/>
    <s v="Home and lifestyle"/>
    <x v="2"/>
    <n v="9.0760000000000005"/>
    <x v="1"/>
    <x v="2"/>
    <n v="45.38"/>
    <n v="181.52"/>
    <n v="190.596"/>
    <n v="18"/>
    <x v="3"/>
    <n v="2019"/>
  </r>
  <r>
    <x v="48"/>
    <x v="417"/>
    <n v="1"/>
    <s v="Health and beauty"/>
    <x v="0"/>
    <n v="4.0755000000000008"/>
    <x v="1"/>
    <x v="0"/>
    <n v="81.510000000000005"/>
    <n v="81.510000000000005"/>
    <n v="85.585499999999996"/>
    <n v="18"/>
    <x v="2"/>
    <n v="2019"/>
  </r>
  <r>
    <x v="18"/>
    <x v="418"/>
    <n v="2"/>
    <s v="Health and beauty"/>
    <x v="0"/>
    <n v="5.7220000000000004"/>
    <x v="2"/>
    <x v="0"/>
    <n v="57.22"/>
    <n v="114.44"/>
    <n v="120.16200000000001"/>
    <n v="16"/>
    <x v="2"/>
    <n v="2019"/>
  </r>
  <r>
    <x v="21"/>
    <x v="419"/>
    <n v="7"/>
    <s v="Electronic accessories"/>
    <x v="1"/>
    <n v="8.827"/>
    <x v="0"/>
    <x v="1"/>
    <n v="25.22"/>
    <n v="176.54"/>
    <n v="185.36699999999999"/>
    <n v="28"/>
    <x v="4"/>
    <n v="2019"/>
  </r>
  <r>
    <x v="27"/>
    <x v="420"/>
    <n v="3"/>
    <s v="Food and beverages"/>
    <x v="0"/>
    <n v="5.79"/>
    <x v="1"/>
    <x v="4"/>
    <n v="38.6"/>
    <n v="115.8"/>
    <n v="121.59"/>
    <n v="24"/>
    <x v="3"/>
    <n v="2019"/>
  </r>
  <r>
    <x v="16"/>
    <x v="421"/>
    <n v="3"/>
    <s v="Electronic accessories"/>
    <x v="1"/>
    <n v="12.607500000000002"/>
    <x v="1"/>
    <x v="1"/>
    <n v="84.05"/>
    <n v="252.15"/>
    <n v="264.75749999999999"/>
    <n v="23"/>
    <x v="2"/>
    <n v="2019"/>
  </r>
  <r>
    <x v="42"/>
    <x v="422"/>
    <n v="10"/>
    <s v="Fashion accessories"/>
    <x v="2"/>
    <n v="48.605000000000004"/>
    <x v="1"/>
    <x v="5"/>
    <n v="97.21"/>
    <n v="972.1"/>
    <n v="1020.705"/>
    <n v="29"/>
    <x v="3"/>
    <n v="2019"/>
  </r>
  <r>
    <x v="49"/>
    <x v="423"/>
    <n v="8"/>
    <s v="Fashion accessories"/>
    <x v="2"/>
    <n v="10.168000000000001"/>
    <x v="2"/>
    <x v="5"/>
    <n v="25.42"/>
    <n v="203.36"/>
    <n v="213.52799999999999"/>
    <n v="20"/>
    <x v="2"/>
    <n v="2019"/>
  </r>
  <r>
    <x v="16"/>
    <x v="424"/>
    <n v="1"/>
    <s v="Fashion accessories"/>
    <x v="1"/>
    <n v="0.81400000000000006"/>
    <x v="1"/>
    <x v="5"/>
    <n v="16.28"/>
    <n v="16.28"/>
    <n v="17.094000000000001"/>
    <n v="23"/>
    <x v="2"/>
    <n v="2019"/>
  </r>
  <r>
    <x v="47"/>
    <x v="425"/>
    <n v="9"/>
    <s v="Fashion accessories"/>
    <x v="1"/>
    <n v="18.2745"/>
    <x v="2"/>
    <x v="5"/>
    <n v="40.61"/>
    <n v="365.49"/>
    <n v="383.7645"/>
    <n v="14"/>
    <x v="3"/>
    <n v="2019"/>
  </r>
  <r>
    <x v="7"/>
    <x v="426"/>
    <n v="7"/>
    <s v="Health and beauty"/>
    <x v="1"/>
    <n v="18.609500000000001"/>
    <x v="0"/>
    <x v="0"/>
    <n v="53.17"/>
    <n v="372.19"/>
    <n v="390.79950000000002"/>
    <n v="20"/>
    <x v="4"/>
    <n v="2019"/>
  </r>
  <r>
    <x v="44"/>
    <x v="427"/>
    <n v="3"/>
    <s v="Food and beverages"/>
    <x v="2"/>
    <n v="3.1305000000000001"/>
    <x v="2"/>
    <x v="4"/>
    <n v="20.87"/>
    <n v="62.61"/>
    <n v="65.740499999999997"/>
    <n v="30"/>
    <x v="3"/>
    <n v="2019"/>
  </r>
  <r>
    <x v="33"/>
    <x v="428"/>
    <n v="5"/>
    <s v="Sports and travel"/>
    <x v="1"/>
    <n v="16.817500000000003"/>
    <x v="2"/>
    <x v="3"/>
    <n v="67.27"/>
    <n v="336.35"/>
    <n v="353.16750000000002"/>
    <n v="26"/>
    <x v="2"/>
    <n v="2019"/>
  </r>
  <r>
    <x v="9"/>
    <x v="429"/>
    <n v="10"/>
    <s v="Home and lifestyle"/>
    <x v="0"/>
    <n v="45.325000000000003"/>
    <x v="0"/>
    <x v="2"/>
    <n v="90.65"/>
    <n v="906.5"/>
    <n v="951.82500000000005"/>
    <n v="15"/>
    <x v="3"/>
    <n v="2019"/>
  </r>
  <r>
    <x v="54"/>
    <x v="430"/>
    <n v="2"/>
    <s v="Fashion accessories"/>
    <x v="2"/>
    <n v="6.9080000000000004"/>
    <x v="2"/>
    <x v="5"/>
    <n v="69.08"/>
    <n v="138.16"/>
    <n v="145.06800000000001"/>
    <n v="14"/>
    <x v="2"/>
    <n v="2019"/>
  </r>
  <r>
    <x v="41"/>
    <x v="431"/>
    <n v="2"/>
    <s v="Food and beverages"/>
    <x v="0"/>
    <n v="4.3270000000000008"/>
    <x v="1"/>
    <x v="4"/>
    <n v="43.27"/>
    <n v="86.54"/>
    <n v="90.867000000000004"/>
    <n v="22"/>
    <x v="4"/>
    <n v="2019"/>
  </r>
  <r>
    <x v="27"/>
    <x v="432"/>
    <n v="6"/>
    <s v="Electronic accessories"/>
    <x v="0"/>
    <n v="7.0380000000000003"/>
    <x v="0"/>
    <x v="1"/>
    <n v="23.46"/>
    <n v="140.76"/>
    <n v="147.798"/>
    <n v="24"/>
    <x v="3"/>
    <n v="2019"/>
  </r>
  <r>
    <x v="14"/>
    <x v="433"/>
    <n v="7"/>
    <s v="Fashion accessories"/>
    <x v="2"/>
    <n v="33.439"/>
    <x v="2"/>
    <x v="5"/>
    <n v="95.54"/>
    <n v="668.78"/>
    <n v="702.21900000000005"/>
    <n v="25"/>
    <x v="3"/>
    <n v="2019"/>
  </r>
  <r>
    <x v="12"/>
    <x v="434"/>
    <n v="1"/>
    <s v="Fashion accessories"/>
    <x v="2"/>
    <n v="2.3719999999999999"/>
    <x v="2"/>
    <x v="5"/>
    <n v="47.44"/>
    <n v="47.44"/>
    <n v="49.811999999999998"/>
    <n v="17"/>
    <x v="4"/>
    <n v="2019"/>
  </r>
  <r>
    <x v="19"/>
    <x v="435"/>
    <n v="9"/>
    <s v="Sports and travel"/>
    <x v="0"/>
    <n v="44.658000000000001"/>
    <x v="1"/>
    <x v="3"/>
    <n v="99.24"/>
    <n v="893.16"/>
    <n v="937.81799999999998"/>
    <n v="27"/>
    <x v="4"/>
    <n v="2019"/>
  </r>
  <r>
    <x v="4"/>
    <x v="436"/>
    <n v="4"/>
    <s v="Sports and travel"/>
    <x v="0"/>
    <n v="16.586000000000002"/>
    <x v="1"/>
    <x v="3"/>
    <n v="82.93"/>
    <n v="331.72"/>
    <n v="348.30599999999998"/>
    <n v="25"/>
    <x v="2"/>
    <n v="2019"/>
  </r>
  <r>
    <x v="51"/>
    <x v="437"/>
    <n v="6"/>
    <s v="Home and lifestyle"/>
    <x v="2"/>
    <n v="10.197000000000001"/>
    <x v="0"/>
    <x v="2"/>
    <n v="33.99"/>
    <n v="203.94"/>
    <n v="214.137"/>
    <n v="31"/>
    <x v="3"/>
    <n v="2019"/>
  </r>
  <r>
    <x v="23"/>
    <x v="438"/>
    <n v="4"/>
    <s v="Food and beverages"/>
    <x v="0"/>
    <n v="3.4079999999999999"/>
    <x v="1"/>
    <x v="4"/>
    <n v="17.04"/>
    <n v="68.16"/>
    <n v="71.567999999999998"/>
    <n v="20"/>
    <x v="3"/>
    <n v="2019"/>
  </r>
  <r>
    <x v="33"/>
    <x v="439"/>
    <n v="8"/>
    <s v="Electronic accessories"/>
    <x v="2"/>
    <n v="16.344000000000001"/>
    <x v="1"/>
    <x v="1"/>
    <n v="40.86"/>
    <n v="326.88"/>
    <n v="343.22399999999999"/>
    <n v="26"/>
    <x v="2"/>
    <n v="2019"/>
  </r>
  <r>
    <x v="23"/>
    <x v="440"/>
    <n v="5"/>
    <s v="Food and beverages"/>
    <x v="1"/>
    <n v="4.3600000000000003"/>
    <x v="1"/>
    <x v="4"/>
    <n v="17.440000000000001"/>
    <n v="87.2"/>
    <n v="91.56"/>
    <n v="20"/>
    <x v="3"/>
    <n v="2019"/>
  </r>
  <r>
    <x v="46"/>
    <x v="441"/>
    <n v="8"/>
    <s v="Sports and travel"/>
    <x v="2"/>
    <n v="35.372000000000007"/>
    <x v="2"/>
    <x v="3"/>
    <n v="88.43"/>
    <n v="707.44"/>
    <n v="742.81200000000001"/>
    <n v="13"/>
    <x v="4"/>
    <n v="2019"/>
  </r>
  <r>
    <x v="18"/>
    <x v="442"/>
    <n v="9"/>
    <s v="Home and lifestyle"/>
    <x v="2"/>
    <n v="40.144500000000001"/>
    <x v="0"/>
    <x v="2"/>
    <n v="89.21"/>
    <n v="802.89"/>
    <n v="843.03449999999998"/>
    <n v="16"/>
    <x v="2"/>
    <n v="2019"/>
  </r>
  <r>
    <x v="9"/>
    <x v="443"/>
    <n v="1"/>
    <s v="Fashion accessories"/>
    <x v="0"/>
    <n v="0.63900000000000001"/>
    <x v="1"/>
    <x v="5"/>
    <n v="12.78"/>
    <n v="12.78"/>
    <n v="13.419"/>
    <n v="15"/>
    <x v="3"/>
    <n v="2019"/>
  </r>
  <r>
    <x v="52"/>
    <x v="444"/>
    <n v="7"/>
    <s v="Sports and travel"/>
    <x v="1"/>
    <n v="6.6849999999999996"/>
    <x v="0"/>
    <x v="3"/>
    <n v="19.100000000000001"/>
    <n v="133.69999999999999"/>
    <n v="140.38499999999999"/>
    <n v="26"/>
    <x v="4"/>
    <n v="2019"/>
  </r>
  <r>
    <x v="19"/>
    <x v="445"/>
    <n v="1"/>
    <s v="Health and beauty"/>
    <x v="2"/>
    <n v="0.95750000000000002"/>
    <x v="2"/>
    <x v="0"/>
    <n v="19.149999999999999"/>
    <n v="19.149999999999999"/>
    <n v="20.107500000000002"/>
    <n v="27"/>
    <x v="4"/>
    <n v="2019"/>
  </r>
  <r>
    <x v="12"/>
    <x v="446"/>
    <n v="10"/>
    <s v="Food and beverages"/>
    <x v="2"/>
    <n v="13.830000000000002"/>
    <x v="1"/>
    <x v="4"/>
    <n v="27.66"/>
    <n v="276.60000000000002"/>
    <n v="290.43"/>
    <n v="17"/>
    <x v="4"/>
    <n v="2019"/>
  </r>
  <r>
    <x v="17"/>
    <x v="447"/>
    <n v="3"/>
    <s v="Fashion accessories"/>
    <x v="2"/>
    <n v="6.8610000000000007"/>
    <x v="1"/>
    <x v="5"/>
    <n v="45.74"/>
    <n v="137.22"/>
    <n v="144.08099999999999"/>
    <n v="17"/>
    <x v="3"/>
    <n v="2019"/>
  </r>
  <r>
    <x v="28"/>
    <x v="448"/>
    <n v="1"/>
    <s v="Health and beauty"/>
    <x v="2"/>
    <n v="1.3535000000000001"/>
    <x v="2"/>
    <x v="0"/>
    <n v="27.07"/>
    <n v="27.07"/>
    <n v="28.423500000000001"/>
    <n v="22"/>
    <x v="3"/>
    <n v="2019"/>
  </r>
  <r>
    <x v="49"/>
    <x v="449"/>
    <n v="1"/>
    <s v="Sports and travel"/>
    <x v="2"/>
    <n v="1.956"/>
    <x v="2"/>
    <x v="3"/>
    <n v="39.119999999999997"/>
    <n v="39.119999999999997"/>
    <n v="41.076000000000001"/>
    <n v="20"/>
    <x v="2"/>
    <n v="2019"/>
  </r>
  <r>
    <x v="51"/>
    <x v="450"/>
    <n v="6"/>
    <s v="Electronic accessories"/>
    <x v="1"/>
    <n v="22.413"/>
    <x v="2"/>
    <x v="1"/>
    <n v="74.709999999999994"/>
    <n v="448.26"/>
    <n v="470.673"/>
    <n v="31"/>
    <x v="3"/>
    <n v="2019"/>
  </r>
  <r>
    <x v="55"/>
    <x v="451"/>
    <n v="6"/>
    <s v="Electronic accessories"/>
    <x v="1"/>
    <n v="6.6030000000000006"/>
    <x v="2"/>
    <x v="1"/>
    <n v="22.01"/>
    <n v="132.06"/>
    <n v="138.66300000000001"/>
    <n v="19"/>
    <x v="4"/>
    <n v="2019"/>
  </r>
  <r>
    <x v="6"/>
    <x v="452"/>
    <n v="5"/>
    <s v="Food and beverages"/>
    <x v="0"/>
    <n v="15.902500000000002"/>
    <x v="0"/>
    <x v="4"/>
    <n v="63.61"/>
    <n v="318.05"/>
    <n v="333.95249999999999"/>
    <n v="24"/>
    <x v="4"/>
    <n v="2019"/>
  </r>
  <r>
    <x v="55"/>
    <x v="453"/>
    <n v="1"/>
    <s v="Health and beauty"/>
    <x v="0"/>
    <n v="1.25"/>
    <x v="0"/>
    <x v="0"/>
    <n v="25"/>
    <n v="25"/>
    <n v="26.25"/>
    <n v="19"/>
    <x v="4"/>
    <n v="2019"/>
  </r>
  <r>
    <x v="31"/>
    <x v="454"/>
    <n v="4"/>
    <s v="Electronic accessories"/>
    <x v="1"/>
    <n v="4.1539999999999999"/>
    <x v="0"/>
    <x v="1"/>
    <n v="20.77"/>
    <n v="83.08"/>
    <n v="87.233999999999995"/>
    <n v="23"/>
    <x v="3"/>
    <n v="2019"/>
  </r>
  <r>
    <x v="47"/>
    <x v="455"/>
    <n v="5"/>
    <s v="Fashion accessories"/>
    <x v="1"/>
    <n v="7.3900000000000006"/>
    <x v="2"/>
    <x v="5"/>
    <n v="29.56"/>
    <n v="147.80000000000001"/>
    <n v="155.19"/>
    <n v="14"/>
    <x v="3"/>
    <n v="2019"/>
  </r>
  <r>
    <x v="17"/>
    <x v="456"/>
    <n v="9"/>
    <s v="Food and beverages"/>
    <x v="2"/>
    <n v="34.830000000000005"/>
    <x v="2"/>
    <x v="4"/>
    <n v="77.400000000000006"/>
    <n v="696.6"/>
    <n v="731.43"/>
    <n v="17"/>
    <x v="3"/>
    <n v="2019"/>
  </r>
  <r>
    <x v="24"/>
    <x v="457"/>
    <n v="10"/>
    <s v="Electronic accessories"/>
    <x v="1"/>
    <n v="39.695"/>
    <x v="2"/>
    <x v="1"/>
    <n v="79.39"/>
    <n v="793.9"/>
    <n v="833.59500000000003"/>
    <n v="15"/>
    <x v="4"/>
    <n v="2019"/>
  </r>
  <r>
    <x v="9"/>
    <x v="458"/>
    <n v="10"/>
    <s v="Electronic accessories"/>
    <x v="1"/>
    <n v="23.285"/>
    <x v="1"/>
    <x v="1"/>
    <n v="46.57"/>
    <n v="465.7"/>
    <n v="488.98500000000001"/>
    <n v="15"/>
    <x v="3"/>
    <n v="2019"/>
  </r>
  <r>
    <x v="19"/>
    <x v="459"/>
    <n v="1"/>
    <s v="Food and beverages"/>
    <x v="2"/>
    <n v="1.7945000000000002"/>
    <x v="1"/>
    <x v="4"/>
    <n v="35.89"/>
    <n v="35.89"/>
    <n v="37.6845"/>
    <n v="27"/>
    <x v="4"/>
    <n v="2019"/>
  </r>
  <r>
    <x v="52"/>
    <x v="460"/>
    <n v="5"/>
    <s v="Food and beverages"/>
    <x v="1"/>
    <n v="10.130000000000001"/>
    <x v="1"/>
    <x v="4"/>
    <n v="40.520000000000003"/>
    <n v="202.6"/>
    <n v="212.73"/>
    <n v="26"/>
    <x v="4"/>
    <n v="2019"/>
  </r>
  <r>
    <x v="11"/>
    <x v="461"/>
    <n v="10"/>
    <s v="Food and beverages"/>
    <x v="2"/>
    <n v="36.524999999999999"/>
    <x v="2"/>
    <x v="4"/>
    <n v="73.05"/>
    <n v="730.5"/>
    <n v="767.02499999999998"/>
    <n v="15"/>
    <x v="2"/>
    <n v="2019"/>
  </r>
  <r>
    <x v="27"/>
    <x v="462"/>
    <n v="4"/>
    <s v="Sports and travel"/>
    <x v="1"/>
    <n v="14.790000000000001"/>
    <x v="1"/>
    <x v="3"/>
    <n v="73.95"/>
    <n v="295.8"/>
    <n v="310.58999999999997"/>
    <n v="24"/>
    <x v="3"/>
    <n v="2019"/>
  </r>
  <r>
    <x v="41"/>
    <x v="463"/>
    <n v="1"/>
    <s v="Food and beverages"/>
    <x v="1"/>
    <n v="1.131"/>
    <x v="1"/>
    <x v="4"/>
    <n v="22.62"/>
    <n v="22.62"/>
    <n v="23.751000000000001"/>
    <n v="22"/>
    <x v="4"/>
    <n v="2019"/>
  </r>
  <r>
    <x v="11"/>
    <x v="464"/>
    <n v="5"/>
    <s v="Food and beverages"/>
    <x v="2"/>
    <n v="12.835000000000001"/>
    <x v="0"/>
    <x v="4"/>
    <n v="51.34"/>
    <n v="256.7"/>
    <n v="269.53500000000003"/>
    <n v="15"/>
    <x v="2"/>
    <n v="2019"/>
  </r>
  <r>
    <x v="16"/>
    <x v="465"/>
    <n v="10"/>
    <s v="Sports and travel"/>
    <x v="2"/>
    <n v="27.275000000000002"/>
    <x v="1"/>
    <x v="3"/>
    <n v="54.55"/>
    <n v="545.5"/>
    <n v="572.77499999999998"/>
    <n v="23"/>
    <x v="2"/>
    <n v="2019"/>
  </r>
  <r>
    <x v="32"/>
    <x v="466"/>
    <n v="7"/>
    <s v="Health and beauty"/>
    <x v="2"/>
    <n v="13.002500000000001"/>
    <x v="1"/>
    <x v="0"/>
    <n v="37.15"/>
    <n v="260.05"/>
    <n v="273.05250000000001"/>
    <n v="23"/>
    <x v="4"/>
    <n v="2019"/>
  </r>
  <r>
    <x v="53"/>
    <x v="467"/>
    <n v="6"/>
    <s v="Sports and travel"/>
    <x v="1"/>
    <n v="11.106000000000002"/>
    <x v="2"/>
    <x v="3"/>
    <n v="37.020000000000003"/>
    <n v="222.12"/>
    <n v="233.226"/>
    <n v="17"/>
    <x v="2"/>
    <n v="2019"/>
  </r>
  <r>
    <x v="37"/>
    <x v="468"/>
    <n v="1"/>
    <s v="Food and beverages"/>
    <x v="0"/>
    <n v="1.079"/>
    <x v="1"/>
    <x v="4"/>
    <n v="21.58"/>
    <n v="21.58"/>
    <n v="22.658999999999999"/>
    <n v="16"/>
    <x v="3"/>
    <n v="2019"/>
  </r>
  <r>
    <x v="47"/>
    <x v="469"/>
    <n v="1"/>
    <s v="Electronic accessories"/>
    <x v="1"/>
    <n v="4.9420000000000002"/>
    <x v="1"/>
    <x v="1"/>
    <n v="98.84"/>
    <n v="98.84"/>
    <n v="103.782"/>
    <n v="14"/>
    <x v="3"/>
    <n v="2019"/>
  </r>
  <r>
    <x v="51"/>
    <x v="470"/>
    <n v="6"/>
    <s v="Home and lifestyle"/>
    <x v="0"/>
    <n v="25.131"/>
    <x v="1"/>
    <x v="2"/>
    <n v="83.77"/>
    <n v="502.62"/>
    <n v="527.75099999999998"/>
    <n v="31"/>
    <x v="3"/>
    <n v="2019"/>
  </r>
  <r>
    <x v="11"/>
    <x v="471"/>
    <n v="4"/>
    <s v="Sports and travel"/>
    <x v="1"/>
    <n v="8.01"/>
    <x v="0"/>
    <x v="3"/>
    <n v="40.049999999999997"/>
    <n v="160.19999999999999"/>
    <n v="168.21"/>
    <n v="15"/>
    <x v="2"/>
    <n v="2019"/>
  </r>
  <r>
    <x v="6"/>
    <x v="472"/>
    <n v="10"/>
    <s v="Fashion accessories"/>
    <x v="2"/>
    <n v="21.565000000000001"/>
    <x v="0"/>
    <x v="5"/>
    <n v="43.13"/>
    <n v="431.3"/>
    <n v="452.86500000000001"/>
    <n v="24"/>
    <x v="4"/>
    <n v="2019"/>
  </r>
  <r>
    <x v="13"/>
    <x v="473"/>
    <n v="8"/>
    <s v="Health and beauty"/>
    <x v="1"/>
    <n v="29.027999999999999"/>
    <x v="2"/>
    <x v="0"/>
    <n v="72.569999999999993"/>
    <n v="580.55999999999995"/>
    <n v="609.58799999999997"/>
    <n v="22"/>
    <x v="2"/>
    <n v="2019"/>
  </r>
  <r>
    <x v="27"/>
    <x v="474"/>
    <n v="5"/>
    <s v="Electronic accessories"/>
    <x v="1"/>
    <n v="16.11"/>
    <x v="0"/>
    <x v="1"/>
    <n v="64.44"/>
    <n v="322.2"/>
    <n v="338.31"/>
    <n v="24"/>
    <x v="3"/>
    <n v="2019"/>
  </r>
  <r>
    <x v="54"/>
    <x v="475"/>
    <n v="3"/>
    <s v="Health and beauty"/>
    <x v="2"/>
    <n v="9.777000000000001"/>
    <x v="0"/>
    <x v="0"/>
    <n v="65.180000000000007"/>
    <n v="195.54"/>
    <n v="205.31700000000001"/>
    <n v="14"/>
    <x v="2"/>
    <n v="2019"/>
  </r>
  <r>
    <x v="31"/>
    <x v="476"/>
    <n v="5"/>
    <s v="Sports and travel"/>
    <x v="2"/>
    <n v="8.3150000000000013"/>
    <x v="0"/>
    <x v="3"/>
    <n v="33.26"/>
    <n v="166.3"/>
    <n v="174.61500000000001"/>
    <n v="23"/>
    <x v="3"/>
    <n v="2019"/>
  </r>
  <r>
    <x v="36"/>
    <x v="477"/>
    <n v="4"/>
    <s v="Electronic accessories"/>
    <x v="0"/>
    <n v="16.814"/>
    <x v="1"/>
    <x v="1"/>
    <n v="84.07"/>
    <n v="336.28"/>
    <n v="353.09399999999999"/>
    <n v="19"/>
    <x v="3"/>
    <n v="2019"/>
  </r>
  <r>
    <x v="3"/>
    <x v="478"/>
    <n v="10"/>
    <s v="Sports and travel"/>
    <x v="0"/>
    <n v="17.184999999999999"/>
    <x v="2"/>
    <x v="3"/>
    <n v="34.369999999999997"/>
    <n v="343.7"/>
    <n v="360.88499999999999"/>
    <n v="27"/>
    <x v="3"/>
    <n v="2019"/>
  </r>
  <r>
    <x v="4"/>
    <x v="479"/>
    <n v="1"/>
    <s v="Electronic accessories"/>
    <x v="0"/>
    <n v="1.9300000000000002"/>
    <x v="0"/>
    <x v="1"/>
    <n v="38.6"/>
    <n v="38.6"/>
    <n v="40.53"/>
    <n v="25"/>
    <x v="2"/>
    <n v="2019"/>
  </r>
  <r>
    <x v="6"/>
    <x v="480"/>
    <n v="8"/>
    <s v="Food and beverages"/>
    <x v="1"/>
    <n v="26.388000000000002"/>
    <x v="1"/>
    <x v="4"/>
    <n v="65.97"/>
    <n v="527.76"/>
    <n v="554.14800000000002"/>
    <n v="24"/>
    <x v="4"/>
    <n v="2019"/>
  </r>
  <r>
    <x v="25"/>
    <x v="481"/>
    <n v="10"/>
    <s v="Electronic accessories"/>
    <x v="1"/>
    <n v="16.400000000000002"/>
    <x v="1"/>
    <x v="1"/>
    <n v="32.799999999999997"/>
    <n v="328"/>
    <n v="344.4"/>
    <n v="14"/>
    <x v="4"/>
    <n v="2019"/>
  </r>
  <r>
    <x v="42"/>
    <x v="482"/>
    <n v="5"/>
    <s v="Sports and travel"/>
    <x v="0"/>
    <n v="9.2850000000000001"/>
    <x v="0"/>
    <x v="3"/>
    <n v="37.14"/>
    <n v="185.7"/>
    <n v="194.98500000000001"/>
    <n v="29"/>
    <x v="3"/>
    <n v="2019"/>
  </r>
  <r>
    <x v="15"/>
    <x v="483"/>
    <n v="10"/>
    <s v="Home and lifestyle"/>
    <x v="1"/>
    <n v="30.189999999999998"/>
    <x v="2"/>
    <x v="2"/>
    <n v="60.38"/>
    <n v="603.79999999999995"/>
    <n v="633.99"/>
    <n v="28"/>
    <x v="3"/>
    <n v="2019"/>
  </r>
  <r>
    <x v="33"/>
    <x v="484"/>
    <n v="10"/>
    <s v="Sports and travel"/>
    <x v="2"/>
    <n v="18.490000000000002"/>
    <x v="1"/>
    <x v="3"/>
    <n v="36.979999999999997"/>
    <n v="369.8"/>
    <n v="388.29"/>
    <n v="26"/>
    <x v="2"/>
    <n v="2019"/>
  </r>
  <r>
    <x v="35"/>
    <x v="485"/>
    <n v="4"/>
    <s v="Sports and travel"/>
    <x v="0"/>
    <n v="9.8980000000000015"/>
    <x v="2"/>
    <x v="3"/>
    <n v="49.49"/>
    <n v="197.96"/>
    <n v="207.858"/>
    <n v="24"/>
    <x v="2"/>
    <n v="2019"/>
  </r>
  <r>
    <x v="27"/>
    <x v="486"/>
    <n v="10"/>
    <s v="Fashion accessories"/>
    <x v="1"/>
    <n v="20.545000000000002"/>
    <x v="2"/>
    <x v="5"/>
    <n v="41.09"/>
    <n v="410.9"/>
    <n v="431.44499999999999"/>
    <n v="24"/>
    <x v="3"/>
    <n v="2019"/>
  </r>
  <r>
    <x v="5"/>
    <x v="487"/>
    <n v="4"/>
    <s v="Fashion accessories"/>
    <x v="0"/>
    <n v="7.43"/>
    <x v="0"/>
    <x v="5"/>
    <n v="37.15"/>
    <n v="148.6"/>
    <n v="156.03"/>
    <n v="25"/>
    <x v="4"/>
    <n v="2019"/>
  </r>
  <r>
    <x v="25"/>
    <x v="488"/>
    <n v="1"/>
    <s v="Home and lifestyle"/>
    <x v="1"/>
    <n v="1.1480000000000001"/>
    <x v="1"/>
    <x v="2"/>
    <n v="22.96"/>
    <n v="22.96"/>
    <n v="24.108000000000001"/>
    <n v="14"/>
    <x v="4"/>
    <n v="2019"/>
  </r>
  <r>
    <x v="33"/>
    <x v="489"/>
    <n v="9"/>
    <s v="Home and lifestyle"/>
    <x v="0"/>
    <n v="34.956000000000003"/>
    <x v="2"/>
    <x v="2"/>
    <n v="77.680000000000007"/>
    <n v="699.12"/>
    <n v="734.07600000000002"/>
    <n v="26"/>
    <x v="2"/>
    <n v="2019"/>
  </r>
  <r>
    <x v="9"/>
    <x v="490"/>
    <n v="2"/>
    <s v="Fashion accessories"/>
    <x v="0"/>
    <n v="3.4700000000000006"/>
    <x v="2"/>
    <x v="5"/>
    <n v="34.700000000000003"/>
    <n v="69.400000000000006"/>
    <n v="72.87"/>
    <n v="15"/>
    <x v="3"/>
    <n v="2019"/>
  </r>
  <r>
    <x v="24"/>
    <x v="491"/>
    <n v="10"/>
    <s v="Fashion accessories"/>
    <x v="2"/>
    <n v="9.83"/>
    <x v="0"/>
    <x v="5"/>
    <n v="19.66"/>
    <n v="196.6"/>
    <n v="206.43"/>
    <n v="15"/>
    <x v="4"/>
    <n v="2019"/>
  </r>
  <r>
    <x v="21"/>
    <x v="492"/>
    <n v="8"/>
    <s v="Health and beauty"/>
    <x v="0"/>
    <n v="10.128"/>
    <x v="2"/>
    <x v="0"/>
    <n v="25.32"/>
    <n v="202.56"/>
    <n v="212.68799999999999"/>
    <n v="28"/>
    <x v="4"/>
    <n v="2019"/>
  </r>
  <r>
    <x v="46"/>
    <x v="493"/>
    <n v="10"/>
    <s v="Home and lifestyle"/>
    <x v="2"/>
    <n v="6.0600000000000005"/>
    <x v="1"/>
    <x v="2"/>
    <n v="12.12"/>
    <n v="121.2"/>
    <n v="127.26"/>
    <n v="13"/>
    <x v="4"/>
    <n v="2019"/>
  </r>
  <r>
    <x v="30"/>
    <x v="494"/>
    <n v="2"/>
    <s v="Fashion accessories"/>
    <x v="0"/>
    <n v="9.9890000000000008"/>
    <x v="2"/>
    <x v="5"/>
    <n v="99.89"/>
    <n v="199.78"/>
    <n v="209.76900000000001"/>
    <n v="26"/>
    <x v="3"/>
    <n v="2019"/>
  </r>
  <r>
    <x v="44"/>
    <x v="495"/>
    <n v="8"/>
    <s v="Sports and travel"/>
    <x v="1"/>
    <n v="30.368000000000002"/>
    <x v="2"/>
    <x v="3"/>
    <n v="75.92"/>
    <n v="607.36"/>
    <n v="637.72799999999995"/>
    <n v="30"/>
    <x v="3"/>
    <n v="2019"/>
  </r>
  <r>
    <x v="3"/>
    <x v="496"/>
    <n v="2"/>
    <s v="Electronic accessories"/>
    <x v="1"/>
    <n v="6.3220000000000001"/>
    <x v="1"/>
    <x v="1"/>
    <n v="63.22"/>
    <n v="126.44"/>
    <n v="132.762"/>
    <n v="27"/>
    <x v="3"/>
    <n v="2019"/>
  </r>
  <r>
    <x v="44"/>
    <x v="497"/>
    <n v="6"/>
    <s v="Food and beverages"/>
    <x v="1"/>
    <n v="27.072000000000003"/>
    <x v="1"/>
    <x v="4"/>
    <n v="90.24"/>
    <n v="541.44000000000005"/>
    <n v="568.51199999999994"/>
    <n v="30"/>
    <x v="3"/>
    <n v="2019"/>
  </r>
  <r>
    <x v="36"/>
    <x v="498"/>
    <n v="1"/>
    <s v="Sports and travel"/>
    <x v="1"/>
    <n v="4.9065000000000003"/>
    <x v="2"/>
    <x v="3"/>
    <n v="98.13"/>
    <n v="98.13"/>
    <n v="103.0365"/>
    <n v="19"/>
    <x v="3"/>
    <n v="2019"/>
  </r>
  <r>
    <x v="14"/>
    <x v="499"/>
    <n v="8"/>
    <s v="Sports and travel"/>
    <x v="1"/>
    <n v="20.608000000000004"/>
    <x v="0"/>
    <x v="3"/>
    <n v="51.52"/>
    <n v="412.16"/>
    <n v="432.76799999999997"/>
    <n v="25"/>
    <x v="3"/>
    <n v="2019"/>
  </r>
  <r>
    <x v="55"/>
    <x v="500"/>
    <n v="1"/>
    <s v="Sports and travel"/>
    <x v="2"/>
    <n v="3.6985000000000001"/>
    <x v="2"/>
    <x v="3"/>
    <n v="73.97"/>
    <n v="73.97"/>
    <n v="77.668499999999995"/>
    <n v="19"/>
    <x v="4"/>
    <n v="2019"/>
  </r>
  <r>
    <x v="47"/>
    <x v="501"/>
    <n v="1"/>
    <s v="Fashion accessories"/>
    <x v="0"/>
    <n v="1.595"/>
    <x v="1"/>
    <x v="5"/>
    <n v="31.9"/>
    <n v="31.9"/>
    <n v="33.494999999999997"/>
    <n v="14"/>
    <x v="3"/>
    <n v="2019"/>
  </r>
  <r>
    <x v="5"/>
    <x v="502"/>
    <n v="2"/>
    <s v="Home and lifestyle"/>
    <x v="0"/>
    <n v="6.9400000000000013"/>
    <x v="1"/>
    <x v="2"/>
    <n v="69.400000000000006"/>
    <n v="138.80000000000001"/>
    <n v="145.74"/>
    <n v="25"/>
    <x v="4"/>
    <n v="2019"/>
  </r>
  <r>
    <x v="31"/>
    <x v="503"/>
    <n v="2"/>
    <s v="Sports and travel"/>
    <x v="1"/>
    <n v="9.3310000000000013"/>
    <x v="2"/>
    <x v="3"/>
    <n v="93.31"/>
    <n v="186.62"/>
    <n v="195.95099999999999"/>
    <n v="23"/>
    <x v="3"/>
    <n v="2019"/>
  </r>
  <r>
    <x v="40"/>
    <x v="504"/>
    <n v="1"/>
    <s v="Sports and travel"/>
    <x v="2"/>
    <n v="4.4225000000000003"/>
    <x v="2"/>
    <x v="3"/>
    <n v="88.45"/>
    <n v="88.45"/>
    <n v="92.872500000000002"/>
    <n v="16"/>
    <x v="4"/>
    <n v="2019"/>
  </r>
  <r>
    <x v="24"/>
    <x v="505"/>
    <n v="8"/>
    <s v="Electronic accessories"/>
    <x v="0"/>
    <n v="9.6720000000000006"/>
    <x v="0"/>
    <x v="1"/>
    <n v="24.18"/>
    <n v="193.44"/>
    <n v="203.11199999999999"/>
    <n v="15"/>
    <x v="4"/>
    <n v="2019"/>
  </r>
  <r>
    <x v="31"/>
    <x v="506"/>
    <n v="3"/>
    <s v="Sports and travel"/>
    <x v="1"/>
    <n v="7.2750000000000004"/>
    <x v="2"/>
    <x v="3"/>
    <n v="48.5"/>
    <n v="145.5"/>
    <n v="152.77500000000001"/>
    <n v="23"/>
    <x v="3"/>
    <n v="2019"/>
  </r>
  <r>
    <x v="7"/>
    <x v="507"/>
    <n v="6"/>
    <s v="Food and beverages"/>
    <x v="2"/>
    <n v="25.215000000000003"/>
    <x v="2"/>
    <x v="4"/>
    <n v="84.05"/>
    <n v="504.3"/>
    <n v="529.51499999999999"/>
    <n v="20"/>
    <x v="4"/>
    <n v="2019"/>
  </r>
  <r>
    <x v="53"/>
    <x v="508"/>
    <n v="5"/>
    <s v="Health and beauty"/>
    <x v="1"/>
    <n v="15.3225"/>
    <x v="2"/>
    <x v="0"/>
    <n v="61.29"/>
    <n v="306.45"/>
    <n v="321.77249999999998"/>
    <n v="17"/>
    <x v="2"/>
    <n v="2019"/>
  </r>
  <r>
    <x v="30"/>
    <x v="509"/>
    <n v="6"/>
    <s v="Home and lifestyle"/>
    <x v="2"/>
    <n v="4.7850000000000001"/>
    <x v="1"/>
    <x v="2"/>
    <n v="15.95"/>
    <n v="95.7"/>
    <n v="100.485"/>
    <n v="26"/>
    <x v="3"/>
    <n v="2019"/>
  </r>
  <r>
    <x v="11"/>
    <x v="510"/>
    <n v="7"/>
    <s v="Sports and travel"/>
    <x v="2"/>
    <n v="31.759"/>
    <x v="2"/>
    <x v="3"/>
    <n v="90.74"/>
    <n v="635.17999999999995"/>
    <n v="666.93899999999996"/>
    <n v="15"/>
    <x v="2"/>
    <n v="2019"/>
  </r>
  <r>
    <x v="17"/>
    <x v="511"/>
    <n v="5"/>
    <s v="Home and lifestyle"/>
    <x v="0"/>
    <n v="10.727500000000001"/>
    <x v="0"/>
    <x v="2"/>
    <n v="42.91"/>
    <n v="214.55"/>
    <n v="225.2775"/>
    <n v="17"/>
    <x v="3"/>
    <n v="2019"/>
  </r>
  <r>
    <x v="40"/>
    <x v="512"/>
    <n v="7"/>
    <s v="Fashion accessories"/>
    <x v="0"/>
    <n v="18.998000000000001"/>
    <x v="0"/>
    <x v="5"/>
    <n v="54.28"/>
    <n v="379.96"/>
    <n v="398.95800000000003"/>
    <n v="16"/>
    <x v="4"/>
    <n v="2019"/>
  </r>
  <r>
    <x v="26"/>
    <x v="513"/>
    <n v="7"/>
    <s v="Electronic accessories"/>
    <x v="1"/>
    <n v="34.842500000000001"/>
    <x v="0"/>
    <x v="1"/>
    <n v="99.55"/>
    <n v="696.85"/>
    <n v="731.6925"/>
    <n v="13"/>
    <x v="2"/>
    <n v="2019"/>
  </r>
  <r>
    <x v="15"/>
    <x v="514"/>
    <n v="7"/>
    <s v="Sports and travel"/>
    <x v="2"/>
    <n v="20.436500000000002"/>
    <x v="1"/>
    <x v="3"/>
    <n v="58.39"/>
    <n v="408.73"/>
    <n v="429.16649999999998"/>
    <n v="28"/>
    <x v="3"/>
    <n v="2019"/>
  </r>
  <r>
    <x v="39"/>
    <x v="515"/>
    <n v="1"/>
    <s v="Fashion accessories"/>
    <x v="0"/>
    <n v="2.5735000000000001"/>
    <x v="1"/>
    <x v="5"/>
    <n v="51.47"/>
    <n v="51.47"/>
    <n v="54.043500000000002"/>
    <n v="18"/>
    <x v="3"/>
    <n v="2019"/>
  </r>
  <r>
    <x v="20"/>
    <x v="516"/>
    <n v="5"/>
    <s v="Health and beauty"/>
    <x v="0"/>
    <n v="13.715000000000002"/>
    <x v="2"/>
    <x v="0"/>
    <n v="54.86"/>
    <n v="274.3"/>
    <n v="288.01499999999999"/>
    <n v="19"/>
    <x v="2"/>
    <n v="2019"/>
  </r>
  <r>
    <x v="11"/>
    <x v="517"/>
    <n v="5"/>
    <s v="Home and lifestyle"/>
    <x v="2"/>
    <n v="9.8475000000000001"/>
    <x v="1"/>
    <x v="2"/>
    <n v="39.39"/>
    <n v="196.95"/>
    <n v="206.79750000000001"/>
    <n v="15"/>
    <x v="2"/>
    <n v="2019"/>
  </r>
  <r>
    <x v="5"/>
    <x v="518"/>
    <n v="2"/>
    <s v="Home and lifestyle"/>
    <x v="0"/>
    <n v="3.4729999999999999"/>
    <x v="0"/>
    <x v="2"/>
    <n v="34.729999999999997"/>
    <n v="69.459999999999994"/>
    <n v="72.933000000000007"/>
    <n v="25"/>
    <x v="4"/>
    <n v="2019"/>
  </r>
  <r>
    <x v="45"/>
    <x v="519"/>
    <n v="5"/>
    <s v="Sports and travel"/>
    <x v="2"/>
    <n v="17.98"/>
    <x v="1"/>
    <x v="3"/>
    <n v="71.92"/>
    <n v="359.6"/>
    <n v="377.58"/>
    <n v="21"/>
    <x v="2"/>
    <n v="2019"/>
  </r>
  <r>
    <x v="36"/>
    <x v="520"/>
    <n v="3"/>
    <s v="Electronic accessories"/>
    <x v="2"/>
    <n v="6.8565000000000005"/>
    <x v="2"/>
    <x v="1"/>
    <n v="45.71"/>
    <n v="137.13"/>
    <n v="143.98650000000001"/>
    <n v="19"/>
    <x v="3"/>
    <n v="2019"/>
  </r>
  <r>
    <x v="43"/>
    <x v="521"/>
    <n v="6"/>
    <s v="Home and lifestyle"/>
    <x v="1"/>
    <n v="24.951000000000001"/>
    <x v="1"/>
    <x v="2"/>
    <n v="83.17"/>
    <n v="499.02"/>
    <n v="523.971"/>
    <n v="30"/>
    <x v="2"/>
    <n v="2019"/>
  </r>
  <r>
    <x v="7"/>
    <x v="522"/>
    <n v="6"/>
    <s v="Home and lifestyle"/>
    <x v="2"/>
    <n v="11.231999999999999"/>
    <x v="0"/>
    <x v="2"/>
    <n v="37.44"/>
    <n v="224.64"/>
    <n v="235.87200000000001"/>
    <n v="20"/>
    <x v="4"/>
    <n v="2019"/>
  </r>
  <r>
    <x v="43"/>
    <x v="523"/>
    <n v="2"/>
    <s v="Health and beauty"/>
    <x v="1"/>
    <n v="6.2869999999999999"/>
    <x v="1"/>
    <x v="0"/>
    <n v="62.87"/>
    <n v="125.74"/>
    <n v="132.02699999999999"/>
    <n v="30"/>
    <x v="2"/>
    <n v="2019"/>
  </r>
  <r>
    <x v="20"/>
    <x v="524"/>
    <n v="6"/>
    <s v="Food and beverages"/>
    <x v="2"/>
    <n v="24.513000000000002"/>
    <x v="0"/>
    <x v="4"/>
    <n v="81.709999999999994"/>
    <n v="490.26"/>
    <n v="514.77300000000002"/>
    <n v="19"/>
    <x v="2"/>
    <n v="2019"/>
  </r>
  <r>
    <x v="29"/>
    <x v="525"/>
    <n v="5"/>
    <s v="Sports and travel"/>
    <x v="0"/>
    <n v="22.852500000000003"/>
    <x v="0"/>
    <x v="3"/>
    <n v="91.41"/>
    <n v="457.05"/>
    <n v="479.90249999999997"/>
    <n v="13"/>
    <x v="3"/>
    <n v="2019"/>
  </r>
  <r>
    <x v="16"/>
    <x v="526"/>
    <n v="4"/>
    <s v="Fashion accessories"/>
    <x v="2"/>
    <n v="7.8420000000000005"/>
    <x v="2"/>
    <x v="5"/>
    <n v="39.21"/>
    <n v="156.84"/>
    <n v="164.68199999999999"/>
    <n v="23"/>
    <x v="2"/>
    <n v="2019"/>
  </r>
  <r>
    <x v="26"/>
    <x v="527"/>
    <n v="2"/>
    <s v="Fashion accessories"/>
    <x v="0"/>
    <n v="5.9860000000000007"/>
    <x v="2"/>
    <x v="5"/>
    <n v="59.86"/>
    <n v="119.72"/>
    <n v="125.706"/>
    <n v="13"/>
    <x v="2"/>
    <n v="2019"/>
  </r>
  <r>
    <x v="53"/>
    <x v="528"/>
    <n v="10"/>
    <s v="Food and beverages"/>
    <x v="2"/>
    <n v="27.180000000000003"/>
    <x v="2"/>
    <x v="4"/>
    <n v="54.36"/>
    <n v="543.6"/>
    <n v="570.78"/>
    <n v="17"/>
    <x v="2"/>
    <n v="2019"/>
  </r>
  <r>
    <x v="50"/>
    <x v="529"/>
    <n v="9"/>
    <s v="Sports and travel"/>
    <x v="1"/>
    <n v="44.140500000000003"/>
    <x v="0"/>
    <x v="3"/>
    <n v="98.09"/>
    <n v="882.81"/>
    <n v="926.95050000000003"/>
    <n v="21"/>
    <x v="4"/>
    <n v="2019"/>
  </r>
  <r>
    <x v="15"/>
    <x v="530"/>
    <n v="6"/>
    <s v="Health and beauty"/>
    <x v="0"/>
    <n v="7.6290000000000013"/>
    <x v="0"/>
    <x v="0"/>
    <n v="25.43"/>
    <n v="152.58000000000001"/>
    <n v="160.209"/>
    <n v="28"/>
    <x v="3"/>
    <n v="2019"/>
  </r>
  <r>
    <x v="39"/>
    <x v="531"/>
    <n v="8"/>
    <s v="Fashion accessories"/>
    <x v="2"/>
    <n v="34.672000000000004"/>
    <x v="0"/>
    <x v="5"/>
    <n v="86.68"/>
    <n v="693.44"/>
    <n v="728.11199999999997"/>
    <n v="18"/>
    <x v="3"/>
    <n v="2019"/>
  </r>
  <r>
    <x v="47"/>
    <x v="532"/>
    <n v="10"/>
    <s v="Electronic accessories"/>
    <x v="0"/>
    <n v="11.475000000000001"/>
    <x v="2"/>
    <x v="1"/>
    <n v="22.95"/>
    <n v="229.5"/>
    <n v="240.97499999999999"/>
    <n v="14"/>
    <x v="3"/>
    <n v="2019"/>
  </r>
  <r>
    <x v="33"/>
    <x v="533"/>
    <n v="9"/>
    <s v="Food and beverages"/>
    <x v="0"/>
    <n v="7.3395000000000001"/>
    <x v="1"/>
    <x v="4"/>
    <n v="16.309999999999999"/>
    <n v="146.79"/>
    <n v="154.12950000000001"/>
    <n v="26"/>
    <x v="2"/>
    <n v="2019"/>
  </r>
  <r>
    <x v="15"/>
    <x v="534"/>
    <n v="5"/>
    <s v="Home and lifestyle"/>
    <x v="0"/>
    <n v="7.08"/>
    <x v="0"/>
    <x v="2"/>
    <n v="28.32"/>
    <n v="141.6"/>
    <n v="148.68"/>
    <n v="28"/>
    <x v="3"/>
    <n v="2019"/>
  </r>
  <r>
    <x v="25"/>
    <x v="535"/>
    <n v="7"/>
    <s v="Home and lifestyle"/>
    <x v="0"/>
    <n v="5.8345000000000002"/>
    <x v="1"/>
    <x v="2"/>
    <n v="16.670000000000002"/>
    <n v="116.69"/>
    <n v="122.5245"/>
    <n v="14"/>
    <x v="4"/>
    <n v="2019"/>
  </r>
  <r>
    <x v="35"/>
    <x v="536"/>
    <n v="1"/>
    <s v="Fashion accessories"/>
    <x v="2"/>
    <n v="3.698"/>
    <x v="2"/>
    <x v="5"/>
    <n v="73.959999999999994"/>
    <n v="73.959999999999994"/>
    <n v="77.658000000000001"/>
    <n v="24"/>
    <x v="2"/>
    <n v="2019"/>
  </r>
  <r>
    <x v="35"/>
    <x v="537"/>
    <n v="1"/>
    <s v="Home and lifestyle"/>
    <x v="0"/>
    <n v="4.8970000000000002"/>
    <x v="0"/>
    <x v="2"/>
    <n v="97.94"/>
    <n v="97.94"/>
    <n v="102.837"/>
    <n v="24"/>
    <x v="2"/>
    <n v="2019"/>
  </r>
  <r>
    <x v="22"/>
    <x v="538"/>
    <n v="4"/>
    <s v="Fashion accessories"/>
    <x v="2"/>
    <n v="14.61"/>
    <x v="0"/>
    <x v="5"/>
    <n v="73.05"/>
    <n v="292.2"/>
    <n v="306.81"/>
    <n v="27"/>
    <x v="2"/>
    <n v="2019"/>
  </r>
  <r>
    <x v="3"/>
    <x v="539"/>
    <n v="6"/>
    <s v="Food and beverages"/>
    <x v="0"/>
    <n v="26.244"/>
    <x v="1"/>
    <x v="4"/>
    <n v="87.48"/>
    <n v="524.88"/>
    <n v="551.12400000000002"/>
    <n v="27"/>
    <x v="3"/>
    <n v="2019"/>
  </r>
  <r>
    <x v="22"/>
    <x v="540"/>
    <n v="3"/>
    <s v="Home and lifestyle"/>
    <x v="0"/>
    <n v="4.6020000000000003"/>
    <x v="0"/>
    <x v="2"/>
    <n v="30.68"/>
    <n v="92.04"/>
    <n v="96.641999999999996"/>
    <n v="27"/>
    <x v="2"/>
    <n v="2019"/>
  </r>
  <r>
    <x v="36"/>
    <x v="541"/>
    <n v="1"/>
    <s v="Health and beauty"/>
    <x v="2"/>
    <n v="3.794"/>
    <x v="1"/>
    <x v="0"/>
    <n v="75.88"/>
    <n v="75.88"/>
    <n v="79.674000000000007"/>
    <n v="19"/>
    <x v="3"/>
    <n v="2019"/>
  </r>
  <r>
    <x v="51"/>
    <x v="542"/>
    <n v="4"/>
    <s v="Sports and travel"/>
    <x v="2"/>
    <n v="4.0360000000000005"/>
    <x v="2"/>
    <x v="3"/>
    <n v="20.18"/>
    <n v="80.72"/>
    <n v="84.756"/>
    <n v="31"/>
    <x v="3"/>
    <n v="2019"/>
  </r>
  <r>
    <x v="5"/>
    <x v="543"/>
    <n v="6"/>
    <s v="Electronic accessories"/>
    <x v="2"/>
    <n v="5.6310000000000002"/>
    <x v="1"/>
    <x v="1"/>
    <n v="18.77"/>
    <n v="112.62"/>
    <n v="118.251"/>
    <n v="25"/>
    <x v="4"/>
    <n v="2019"/>
  </r>
  <r>
    <x v="54"/>
    <x v="544"/>
    <n v="1"/>
    <s v="Food and beverages"/>
    <x v="2"/>
    <n v="3.5600000000000005"/>
    <x v="2"/>
    <x v="4"/>
    <n v="71.2"/>
    <n v="71.2"/>
    <n v="74.760000000000005"/>
    <n v="14"/>
    <x v="2"/>
    <n v="2019"/>
  </r>
  <r>
    <x v="41"/>
    <x v="545"/>
    <n v="4"/>
    <s v="Home and lifestyle"/>
    <x v="0"/>
    <n v="7.7620000000000005"/>
    <x v="2"/>
    <x v="2"/>
    <n v="38.81"/>
    <n v="155.24"/>
    <n v="163.00200000000001"/>
    <n v="22"/>
    <x v="4"/>
    <n v="2019"/>
  </r>
  <r>
    <x v="41"/>
    <x v="546"/>
    <n v="10"/>
    <s v="Fashion accessories"/>
    <x v="0"/>
    <n v="14.71"/>
    <x v="0"/>
    <x v="5"/>
    <n v="29.42"/>
    <n v="294.2"/>
    <n v="308.91000000000003"/>
    <n v="22"/>
    <x v="4"/>
    <n v="2019"/>
  </r>
  <r>
    <x v="54"/>
    <x v="547"/>
    <n v="9"/>
    <s v="Sports and travel"/>
    <x v="2"/>
    <n v="27.427499999999998"/>
    <x v="0"/>
    <x v="3"/>
    <n v="60.95"/>
    <n v="548.54999999999995"/>
    <n v="575.97749999999996"/>
    <n v="14"/>
    <x v="2"/>
    <n v="2019"/>
  </r>
  <r>
    <x v="24"/>
    <x v="548"/>
    <n v="5"/>
    <s v="Sports and travel"/>
    <x v="1"/>
    <n v="12.885"/>
    <x v="2"/>
    <x v="3"/>
    <n v="51.54"/>
    <n v="257.7"/>
    <n v="270.58499999999998"/>
    <n v="15"/>
    <x v="4"/>
    <n v="2019"/>
  </r>
  <r>
    <x v="29"/>
    <x v="549"/>
    <n v="6"/>
    <s v="Electronic accessories"/>
    <x v="1"/>
    <n v="19.818000000000001"/>
    <x v="0"/>
    <x v="1"/>
    <n v="66.06"/>
    <n v="396.36"/>
    <n v="416.178"/>
    <n v="13"/>
    <x v="3"/>
    <n v="2019"/>
  </r>
  <r>
    <x v="24"/>
    <x v="550"/>
    <n v="3"/>
    <s v="Fashion accessories"/>
    <x v="0"/>
    <n v="8.5905000000000005"/>
    <x v="2"/>
    <x v="5"/>
    <n v="57.27"/>
    <n v="171.81"/>
    <n v="180.40049999999999"/>
    <n v="15"/>
    <x v="4"/>
    <n v="2019"/>
  </r>
  <r>
    <x v="35"/>
    <x v="551"/>
    <n v="9"/>
    <s v="Fashion accessories"/>
    <x v="1"/>
    <n v="24.439500000000002"/>
    <x v="2"/>
    <x v="5"/>
    <n v="54.31"/>
    <n v="488.79"/>
    <n v="513.22950000000003"/>
    <n v="24"/>
    <x v="2"/>
    <n v="2019"/>
  </r>
  <r>
    <x v="19"/>
    <x v="552"/>
    <n v="9"/>
    <s v="Health and beauty"/>
    <x v="1"/>
    <n v="26.207999999999998"/>
    <x v="2"/>
    <x v="0"/>
    <n v="58.24"/>
    <n v="524.16"/>
    <n v="550.36800000000005"/>
    <n v="27"/>
    <x v="4"/>
    <n v="2019"/>
  </r>
  <r>
    <x v="23"/>
    <x v="553"/>
    <n v="6"/>
    <s v="Electronic accessories"/>
    <x v="2"/>
    <n v="6.6630000000000003"/>
    <x v="1"/>
    <x v="1"/>
    <n v="22.21"/>
    <n v="133.26"/>
    <n v="139.923"/>
    <n v="20"/>
    <x v="3"/>
    <n v="2019"/>
  </r>
  <r>
    <x v="27"/>
    <x v="554"/>
    <n v="7"/>
    <s v="Electronic accessories"/>
    <x v="1"/>
    <n v="6.7620000000000005"/>
    <x v="0"/>
    <x v="1"/>
    <n v="19.32"/>
    <n v="135.24"/>
    <n v="142.00200000000001"/>
    <n v="24"/>
    <x v="3"/>
    <n v="2019"/>
  </r>
  <r>
    <x v="43"/>
    <x v="555"/>
    <n v="3"/>
    <s v="Home and lifestyle"/>
    <x v="2"/>
    <n v="5.6219999999999999"/>
    <x v="2"/>
    <x v="2"/>
    <n v="37.479999999999997"/>
    <n v="112.44"/>
    <n v="118.062"/>
    <n v="30"/>
    <x v="2"/>
    <n v="2019"/>
  </r>
  <r>
    <x v="12"/>
    <x v="556"/>
    <n v="2"/>
    <s v="Fashion accessories"/>
    <x v="1"/>
    <n v="7.2040000000000006"/>
    <x v="2"/>
    <x v="5"/>
    <n v="72.040000000000006"/>
    <n v="144.08000000000001"/>
    <n v="151.28399999999999"/>
    <n v="17"/>
    <x v="4"/>
    <n v="2019"/>
  </r>
  <r>
    <x v="45"/>
    <x v="557"/>
    <n v="10"/>
    <s v="Food and beverages"/>
    <x v="0"/>
    <n v="49.260000000000005"/>
    <x v="1"/>
    <x v="4"/>
    <n v="98.52"/>
    <n v="985.2"/>
    <n v="1034.46"/>
    <n v="21"/>
    <x v="2"/>
    <n v="2019"/>
  </r>
  <r>
    <x v="22"/>
    <x v="558"/>
    <n v="6"/>
    <s v="Food and beverages"/>
    <x v="0"/>
    <n v="12.498000000000001"/>
    <x v="0"/>
    <x v="4"/>
    <n v="41.66"/>
    <n v="249.96"/>
    <n v="262.45800000000003"/>
    <n v="27"/>
    <x v="2"/>
    <n v="2019"/>
  </r>
  <r>
    <x v="36"/>
    <x v="559"/>
    <n v="3"/>
    <s v="Home and lifestyle"/>
    <x v="0"/>
    <n v="10.863"/>
    <x v="0"/>
    <x v="2"/>
    <n v="72.42"/>
    <n v="217.26"/>
    <n v="228.12299999999999"/>
    <n v="19"/>
    <x v="3"/>
    <n v="2019"/>
  </r>
  <r>
    <x v="55"/>
    <x v="560"/>
    <n v="9"/>
    <s v="Electronic accessories"/>
    <x v="1"/>
    <n v="9.7110000000000003"/>
    <x v="2"/>
    <x v="1"/>
    <n v="21.58"/>
    <n v="194.22"/>
    <n v="203.93100000000001"/>
    <n v="19"/>
    <x v="4"/>
    <n v="2019"/>
  </r>
  <r>
    <x v="34"/>
    <x v="561"/>
    <n v="10"/>
    <s v="Food and beverages"/>
    <x v="2"/>
    <n v="44.6"/>
    <x v="1"/>
    <x v="4"/>
    <n v="89.2"/>
    <n v="892"/>
    <n v="936.6"/>
    <n v="28"/>
    <x v="2"/>
    <n v="2019"/>
  </r>
  <r>
    <x v="33"/>
    <x v="562"/>
    <n v="8"/>
    <s v="Electronic accessories"/>
    <x v="0"/>
    <n v="16.968"/>
    <x v="2"/>
    <x v="1"/>
    <n v="42.42"/>
    <n v="339.36"/>
    <n v="356.32799999999997"/>
    <n v="26"/>
    <x v="2"/>
    <n v="2019"/>
  </r>
  <r>
    <x v="6"/>
    <x v="563"/>
    <n v="6"/>
    <s v="Electronic accessories"/>
    <x v="0"/>
    <n v="22.353000000000002"/>
    <x v="0"/>
    <x v="1"/>
    <n v="74.510000000000005"/>
    <n v="447.06"/>
    <n v="469.41300000000001"/>
    <n v="24"/>
    <x v="4"/>
    <n v="2019"/>
  </r>
  <r>
    <x v="50"/>
    <x v="564"/>
    <n v="2"/>
    <s v="Fashion accessories"/>
    <x v="1"/>
    <n v="9.9250000000000007"/>
    <x v="2"/>
    <x v="5"/>
    <n v="99.25"/>
    <n v="198.5"/>
    <n v="208.42500000000001"/>
    <n v="21"/>
    <x v="4"/>
    <n v="2019"/>
  </r>
  <r>
    <x v="5"/>
    <x v="565"/>
    <n v="10"/>
    <s v="Food and beverages"/>
    <x v="2"/>
    <n v="40.605000000000004"/>
    <x v="0"/>
    <x v="4"/>
    <n v="81.209999999999994"/>
    <n v="812.1"/>
    <n v="852.70500000000004"/>
    <n v="25"/>
    <x v="4"/>
    <n v="2019"/>
  </r>
  <r>
    <x v="29"/>
    <x v="566"/>
    <n v="10"/>
    <s v="Sports and travel"/>
    <x v="2"/>
    <n v="24.665000000000003"/>
    <x v="1"/>
    <x v="3"/>
    <n v="49.33"/>
    <n v="493.3"/>
    <n v="517.96500000000003"/>
    <n v="13"/>
    <x v="3"/>
    <n v="2019"/>
  </r>
  <r>
    <x v="55"/>
    <x v="567"/>
    <n v="9"/>
    <s v="Fashion accessories"/>
    <x v="1"/>
    <n v="29.582999999999998"/>
    <x v="0"/>
    <x v="5"/>
    <n v="65.739999999999995"/>
    <n v="591.66"/>
    <n v="621.24300000000005"/>
    <n v="19"/>
    <x v="4"/>
    <n v="2019"/>
  </r>
  <r>
    <x v="48"/>
    <x v="568"/>
    <n v="7"/>
    <s v="Fashion accessories"/>
    <x v="2"/>
    <n v="27.951000000000001"/>
    <x v="2"/>
    <x v="5"/>
    <n v="79.86"/>
    <n v="559.02"/>
    <n v="586.971"/>
    <n v="18"/>
    <x v="2"/>
    <n v="2019"/>
  </r>
  <r>
    <x v="20"/>
    <x v="569"/>
    <n v="7"/>
    <s v="Sports and travel"/>
    <x v="0"/>
    <n v="25.893000000000001"/>
    <x v="1"/>
    <x v="3"/>
    <n v="73.98"/>
    <n v="517.86"/>
    <n v="543.75300000000004"/>
    <n v="19"/>
    <x v="2"/>
    <n v="2019"/>
  </r>
  <r>
    <x v="43"/>
    <x v="570"/>
    <n v="5"/>
    <s v="Home and lifestyle"/>
    <x v="2"/>
    <n v="20.51"/>
    <x v="2"/>
    <x v="2"/>
    <n v="82.04"/>
    <n v="410.2"/>
    <n v="430.71"/>
    <n v="30"/>
    <x v="2"/>
    <n v="2019"/>
  </r>
  <r>
    <x v="30"/>
    <x v="571"/>
    <n v="10"/>
    <s v="Sports and travel"/>
    <x v="1"/>
    <n v="13.335000000000001"/>
    <x v="2"/>
    <x v="3"/>
    <n v="26.67"/>
    <n v="266.7"/>
    <n v="280.03500000000003"/>
    <n v="26"/>
    <x v="3"/>
    <n v="2019"/>
  </r>
  <r>
    <x v="29"/>
    <x v="572"/>
    <n v="7"/>
    <s v="Food and beverages"/>
    <x v="0"/>
    <n v="3.5455000000000001"/>
    <x v="0"/>
    <x v="4"/>
    <n v="10.130000000000001"/>
    <n v="70.91"/>
    <n v="74.455500000000001"/>
    <n v="13"/>
    <x v="3"/>
    <n v="2019"/>
  </r>
  <r>
    <x v="4"/>
    <x v="573"/>
    <n v="2"/>
    <s v="Food and beverages"/>
    <x v="2"/>
    <n v="7.2390000000000008"/>
    <x v="2"/>
    <x v="4"/>
    <n v="72.39"/>
    <n v="144.78"/>
    <n v="152.01900000000001"/>
    <n v="25"/>
    <x v="2"/>
    <n v="2019"/>
  </r>
  <r>
    <x v="30"/>
    <x v="574"/>
    <n v="5"/>
    <s v="Sports and travel"/>
    <x v="2"/>
    <n v="21.477500000000003"/>
    <x v="0"/>
    <x v="3"/>
    <n v="85.91"/>
    <n v="429.55"/>
    <n v="451.02749999999997"/>
    <n v="26"/>
    <x v="3"/>
    <n v="2019"/>
  </r>
  <r>
    <x v="52"/>
    <x v="575"/>
    <n v="7"/>
    <s v="Fashion accessories"/>
    <x v="0"/>
    <n v="28.458500000000001"/>
    <x v="2"/>
    <x v="5"/>
    <n v="81.31"/>
    <n v="569.16999999999996"/>
    <n v="597.62850000000003"/>
    <n v="26"/>
    <x v="4"/>
    <n v="2019"/>
  </r>
  <r>
    <x v="36"/>
    <x v="576"/>
    <n v="4"/>
    <s v="Food and beverages"/>
    <x v="1"/>
    <n v="12.06"/>
    <x v="2"/>
    <x v="4"/>
    <n v="60.3"/>
    <n v="241.2"/>
    <n v="253.26"/>
    <n v="19"/>
    <x v="3"/>
    <n v="2019"/>
  </r>
  <r>
    <x v="31"/>
    <x v="577"/>
    <n v="4"/>
    <s v="Food and beverages"/>
    <x v="0"/>
    <n v="6.3540000000000001"/>
    <x v="1"/>
    <x v="4"/>
    <n v="31.77"/>
    <n v="127.08"/>
    <n v="133.434"/>
    <n v="23"/>
    <x v="3"/>
    <n v="2019"/>
  </r>
  <r>
    <x v="54"/>
    <x v="578"/>
    <n v="4"/>
    <s v="Health and beauty"/>
    <x v="1"/>
    <n v="12.853999999999999"/>
    <x v="0"/>
    <x v="0"/>
    <n v="64.27"/>
    <n v="257.08"/>
    <n v="269.93400000000003"/>
    <n v="14"/>
    <x v="2"/>
    <n v="2019"/>
  </r>
  <r>
    <x v="31"/>
    <x v="579"/>
    <n v="2"/>
    <s v="Health and beauty"/>
    <x v="0"/>
    <n v="6.9510000000000005"/>
    <x v="2"/>
    <x v="0"/>
    <n v="69.510000000000005"/>
    <n v="139.02000000000001"/>
    <n v="145.971"/>
    <n v="23"/>
    <x v="3"/>
    <n v="2019"/>
  </r>
  <r>
    <x v="38"/>
    <x v="580"/>
    <n v="3"/>
    <s v="Food and beverages"/>
    <x v="1"/>
    <n v="4.0830000000000002"/>
    <x v="1"/>
    <x v="4"/>
    <n v="27.22"/>
    <n v="81.66"/>
    <n v="85.742999999999995"/>
    <n v="18"/>
    <x v="4"/>
    <n v="2019"/>
  </r>
  <r>
    <x v="8"/>
    <x v="581"/>
    <n v="4"/>
    <s v="Health and beauty"/>
    <x v="1"/>
    <n v="15.536000000000001"/>
    <x v="0"/>
    <x v="0"/>
    <n v="77.680000000000007"/>
    <n v="310.72000000000003"/>
    <n v="326.25599999999997"/>
    <n v="29"/>
    <x v="2"/>
    <n v="2019"/>
  </r>
  <r>
    <x v="15"/>
    <x v="582"/>
    <n v="2"/>
    <s v="Fashion accessories"/>
    <x v="2"/>
    <n v="9.298"/>
    <x v="1"/>
    <x v="5"/>
    <n v="92.98"/>
    <n v="185.96"/>
    <n v="195.25800000000001"/>
    <n v="28"/>
    <x v="3"/>
    <n v="2019"/>
  </r>
  <r>
    <x v="13"/>
    <x v="583"/>
    <n v="4"/>
    <s v="Fashion accessories"/>
    <x v="2"/>
    <n v="3.6159999999999997"/>
    <x v="2"/>
    <x v="5"/>
    <n v="18.079999999999998"/>
    <n v="72.319999999999993"/>
    <n v="75.936000000000007"/>
    <n v="22"/>
    <x v="2"/>
    <n v="2019"/>
  </r>
  <r>
    <x v="27"/>
    <x v="584"/>
    <n v="3"/>
    <s v="Sports and travel"/>
    <x v="0"/>
    <n v="9.4590000000000014"/>
    <x v="2"/>
    <x v="3"/>
    <n v="63.06"/>
    <n v="189.18"/>
    <n v="198.63900000000001"/>
    <n v="24"/>
    <x v="3"/>
    <n v="2019"/>
  </r>
  <r>
    <x v="41"/>
    <x v="585"/>
    <n v="4"/>
    <s v="Health and beauty"/>
    <x v="2"/>
    <n v="10.342000000000001"/>
    <x v="0"/>
    <x v="0"/>
    <n v="51.71"/>
    <n v="206.84"/>
    <n v="217.18199999999999"/>
    <n v="22"/>
    <x v="4"/>
    <n v="2019"/>
  </r>
  <r>
    <x v="38"/>
    <x v="586"/>
    <n v="3"/>
    <s v="Food and beverages"/>
    <x v="1"/>
    <n v="7.8510000000000009"/>
    <x v="0"/>
    <x v="4"/>
    <n v="52.34"/>
    <n v="157.02000000000001"/>
    <n v="164.87100000000001"/>
    <n v="18"/>
    <x v="4"/>
    <n v="2019"/>
  </r>
  <r>
    <x v="42"/>
    <x v="587"/>
    <n v="5"/>
    <s v="Sports and travel"/>
    <x v="0"/>
    <n v="10.765000000000001"/>
    <x v="0"/>
    <x v="3"/>
    <n v="43.06"/>
    <n v="215.3"/>
    <n v="226.065"/>
    <n v="29"/>
    <x v="3"/>
    <n v="2019"/>
  </r>
  <r>
    <x v="41"/>
    <x v="588"/>
    <n v="10"/>
    <s v="Fashion accessories"/>
    <x v="1"/>
    <n v="29.805000000000003"/>
    <x v="1"/>
    <x v="5"/>
    <n v="59.61"/>
    <n v="596.1"/>
    <n v="625.90499999999997"/>
    <n v="22"/>
    <x v="4"/>
    <n v="2019"/>
  </r>
  <r>
    <x v="38"/>
    <x v="589"/>
    <n v="5"/>
    <s v="Health and beauty"/>
    <x v="1"/>
    <n v="3.6549999999999998"/>
    <x v="0"/>
    <x v="0"/>
    <n v="14.62"/>
    <n v="73.099999999999994"/>
    <n v="76.754999999999995"/>
    <n v="18"/>
    <x v="4"/>
    <n v="2019"/>
  </r>
  <r>
    <x v="2"/>
    <x v="590"/>
    <n v="6"/>
    <s v="Health and beauty"/>
    <x v="2"/>
    <n v="13.959000000000001"/>
    <x v="1"/>
    <x v="0"/>
    <n v="46.53"/>
    <n v="279.18"/>
    <n v="293.13900000000001"/>
    <n v="3"/>
    <x v="2"/>
    <n v="2019"/>
  </r>
  <r>
    <x v="56"/>
    <x v="591"/>
    <n v="1"/>
    <s v="Sports and travel"/>
    <x v="1"/>
    <n v="2.2789999999999999"/>
    <x v="0"/>
    <x v="3"/>
    <n v="45.58"/>
    <n v="45.58"/>
    <n v="47.859000000000002"/>
    <n v="2"/>
    <x v="5"/>
    <n v="2019"/>
  </r>
  <r>
    <x v="57"/>
    <x v="592"/>
    <n v="3"/>
    <s v="Sports and travel"/>
    <x v="0"/>
    <n v="11.280000000000001"/>
    <x v="0"/>
    <x v="3"/>
    <n v="75.2"/>
    <n v="225.6"/>
    <n v="236.88"/>
    <n v="2"/>
    <x v="0"/>
    <n v="2019"/>
  </r>
  <r>
    <x v="58"/>
    <x v="593"/>
    <n v="3"/>
    <s v="Health and beauty"/>
    <x v="2"/>
    <n v="2.2230000000000003"/>
    <x v="2"/>
    <x v="0"/>
    <n v="14.82"/>
    <n v="44.46"/>
    <n v="46.683"/>
    <n v="3"/>
    <x v="3"/>
    <n v="2019"/>
  </r>
  <r>
    <x v="59"/>
    <x v="594"/>
    <n v="7"/>
    <s v="Fashion accessories"/>
    <x v="1"/>
    <n v="18.1615"/>
    <x v="1"/>
    <x v="5"/>
    <n v="51.89"/>
    <n v="363.23"/>
    <n v="381.39150000000001"/>
    <n v="1"/>
    <x v="1"/>
    <n v="2019"/>
  </r>
  <r>
    <x v="60"/>
    <x v="595"/>
    <n v="4"/>
    <s v="Home and lifestyle"/>
    <x v="1"/>
    <n v="6.3500000000000005"/>
    <x v="2"/>
    <x v="2"/>
    <n v="31.75"/>
    <n v="127"/>
    <n v="133.35"/>
    <n v="2"/>
    <x v="1"/>
    <n v="2019"/>
  </r>
  <r>
    <x v="61"/>
    <x v="596"/>
    <n v="7"/>
    <s v="Fashion accessories"/>
    <x v="0"/>
    <n v="18.7775"/>
    <x v="0"/>
    <x v="5"/>
    <n v="53.65"/>
    <n v="375.55"/>
    <n v="394.32749999999999"/>
    <n v="2"/>
    <x v="6"/>
    <n v="2019"/>
  </r>
  <r>
    <x v="56"/>
    <x v="597"/>
    <n v="1"/>
    <s v="Electronic accessories"/>
    <x v="2"/>
    <n v="1.4480000000000002"/>
    <x v="0"/>
    <x v="1"/>
    <n v="28.96"/>
    <n v="28.96"/>
    <n v="30.408000000000001"/>
    <n v="2"/>
    <x v="5"/>
    <n v="2019"/>
  </r>
  <r>
    <x v="62"/>
    <x v="598"/>
    <n v="9"/>
    <s v="Food and beverages"/>
    <x v="1"/>
    <n v="44.536500000000004"/>
    <x v="1"/>
    <x v="4"/>
    <n v="98.97"/>
    <n v="890.73"/>
    <n v="935.26649999999995"/>
    <n v="3"/>
    <x v="7"/>
    <n v="2019"/>
  </r>
  <r>
    <x v="63"/>
    <x v="599"/>
    <n v="10"/>
    <s v="Food and beverages"/>
    <x v="0"/>
    <n v="33.725000000000001"/>
    <x v="0"/>
    <x v="4"/>
    <n v="67.45"/>
    <n v="674.5"/>
    <n v="708.22500000000002"/>
    <n v="2"/>
    <x v="2"/>
    <n v="2019"/>
  </r>
  <r>
    <x v="56"/>
    <x v="600"/>
    <n v="6"/>
    <s v="Fashion accessories"/>
    <x v="0"/>
    <n v="13.038"/>
    <x v="1"/>
    <x v="5"/>
    <n v="43.46"/>
    <n v="260.76"/>
    <n v="273.798"/>
    <n v="2"/>
    <x v="5"/>
    <n v="2019"/>
  </r>
  <r>
    <x v="64"/>
    <x v="601"/>
    <n v="10"/>
    <s v="Fashion accessories"/>
    <x v="2"/>
    <n v="41.625"/>
    <x v="2"/>
    <x v="5"/>
    <n v="83.25"/>
    <n v="832.5"/>
    <n v="874.125"/>
    <n v="1"/>
    <x v="8"/>
    <n v="2019"/>
  </r>
  <r>
    <x v="62"/>
    <x v="602"/>
    <n v="2"/>
    <s v="Sports and travel"/>
    <x v="0"/>
    <n v="6.0869999999999997"/>
    <x v="0"/>
    <x v="3"/>
    <n v="60.87"/>
    <n v="121.74"/>
    <n v="127.827"/>
    <n v="3"/>
    <x v="7"/>
    <n v="2019"/>
  </r>
  <r>
    <x v="65"/>
    <x v="603"/>
    <n v="3"/>
    <s v="Electronic accessories"/>
    <x v="0"/>
    <n v="11.746500000000001"/>
    <x v="0"/>
    <x v="1"/>
    <n v="78.31"/>
    <n v="234.93"/>
    <n v="246.6765"/>
    <n v="3"/>
    <x v="0"/>
    <n v="2019"/>
  </r>
  <r>
    <x v="2"/>
    <x v="604"/>
    <n v="7"/>
    <s v="Health and beauty"/>
    <x v="2"/>
    <n v="10.1325"/>
    <x v="0"/>
    <x v="0"/>
    <n v="28.95"/>
    <n v="202.65"/>
    <n v="212.7825"/>
    <n v="3"/>
    <x v="2"/>
    <n v="2019"/>
  </r>
  <r>
    <x v="1"/>
    <x v="605"/>
    <n v="5"/>
    <s v="Food and beverages"/>
    <x v="1"/>
    <n v="4.4075000000000006"/>
    <x v="2"/>
    <x v="4"/>
    <n v="17.63"/>
    <n v="88.15"/>
    <n v="92.557500000000005"/>
    <n v="3"/>
    <x v="1"/>
    <n v="2019"/>
  </r>
  <r>
    <x v="63"/>
    <x v="606"/>
    <n v="10"/>
    <s v="Home and lifestyle"/>
    <x v="1"/>
    <n v="36.39"/>
    <x v="0"/>
    <x v="2"/>
    <n v="72.78"/>
    <n v="727.8"/>
    <n v="764.19"/>
    <n v="2"/>
    <x v="2"/>
    <n v="2019"/>
  </r>
  <r>
    <x v="66"/>
    <x v="607"/>
    <n v="9"/>
    <s v="Sports and travel"/>
    <x v="0"/>
    <n v="16.794"/>
    <x v="2"/>
    <x v="3"/>
    <n v="37.32"/>
    <n v="335.88"/>
    <n v="352.67399999999998"/>
    <n v="3"/>
    <x v="9"/>
    <n v="2019"/>
  </r>
  <r>
    <x v="63"/>
    <x v="608"/>
    <n v="3"/>
    <s v="Sports and travel"/>
    <x v="1"/>
    <n v="6.4455"/>
    <x v="2"/>
    <x v="3"/>
    <n v="42.97"/>
    <n v="128.91"/>
    <n v="135.35550000000001"/>
    <n v="2"/>
    <x v="2"/>
    <n v="2019"/>
  </r>
  <r>
    <x v="67"/>
    <x v="609"/>
    <n v="10"/>
    <s v="Food and beverages"/>
    <x v="2"/>
    <n v="43.550000000000004"/>
    <x v="1"/>
    <x v="4"/>
    <n v="87.1"/>
    <n v="871"/>
    <n v="914.55"/>
    <n v="2"/>
    <x v="8"/>
    <n v="2019"/>
  </r>
  <r>
    <x v="68"/>
    <x v="610"/>
    <n v="4"/>
    <s v="Fashion accessories"/>
    <x v="0"/>
    <n v="9.7260000000000009"/>
    <x v="0"/>
    <x v="5"/>
    <n v="48.63"/>
    <n v="194.52"/>
    <n v="204.24600000000001"/>
    <n v="2"/>
    <x v="10"/>
    <n v="2019"/>
  </r>
  <r>
    <x v="69"/>
    <x v="611"/>
    <n v="3"/>
    <s v="Health and beauty"/>
    <x v="0"/>
    <n v="11.0115"/>
    <x v="2"/>
    <x v="0"/>
    <n v="73.41"/>
    <n v="220.23"/>
    <n v="231.2415"/>
    <n v="3"/>
    <x v="4"/>
    <n v="2019"/>
  </r>
  <r>
    <x v="58"/>
    <x v="612"/>
    <n v="10"/>
    <s v="Electronic accessories"/>
    <x v="2"/>
    <n v="22.740000000000002"/>
    <x v="0"/>
    <x v="1"/>
    <n v="45.48"/>
    <n v="454.8"/>
    <n v="477.54"/>
    <n v="3"/>
    <x v="3"/>
    <n v="2019"/>
  </r>
  <r>
    <x v="56"/>
    <x v="613"/>
    <n v="10"/>
    <s v="Health and beauty"/>
    <x v="0"/>
    <n v="29.475000000000001"/>
    <x v="1"/>
    <x v="0"/>
    <n v="58.95"/>
    <n v="589.5"/>
    <n v="618.97500000000002"/>
    <n v="2"/>
    <x v="5"/>
    <n v="2019"/>
  </r>
  <r>
    <x v="70"/>
    <x v="614"/>
    <n v="6"/>
    <s v="Food and beverages"/>
    <x v="0"/>
    <n v="14.55"/>
    <x v="0"/>
    <x v="4"/>
    <n v="48.5"/>
    <n v="291"/>
    <n v="305.55"/>
    <n v="1"/>
    <x v="11"/>
    <n v="2019"/>
  </r>
  <r>
    <x v="67"/>
    <x v="615"/>
    <n v="1"/>
    <s v="Electronic accessories"/>
    <x v="1"/>
    <n v="1.974"/>
    <x v="2"/>
    <x v="1"/>
    <n v="39.479999999999997"/>
    <n v="39.479999999999997"/>
    <n v="41.454000000000001"/>
    <n v="2"/>
    <x v="8"/>
    <n v="2019"/>
  </r>
  <r>
    <x v="71"/>
    <x v="616"/>
    <n v="6"/>
    <s v="Fashion accessories"/>
    <x v="0"/>
    <n v="14.796000000000001"/>
    <x v="1"/>
    <x v="5"/>
    <n v="49.32"/>
    <n v="295.92"/>
    <n v="310.71600000000001"/>
    <n v="1"/>
    <x v="7"/>
    <n v="2019"/>
  </r>
  <r>
    <x v="59"/>
    <x v="617"/>
    <n v="2"/>
    <s v="Home and lifestyle"/>
    <x v="2"/>
    <n v="4.91"/>
    <x v="2"/>
    <x v="2"/>
    <n v="49.1"/>
    <n v="98.2"/>
    <n v="103.11"/>
    <n v="1"/>
    <x v="1"/>
    <n v="2019"/>
  </r>
  <r>
    <x v="59"/>
    <x v="618"/>
    <n v="2"/>
    <s v="Sports and travel"/>
    <x v="2"/>
    <n v="6.4830000000000005"/>
    <x v="2"/>
    <x v="3"/>
    <n v="64.83"/>
    <n v="129.66"/>
    <n v="136.143"/>
    <n v="1"/>
    <x v="1"/>
    <n v="2019"/>
  </r>
  <r>
    <x v="72"/>
    <x v="619"/>
    <n v="7"/>
    <s v="Food and beverages"/>
    <x v="0"/>
    <n v="19.263999999999999"/>
    <x v="1"/>
    <x v="4"/>
    <n v="55.04"/>
    <n v="385.28"/>
    <n v="404.54399999999998"/>
    <n v="3"/>
    <x v="8"/>
    <n v="2019"/>
  </r>
  <r>
    <x v="73"/>
    <x v="620"/>
    <n v="10"/>
    <s v="Health and beauty"/>
    <x v="1"/>
    <n v="24.315000000000001"/>
    <x v="0"/>
    <x v="0"/>
    <n v="48.63"/>
    <n v="486.3"/>
    <n v="510.61500000000001"/>
    <n v="3"/>
    <x v="10"/>
    <n v="2019"/>
  </r>
  <r>
    <x v="61"/>
    <x v="621"/>
    <n v="7"/>
    <s v="Fashion accessories"/>
    <x v="1"/>
    <n v="25.683"/>
    <x v="1"/>
    <x v="5"/>
    <n v="73.38"/>
    <n v="513.66"/>
    <n v="539.34299999999996"/>
    <n v="2"/>
    <x v="6"/>
    <n v="2019"/>
  </r>
  <r>
    <x v="74"/>
    <x v="622"/>
    <n v="4"/>
    <s v="Sports and travel"/>
    <x v="0"/>
    <n v="5.4080000000000004"/>
    <x v="0"/>
    <x v="3"/>
    <n v="27.04"/>
    <n v="108.16"/>
    <n v="113.568"/>
    <n v="1"/>
    <x v="3"/>
    <n v="2019"/>
  </r>
  <r>
    <x v="75"/>
    <x v="623"/>
    <n v="4"/>
    <s v="Home and lifestyle"/>
    <x v="0"/>
    <n v="12.438000000000001"/>
    <x v="2"/>
    <x v="2"/>
    <n v="62.19"/>
    <n v="248.76"/>
    <n v="261.19799999999998"/>
    <n v="1"/>
    <x v="9"/>
    <n v="2019"/>
  </r>
  <r>
    <x v="64"/>
    <x v="624"/>
    <n v="10"/>
    <s v="Home and lifestyle"/>
    <x v="0"/>
    <n v="48.75"/>
    <x v="1"/>
    <x v="2"/>
    <n v="97.5"/>
    <n v="975"/>
    <n v="1023.75"/>
    <n v="1"/>
    <x v="8"/>
    <n v="2019"/>
  </r>
  <r>
    <x v="56"/>
    <x v="625"/>
    <n v="8"/>
    <s v="Fashion accessories"/>
    <x v="0"/>
    <n v="24.164000000000001"/>
    <x v="1"/>
    <x v="5"/>
    <n v="60.41"/>
    <n v="483.28"/>
    <n v="507.44400000000002"/>
    <n v="2"/>
    <x v="5"/>
    <n v="2019"/>
  </r>
  <r>
    <x v="75"/>
    <x v="626"/>
    <n v="9"/>
    <s v="Health and beauty"/>
    <x v="1"/>
    <n v="36.211500000000001"/>
    <x v="2"/>
    <x v="0"/>
    <n v="80.47"/>
    <n v="724.23"/>
    <n v="760.44150000000002"/>
    <n v="1"/>
    <x v="9"/>
    <n v="2019"/>
  </r>
  <r>
    <x v="69"/>
    <x v="627"/>
    <n v="9"/>
    <s v="Home and lifestyle"/>
    <x v="1"/>
    <n v="39.775500000000001"/>
    <x v="2"/>
    <x v="2"/>
    <n v="88.39"/>
    <n v="795.51"/>
    <n v="835.28549999999996"/>
    <n v="3"/>
    <x v="4"/>
    <n v="2019"/>
  </r>
  <r>
    <x v="68"/>
    <x v="628"/>
    <n v="9"/>
    <s v="Health and beauty"/>
    <x v="0"/>
    <n v="6.2325000000000008"/>
    <x v="1"/>
    <x v="0"/>
    <n v="13.85"/>
    <n v="124.65"/>
    <n v="130.88249999999999"/>
    <n v="2"/>
    <x v="10"/>
    <n v="2019"/>
  </r>
  <r>
    <x v="76"/>
    <x v="629"/>
    <n v="5"/>
    <s v="Health and beauty"/>
    <x v="2"/>
    <n v="8.92"/>
    <x v="0"/>
    <x v="0"/>
    <n v="35.68"/>
    <n v="178.4"/>
    <n v="187.32"/>
    <n v="2"/>
    <x v="9"/>
    <n v="2019"/>
  </r>
  <r>
    <x v="77"/>
    <x v="630"/>
    <n v="7"/>
    <s v="Fashion accessories"/>
    <x v="1"/>
    <n v="8.9459999999999997"/>
    <x v="2"/>
    <x v="5"/>
    <n v="25.56"/>
    <n v="178.92"/>
    <n v="187.86600000000001"/>
    <n v="2"/>
    <x v="4"/>
    <n v="2019"/>
  </r>
  <r>
    <x v="70"/>
    <x v="631"/>
    <n v="7"/>
    <s v="Food and beverages"/>
    <x v="1"/>
    <n v="12.8695"/>
    <x v="1"/>
    <x v="4"/>
    <n v="36.770000000000003"/>
    <n v="257.39"/>
    <n v="270.2595"/>
    <n v="1"/>
    <x v="11"/>
    <n v="2019"/>
  </r>
  <r>
    <x v="68"/>
    <x v="632"/>
    <n v="4"/>
    <s v="Food and beverages"/>
    <x v="0"/>
    <n v="4.6680000000000001"/>
    <x v="2"/>
    <x v="4"/>
    <n v="23.34"/>
    <n v="93.36"/>
    <n v="98.028000000000006"/>
    <n v="2"/>
    <x v="10"/>
    <n v="2019"/>
  </r>
  <r>
    <x v="76"/>
    <x v="633"/>
    <n v="8"/>
    <s v="Health and beauty"/>
    <x v="1"/>
    <n v="11.4"/>
    <x v="1"/>
    <x v="0"/>
    <n v="28.5"/>
    <n v="228"/>
    <n v="239.4"/>
    <n v="2"/>
    <x v="9"/>
    <n v="2019"/>
  </r>
  <r>
    <x v="59"/>
    <x v="634"/>
    <n v="3"/>
    <s v="Home and lifestyle"/>
    <x v="2"/>
    <n v="8.3355000000000015"/>
    <x v="1"/>
    <x v="2"/>
    <n v="55.57"/>
    <n v="166.71"/>
    <n v="175.0455"/>
    <n v="1"/>
    <x v="1"/>
    <n v="2019"/>
  </r>
  <r>
    <x v="65"/>
    <x v="635"/>
    <n v="10"/>
    <s v="Sports and travel"/>
    <x v="2"/>
    <n v="34.869999999999997"/>
    <x v="2"/>
    <x v="3"/>
    <n v="69.739999999999995"/>
    <n v="697.4"/>
    <n v="732.27"/>
    <n v="3"/>
    <x v="0"/>
    <n v="2019"/>
  </r>
  <r>
    <x v="62"/>
    <x v="636"/>
    <n v="7"/>
    <s v="Home and lifestyle"/>
    <x v="1"/>
    <n v="18.263000000000002"/>
    <x v="2"/>
    <x v="2"/>
    <n v="52.18"/>
    <n v="365.26"/>
    <n v="383.52300000000002"/>
    <n v="3"/>
    <x v="7"/>
    <n v="2019"/>
  </r>
  <r>
    <x v="58"/>
    <x v="637"/>
    <n v="4"/>
    <s v="Fashion accessories"/>
    <x v="2"/>
    <n v="4.4640000000000004"/>
    <x v="0"/>
    <x v="5"/>
    <n v="22.32"/>
    <n v="89.28"/>
    <n v="93.744"/>
    <n v="3"/>
    <x v="3"/>
    <n v="2019"/>
  </r>
  <r>
    <x v="60"/>
    <x v="638"/>
    <n v="1"/>
    <s v="Fashion accessories"/>
    <x v="0"/>
    <n v="0.98499999999999999"/>
    <x v="0"/>
    <x v="5"/>
    <n v="19.7"/>
    <n v="19.7"/>
    <n v="20.684999999999999"/>
    <n v="2"/>
    <x v="1"/>
    <n v="2019"/>
  </r>
  <r>
    <x v="58"/>
    <x v="639"/>
    <n v="1"/>
    <s v="Food and beverages"/>
    <x v="0"/>
    <n v="2.6859999999999999"/>
    <x v="2"/>
    <x v="4"/>
    <n v="53.72"/>
    <n v="53.72"/>
    <n v="56.405999999999999"/>
    <n v="3"/>
    <x v="3"/>
    <n v="2019"/>
  </r>
  <r>
    <x v="78"/>
    <x v="640"/>
    <n v="10"/>
    <s v="Health and beauty"/>
    <x v="2"/>
    <n v="40.975000000000001"/>
    <x v="1"/>
    <x v="0"/>
    <n v="81.95"/>
    <n v="819.5"/>
    <n v="860.47500000000002"/>
    <n v="3"/>
    <x v="6"/>
    <n v="2019"/>
  </r>
  <r>
    <x v="64"/>
    <x v="641"/>
    <n v="8"/>
    <s v="Electronic accessories"/>
    <x v="0"/>
    <n v="36.624000000000002"/>
    <x v="2"/>
    <x v="1"/>
    <n v="91.56"/>
    <n v="732.48"/>
    <n v="769.10400000000004"/>
    <n v="1"/>
    <x v="8"/>
    <n v="2019"/>
  </r>
  <r>
    <x v="67"/>
    <x v="642"/>
    <n v="2"/>
    <s v="Sports and travel"/>
    <x v="0"/>
    <n v="7.1630000000000003"/>
    <x v="0"/>
    <x v="3"/>
    <n v="71.63"/>
    <n v="143.26"/>
    <n v="150.423"/>
    <n v="2"/>
    <x v="8"/>
    <n v="2019"/>
  </r>
  <r>
    <x v="79"/>
    <x v="643"/>
    <n v="8"/>
    <s v="Sports and travel"/>
    <x v="2"/>
    <n v="12.668000000000001"/>
    <x v="1"/>
    <x v="3"/>
    <n v="31.67"/>
    <n v="253.36"/>
    <n v="266.02800000000002"/>
    <n v="1"/>
    <x v="4"/>
    <n v="2019"/>
  </r>
  <r>
    <x v="77"/>
    <x v="644"/>
    <n v="1"/>
    <s v="Food and beverages"/>
    <x v="1"/>
    <n v="1.9210000000000003"/>
    <x v="1"/>
    <x v="4"/>
    <n v="38.42"/>
    <n v="38.42"/>
    <n v="40.341000000000001"/>
    <n v="2"/>
    <x v="4"/>
    <n v="2019"/>
  </r>
  <r>
    <x v="59"/>
    <x v="645"/>
    <n v="10"/>
    <s v="Fashion accessories"/>
    <x v="2"/>
    <n v="32.615000000000002"/>
    <x v="2"/>
    <x v="5"/>
    <n v="65.23"/>
    <n v="652.29999999999995"/>
    <n v="684.91499999999996"/>
    <n v="1"/>
    <x v="1"/>
    <n v="2019"/>
  </r>
  <r>
    <x v="63"/>
    <x v="646"/>
    <n v="5"/>
    <s v="Food and beverages"/>
    <x v="2"/>
    <n v="6.82"/>
    <x v="0"/>
    <x v="4"/>
    <n v="27.28"/>
    <n v="136.4"/>
    <n v="143.22"/>
    <n v="2"/>
    <x v="2"/>
    <n v="2019"/>
  </r>
  <r>
    <x v="62"/>
    <x v="647"/>
    <n v="8"/>
    <s v="Fashion accessories"/>
    <x v="2"/>
    <n v="38.916000000000004"/>
    <x v="0"/>
    <x v="5"/>
    <n v="97.29"/>
    <n v="778.32"/>
    <n v="817.23599999999999"/>
    <n v="3"/>
    <x v="7"/>
    <n v="2019"/>
  </r>
  <r>
    <x v="70"/>
    <x v="648"/>
    <n v="6"/>
    <s v="Home and lifestyle"/>
    <x v="1"/>
    <n v="28.956000000000003"/>
    <x v="0"/>
    <x v="2"/>
    <n v="96.52"/>
    <n v="579.12"/>
    <n v="608.07600000000002"/>
    <n v="1"/>
    <x v="11"/>
    <n v="2019"/>
  </r>
  <r>
    <x v="80"/>
    <x v="649"/>
    <n v="10"/>
    <s v="Food and beverages"/>
    <x v="2"/>
    <n v="38.6"/>
    <x v="2"/>
    <x v="4"/>
    <n v="77.2"/>
    <n v="772"/>
    <n v="810.6"/>
    <n v="2"/>
    <x v="11"/>
    <n v="2019"/>
  </r>
  <r>
    <x v="65"/>
    <x v="650"/>
    <n v="8"/>
    <s v="Home and lifestyle"/>
    <x v="0"/>
    <n v="38.183999999999997"/>
    <x v="2"/>
    <x v="2"/>
    <n v="95.46"/>
    <n v="763.68"/>
    <n v="801.86400000000003"/>
    <n v="3"/>
    <x v="0"/>
    <n v="2019"/>
  </r>
  <r>
    <x v="0"/>
    <x v="651"/>
    <n v="3"/>
    <s v="Fashion accessories"/>
    <x v="2"/>
    <n v="11.409000000000001"/>
    <x v="1"/>
    <x v="5"/>
    <n v="76.06"/>
    <n v="228.18"/>
    <n v="239.589"/>
    <n v="1"/>
    <x v="0"/>
    <n v="2019"/>
  </r>
  <r>
    <x v="76"/>
    <x v="652"/>
    <n v="1"/>
    <s v="Food and beverages"/>
    <x v="2"/>
    <n v="2.6210000000000004"/>
    <x v="1"/>
    <x v="4"/>
    <n v="52.42"/>
    <n v="52.42"/>
    <n v="55.040999999999997"/>
    <n v="2"/>
    <x v="9"/>
    <n v="2019"/>
  </r>
  <r>
    <x v="65"/>
    <x v="653"/>
    <n v="7"/>
    <s v="Health and beauty"/>
    <x v="2"/>
    <n v="22.858500000000003"/>
    <x v="1"/>
    <x v="0"/>
    <n v="65.31"/>
    <n v="457.17"/>
    <n v="480.02850000000001"/>
    <n v="3"/>
    <x v="0"/>
    <n v="2019"/>
  </r>
  <r>
    <x v="81"/>
    <x v="654"/>
    <n v="1"/>
    <s v="Sports and travel"/>
    <x v="1"/>
    <n v="4.6689999999999996"/>
    <x v="2"/>
    <x v="3"/>
    <n v="93.38"/>
    <n v="93.38"/>
    <n v="98.049000000000007"/>
    <n v="1"/>
    <x v="2"/>
    <n v="2019"/>
  </r>
  <r>
    <x v="80"/>
    <x v="655"/>
    <n v="4"/>
    <s v="Sports and travel"/>
    <x v="0"/>
    <n v="18.952000000000002"/>
    <x v="0"/>
    <x v="3"/>
    <n v="94.76"/>
    <n v="379.04"/>
    <n v="397.99200000000002"/>
    <n v="2"/>
    <x v="11"/>
    <n v="2019"/>
  </r>
  <r>
    <x v="57"/>
    <x v="656"/>
    <n v="1"/>
    <s v="Fashion accessories"/>
    <x v="2"/>
    <n v="1.5310000000000001"/>
    <x v="0"/>
    <x v="5"/>
    <n v="30.62"/>
    <n v="30.62"/>
    <n v="32.151000000000003"/>
    <n v="2"/>
    <x v="0"/>
    <n v="2019"/>
  </r>
  <r>
    <x v="2"/>
    <x v="657"/>
    <n v="8"/>
    <s v="Home and lifestyle"/>
    <x v="1"/>
    <n v="17.603999999999999"/>
    <x v="1"/>
    <x v="2"/>
    <n v="44.01"/>
    <n v="352.08"/>
    <n v="369.68400000000003"/>
    <n v="3"/>
    <x v="2"/>
    <n v="2019"/>
  </r>
  <r>
    <x v="68"/>
    <x v="658"/>
    <n v="7"/>
    <s v="Electronic accessories"/>
    <x v="2"/>
    <n v="26.102999999999998"/>
    <x v="0"/>
    <x v="1"/>
    <n v="74.58"/>
    <n v="522.05999999999995"/>
    <n v="548.16300000000001"/>
    <n v="2"/>
    <x v="10"/>
    <n v="2019"/>
  </r>
  <r>
    <x v="2"/>
    <x v="659"/>
    <n v="1"/>
    <s v="Fashion accessories"/>
    <x v="2"/>
    <n v="2.3205"/>
    <x v="0"/>
    <x v="5"/>
    <n v="46.41"/>
    <n v="46.41"/>
    <n v="48.730499999999999"/>
    <n v="3"/>
    <x v="2"/>
    <n v="2019"/>
  </r>
  <r>
    <x v="80"/>
    <x v="660"/>
    <n v="5"/>
    <s v="Home and lifestyle"/>
    <x v="0"/>
    <n v="21.672499999999999"/>
    <x v="1"/>
    <x v="2"/>
    <n v="86.69"/>
    <n v="433.45"/>
    <n v="455.1225"/>
    <n v="2"/>
    <x v="11"/>
    <n v="2019"/>
  </r>
  <r>
    <x v="64"/>
    <x v="661"/>
    <n v="6"/>
    <s v="Sports and travel"/>
    <x v="0"/>
    <n v="6.9030000000000005"/>
    <x v="2"/>
    <x v="3"/>
    <n v="23.01"/>
    <n v="138.06"/>
    <n v="144.96299999999999"/>
    <n v="1"/>
    <x v="8"/>
    <n v="2019"/>
  </r>
  <r>
    <x v="2"/>
    <x v="662"/>
    <n v="8"/>
    <s v="Electronic accessories"/>
    <x v="0"/>
    <n v="12.08"/>
    <x v="1"/>
    <x v="1"/>
    <n v="30.2"/>
    <n v="241.6"/>
    <n v="253.68"/>
    <n v="3"/>
    <x v="2"/>
    <n v="2019"/>
  </r>
  <r>
    <x v="73"/>
    <x v="663"/>
    <n v="9"/>
    <s v="Fashion accessories"/>
    <x v="1"/>
    <n v="22.032"/>
    <x v="0"/>
    <x v="5"/>
    <n v="48.96"/>
    <n v="440.64"/>
    <n v="462.67200000000003"/>
    <n v="3"/>
    <x v="10"/>
    <n v="2019"/>
  </r>
  <r>
    <x v="59"/>
    <x v="664"/>
    <n v="4"/>
    <s v="Electronic accessories"/>
    <x v="1"/>
    <n v="10.045999999999999"/>
    <x v="0"/>
    <x v="1"/>
    <n v="50.23"/>
    <n v="200.92"/>
    <n v="210.96600000000001"/>
    <n v="1"/>
    <x v="1"/>
    <n v="2019"/>
  </r>
  <r>
    <x v="60"/>
    <x v="665"/>
    <n v="5"/>
    <s v="Sports and travel"/>
    <x v="2"/>
    <n v="16.242500000000003"/>
    <x v="1"/>
    <x v="3"/>
    <n v="64.97"/>
    <n v="324.85000000000002"/>
    <n v="341.09249999999997"/>
    <n v="2"/>
    <x v="1"/>
    <n v="2019"/>
  </r>
  <r>
    <x v="63"/>
    <x v="666"/>
    <n v="5"/>
    <s v="Food and beverages"/>
    <x v="2"/>
    <n v="11.790000000000001"/>
    <x v="2"/>
    <x v="4"/>
    <n v="47.16"/>
    <n v="235.8"/>
    <n v="247.59"/>
    <n v="2"/>
    <x v="2"/>
    <n v="2019"/>
  </r>
  <r>
    <x v="56"/>
    <x v="667"/>
    <n v="1"/>
    <s v="Sports and travel"/>
    <x v="1"/>
    <n v="0.50850000000000006"/>
    <x v="1"/>
    <x v="3"/>
    <n v="10.17"/>
    <n v="10.17"/>
    <n v="10.6785"/>
    <n v="2"/>
    <x v="5"/>
    <n v="2019"/>
  </r>
  <r>
    <x v="73"/>
    <x v="668"/>
    <n v="3"/>
    <s v="Health and beauty"/>
    <x v="1"/>
    <n v="10.3065"/>
    <x v="0"/>
    <x v="0"/>
    <n v="68.709999999999994"/>
    <n v="206.13"/>
    <n v="216.4365"/>
    <n v="3"/>
    <x v="10"/>
    <n v="2019"/>
  </r>
  <r>
    <x v="74"/>
    <x v="669"/>
    <n v="10"/>
    <s v="Electronic accessories"/>
    <x v="2"/>
    <n v="37.110000000000007"/>
    <x v="0"/>
    <x v="1"/>
    <n v="74.22"/>
    <n v="742.2"/>
    <n v="779.31"/>
    <n v="1"/>
    <x v="3"/>
    <n v="2019"/>
  </r>
  <r>
    <x v="71"/>
    <x v="670"/>
    <n v="8"/>
    <s v="Sports and travel"/>
    <x v="1"/>
    <n v="4.74"/>
    <x v="2"/>
    <x v="3"/>
    <n v="11.85"/>
    <n v="94.8"/>
    <n v="99.54"/>
    <n v="1"/>
    <x v="7"/>
    <n v="2019"/>
  </r>
  <r>
    <x v="72"/>
    <x v="671"/>
    <n v="7"/>
    <s v="Home and lifestyle"/>
    <x v="0"/>
    <n v="14.255500000000001"/>
    <x v="2"/>
    <x v="2"/>
    <n v="40.729999999999997"/>
    <n v="285.11"/>
    <n v="299.3655"/>
    <n v="3"/>
    <x v="8"/>
    <n v="2019"/>
  </r>
  <r>
    <x v="71"/>
    <x v="672"/>
    <n v="5"/>
    <s v="Fashion accessories"/>
    <x v="0"/>
    <n v="9.6349999999999998"/>
    <x v="0"/>
    <x v="5"/>
    <n v="38.54"/>
    <n v="192.7"/>
    <n v="202.33500000000001"/>
    <n v="1"/>
    <x v="7"/>
    <n v="2019"/>
  </r>
  <r>
    <x v="79"/>
    <x v="673"/>
    <n v="6"/>
    <s v="Sports and travel"/>
    <x v="2"/>
    <n v="13.388999999999999"/>
    <x v="2"/>
    <x v="3"/>
    <n v="44.63"/>
    <n v="267.77999999999997"/>
    <n v="281.16899999999998"/>
    <n v="1"/>
    <x v="4"/>
    <n v="2019"/>
  </r>
  <r>
    <x v="74"/>
    <x v="674"/>
    <n v="6"/>
    <s v="Sports and travel"/>
    <x v="0"/>
    <n v="8.766"/>
    <x v="1"/>
    <x v="3"/>
    <n v="29.22"/>
    <n v="175.32"/>
    <n v="184.08600000000001"/>
    <n v="1"/>
    <x v="3"/>
    <n v="2019"/>
  </r>
  <r>
    <x v="69"/>
    <x v="675"/>
    <n v="2"/>
    <s v="Sports and travel"/>
    <x v="2"/>
    <n v="3.9470000000000001"/>
    <x v="0"/>
    <x v="3"/>
    <n v="39.47"/>
    <n v="78.94"/>
    <n v="82.887"/>
    <n v="3"/>
    <x v="4"/>
    <n v="2019"/>
  </r>
  <r>
    <x v="59"/>
    <x v="676"/>
    <n v="9"/>
    <s v="Food and beverages"/>
    <x v="1"/>
    <n v="32.795999999999999"/>
    <x v="1"/>
    <x v="4"/>
    <n v="72.88"/>
    <n v="655.92"/>
    <n v="688.71600000000001"/>
    <n v="1"/>
    <x v="1"/>
    <n v="2019"/>
  </r>
  <r>
    <x v="74"/>
    <x v="677"/>
    <n v="8"/>
    <s v="Food and beverages"/>
    <x v="1"/>
    <n v="8.4480000000000004"/>
    <x v="2"/>
    <x v="4"/>
    <n v="21.12"/>
    <n v="168.96"/>
    <n v="177.40799999999999"/>
    <n v="1"/>
    <x v="3"/>
    <n v="2019"/>
  </r>
  <r>
    <x v="82"/>
    <x v="678"/>
    <n v="4"/>
    <s v="Home and lifestyle"/>
    <x v="1"/>
    <n v="5.6619999999999999"/>
    <x v="0"/>
    <x v="2"/>
    <n v="28.31"/>
    <n v="113.24"/>
    <n v="118.902"/>
    <n v="3"/>
    <x v="5"/>
    <n v="2019"/>
  </r>
  <r>
    <x v="59"/>
    <x v="679"/>
    <n v="2"/>
    <s v="Sports and travel"/>
    <x v="0"/>
    <n v="1.276"/>
    <x v="0"/>
    <x v="3"/>
    <n v="12.76"/>
    <n v="25.52"/>
    <n v="26.795999999999999"/>
    <n v="1"/>
    <x v="1"/>
    <n v="2019"/>
  </r>
  <r>
    <x v="64"/>
    <x v="680"/>
    <n v="7"/>
    <s v="Home and lifestyle"/>
    <x v="1"/>
    <n v="17.874500000000001"/>
    <x v="2"/>
    <x v="2"/>
    <n v="51.07"/>
    <n v="357.49"/>
    <n v="375.36450000000002"/>
    <n v="1"/>
    <x v="8"/>
    <n v="2019"/>
  </r>
  <r>
    <x v="59"/>
    <x v="681"/>
    <n v="3"/>
    <s v="Electronic accessories"/>
    <x v="1"/>
    <n v="11.938500000000001"/>
    <x v="0"/>
    <x v="1"/>
    <n v="79.59"/>
    <n v="238.77"/>
    <n v="250.70849999999999"/>
    <n v="1"/>
    <x v="1"/>
    <n v="2019"/>
  </r>
  <r>
    <x v="59"/>
    <x v="682"/>
    <n v="3"/>
    <s v="Food and beverages"/>
    <x v="2"/>
    <n v="3.6465000000000005"/>
    <x v="1"/>
    <x v="4"/>
    <n v="24.31"/>
    <n v="72.930000000000007"/>
    <n v="76.576499999999996"/>
    <n v="1"/>
    <x v="1"/>
    <n v="2019"/>
  </r>
  <r>
    <x v="75"/>
    <x v="683"/>
    <n v="4"/>
    <s v="Sports and travel"/>
    <x v="0"/>
    <n v="12.918000000000001"/>
    <x v="0"/>
    <x v="3"/>
    <n v="64.59"/>
    <n v="258.36"/>
    <n v="271.27800000000002"/>
    <n v="1"/>
    <x v="9"/>
    <n v="2019"/>
  </r>
  <r>
    <x v="67"/>
    <x v="684"/>
    <n v="1"/>
    <s v="Fashion accessories"/>
    <x v="1"/>
    <n v="2.6175000000000002"/>
    <x v="1"/>
    <x v="5"/>
    <n v="52.35"/>
    <n v="52.35"/>
    <n v="54.967500000000001"/>
    <n v="2"/>
    <x v="8"/>
    <n v="2019"/>
  </r>
  <r>
    <x v="59"/>
    <x v="685"/>
    <n v="10"/>
    <s v="Food and beverages"/>
    <x v="0"/>
    <n v="16.605"/>
    <x v="2"/>
    <x v="4"/>
    <n v="33.21"/>
    <n v="332.1"/>
    <n v="348.70499999999998"/>
    <n v="1"/>
    <x v="1"/>
    <n v="2019"/>
  </r>
  <r>
    <x v="57"/>
    <x v="686"/>
    <n v="1"/>
    <s v="Food and beverages"/>
    <x v="0"/>
    <n v="4.3950000000000005"/>
    <x v="0"/>
    <x v="4"/>
    <n v="87.9"/>
    <n v="87.9"/>
    <n v="92.295000000000002"/>
    <n v="2"/>
    <x v="0"/>
    <n v="2019"/>
  </r>
  <r>
    <x v="56"/>
    <x v="687"/>
    <n v="8"/>
    <s v="Electronic accessories"/>
    <x v="1"/>
    <n v="23.164000000000001"/>
    <x v="2"/>
    <x v="1"/>
    <n v="57.91"/>
    <n v="463.28"/>
    <n v="486.44400000000002"/>
    <n v="2"/>
    <x v="5"/>
    <n v="2019"/>
  </r>
  <r>
    <x v="69"/>
    <x v="688"/>
    <n v="5"/>
    <s v="Fashion accessories"/>
    <x v="2"/>
    <n v="23.122500000000002"/>
    <x v="1"/>
    <x v="5"/>
    <n v="92.49"/>
    <n v="462.45"/>
    <n v="485.57249999999999"/>
    <n v="3"/>
    <x v="4"/>
    <n v="2019"/>
  </r>
  <r>
    <x v="66"/>
    <x v="689"/>
    <n v="5"/>
    <s v="Electronic accessories"/>
    <x v="1"/>
    <n v="7.0950000000000006"/>
    <x v="2"/>
    <x v="1"/>
    <n v="28.38"/>
    <n v="141.9"/>
    <n v="148.995"/>
    <n v="3"/>
    <x v="9"/>
    <n v="2019"/>
  </r>
  <r>
    <x v="76"/>
    <x v="690"/>
    <n v="6"/>
    <s v="Electronic accessories"/>
    <x v="2"/>
    <n v="15.135"/>
    <x v="2"/>
    <x v="1"/>
    <n v="50.45"/>
    <n v="302.7"/>
    <n v="317.83499999999998"/>
    <n v="2"/>
    <x v="9"/>
    <n v="2019"/>
  </r>
  <r>
    <x v="57"/>
    <x v="691"/>
    <n v="6"/>
    <s v="Food and beverages"/>
    <x v="1"/>
    <n v="14.181000000000001"/>
    <x v="1"/>
    <x v="4"/>
    <n v="47.27"/>
    <n v="283.62"/>
    <n v="297.80099999999999"/>
    <n v="2"/>
    <x v="0"/>
    <n v="2019"/>
  </r>
  <r>
    <x v="69"/>
    <x v="692"/>
    <n v="7"/>
    <s v="Health and beauty"/>
    <x v="1"/>
    <n v="29.960000000000004"/>
    <x v="1"/>
    <x v="0"/>
    <n v="85.6"/>
    <n v="599.20000000000005"/>
    <n v="629.16"/>
    <n v="3"/>
    <x v="4"/>
    <n v="2019"/>
  </r>
  <r>
    <x v="83"/>
    <x v="693"/>
    <n v="9"/>
    <s v="Food and beverages"/>
    <x v="0"/>
    <n v="15.768000000000001"/>
    <x v="0"/>
    <x v="4"/>
    <n v="35.04"/>
    <n v="315.36"/>
    <n v="331.12799999999999"/>
    <n v="2"/>
    <x v="7"/>
    <n v="2019"/>
  </r>
  <r>
    <x v="83"/>
    <x v="694"/>
    <n v="4"/>
    <s v="Home and lifestyle"/>
    <x v="0"/>
    <n v="9.1940000000000008"/>
    <x v="2"/>
    <x v="2"/>
    <n v="45.97"/>
    <n v="183.88"/>
    <n v="193.07400000000001"/>
    <n v="2"/>
    <x v="7"/>
    <n v="2019"/>
  </r>
  <r>
    <x v="83"/>
    <x v="695"/>
    <n v="10"/>
    <s v="Health and beauty"/>
    <x v="2"/>
    <n v="42.305000000000007"/>
    <x v="1"/>
    <x v="0"/>
    <n v="84.61"/>
    <n v="846.1"/>
    <n v="888.40499999999997"/>
    <n v="2"/>
    <x v="7"/>
    <n v="2019"/>
  </r>
  <r>
    <x v="56"/>
    <x v="696"/>
    <n v="8"/>
    <s v="Home and lifestyle"/>
    <x v="1"/>
    <n v="37.248000000000005"/>
    <x v="0"/>
    <x v="2"/>
    <n v="93.12"/>
    <n v="744.96"/>
    <n v="782.20799999999997"/>
    <n v="2"/>
    <x v="5"/>
    <n v="2019"/>
  </r>
  <r>
    <x v="77"/>
    <x v="697"/>
    <n v="6"/>
    <s v="Electronic accessories"/>
    <x v="1"/>
    <n v="10.647"/>
    <x v="1"/>
    <x v="1"/>
    <n v="35.49"/>
    <n v="212.94"/>
    <n v="223.58699999999999"/>
    <n v="2"/>
    <x v="4"/>
    <n v="2019"/>
  </r>
  <r>
    <x v="84"/>
    <x v="698"/>
    <n v="4"/>
    <s v="Fashion accessories"/>
    <x v="1"/>
    <n v="18.934000000000001"/>
    <x v="0"/>
    <x v="5"/>
    <n v="94.67"/>
    <n v="378.68"/>
    <n v="397.61399999999998"/>
    <n v="3"/>
    <x v="11"/>
    <n v="2019"/>
  </r>
  <r>
    <x v="69"/>
    <x v="699"/>
    <n v="3"/>
    <s v="Electronic accessories"/>
    <x v="0"/>
    <n v="3.9390000000000001"/>
    <x v="2"/>
    <x v="1"/>
    <n v="26.26"/>
    <n v="78.78"/>
    <n v="82.718999999999994"/>
    <n v="3"/>
    <x v="4"/>
    <n v="2019"/>
  </r>
  <r>
    <x v="78"/>
    <x v="700"/>
    <n v="9"/>
    <s v="Home and lifestyle"/>
    <x v="2"/>
    <n v="16.105500000000003"/>
    <x v="1"/>
    <x v="2"/>
    <n v="35.79"/>
    <n v="322.11"/>
    <n v="338.21550000000002"/>
    <n v="3"/>
    <x v="6"/>
    <n v="2019"/>
  </r>
  <r>
    <x v="60"/>
    <x v="701"/>
    <n v="6"/>
    <s v="Home and lifestyle"/>
    <x v="1"/>
    <n v="4.9110000000000005"/>
    <x v="2"/>
    <x v="2"/>
    <n v="16.37"/>
    <n v="98.22"/>
    <n v="103.131"/>
    <n v="2"/>
    <x v="1"/>
    <n v="2019"/>
  </r>
  <r>
    <x v="85"/>
    <x v="702"/>
    <n v="7"/>
    <s v="Sports and travel"/>
    <x v="2"/>
    <n v="29.099000000000004"/>
    <x v="1"/>
    <x v="3"/>
    <n v="83.14"/>
    <n v="581.98"/>
    <n v="611.07899999999995"/>
    <n v="1"/>
    <x v="6"/>
    <n v="2019"/>
  </r>
  <r>
    <x v="85"/>
    <x v="703"/>
    <n v="4"/>
    <s v="Electronic accessories"/>
    <x v="0"/>
    <n v="2.7560000000000002"/>
    <x v="2"/>
    <x v="1"/>
    <n v="13.78"/>
    <n v="55.12"/>
    <n v="57.875999999999998"/>
    <n v="1"/>
    <x v="6"/>
    <n v="2019"/>
  </r>
  <r>
    <x v="69"/>
    <x v="704"/>
    <n v="2"/>
    <s v="Sports and travel"/>
    <x v="0"/>
    <n v="2.5310000000000001"/>
    <x v="2"/>
    <x v="3"/>
    <n v="25.31"/>
    <n v="50.62"/>
    <n v="53.151000000000003"/>
    <n v="3"/>
    <x v="4"/>
    <n v="2019"/>
  </r>
  <r>
    <x v="77"/>
    <x v="705"/>
    <n v="2"/>
    <s v="Fashion accessories"/>
    <x v="2"/>
    <n v="8.3349999999999991"/>
    <x v="1"/>
    <x v="5"/>
    <n v="83.35"/>
    <n v="166.7"/>
    <n v="175.035"/>
    <n v="2"/>
    <x v="4"/>
    <n v="2019"/>
  </r>
  <r>
    <x v="81"/>
    <x v="706"/>
    <n v="6"/>
    <s v="Home and lifestyle"/>
    <x v="0"/>
    <n v="18.945"/>
    <x v="2"/>
    <x v="2"/>
    <n v="63.15"/>
    <n v="378.9"/>
    <n v="397.84500000000003"/>
    <n v="1"/>
    <x v="2"/>
    <n v="2019"/>
  </r>
  <r>
    <x v="0"/>
    <x v="707"/>
    <n v="7"/>
    <s v="Health and beauty"/>
    <x v="0"/>
    <n v="27.611500000000003"/>
    <x v="1"/>
    <x v="0"/>
    <n v="78.89"/>
    <n v="552.23"/>
    <n v="579.8415"/>
    <n v="1"/>
    <x v="0"/>
    <n v="2019"/>
  </r>
  <r>
    <x v="69"/>
    <x v="708"/>
    <n v="4"/>
    <s v="Food and beverages"/>
    <x v="0"/>
    <n v="13.304"/>
    <x v="0"/>
    <x v="4"/>
    <n v="66.52"/>
    <n v="266.08"/>
    <n v="279.38400000000001"/>
    <n v="3"/>
    <x v="4"/>
    <n v="2019"/>
  </r>
  <r>
    <x v="0"/>
    <x v="709"/>
    <n v="7"/>
    <s v="Electronic accessories"/>
    <x v="2"/>
    <n v="32.857999999999997"/>
    <x v="0"/>
    <x v="1"/>
    <n v="93.88"/>
    <n v="657.16"/>
    <n v="690.01800000000003"/>
    <n v="1"/>
    <x v="0"/>
    <n v="2019"/>
  </r>
  <r>
    <x v="63"/>
    <x v="710"/>
    <n v="1"/>
    <s v="Fashion accessories"/>
    <x v="0"/>
    <n v="2.6890000000000001"/>
    <x v="2"/>
    <x v="5"/>
    <n v="53.78"/>
    <n v="53.78"/>
    <n v="56.469000000000001"/>
    <n v="2"/>
    <x v="2"/>
    <n v="2019"/>
  </r>
  <r>
    <x v="76"/>
    <x v="711"/>
    <n v="5"/>
    <s v="Home and lifestyle"/>
    <x v="0"/>
    <n v="8.9525000000000006"/>
    <x v="1"/>
    <x v="2"/>
    <n v="35.81"/>
    <n v="179.05"/>
    <n v="188.0025"/>
    <n v="2"/>
    <x v="9"/>
    <n v="2019"/>
  </r>
  <r>
    <x v="71"/>
    <x v="712"/>
    <n v="3"/>
    <s v="Home and lifestyle"/>
    <x v="0"/>
    <n v="3.2850000000000001"/>
    <x v="2"/>
    <x v="2"/>
    <n v="21.9"/>
    <n v="65.7"/>
    <n v="68.984999999999999"/>
    <n v="1"/>
    <x v="7"/>
    <n v="2019"/>
  </r>
  <r>
    <x v="83"/>
    <x v="713"/>
    <n v="6"/>
    <s v="Home and lifestyle"/>
    <x v="1"/>
    <n v="19.773"/>
    <x v="2"/>
    <x v="2"/>
    <n v="65.91"/>
    <n v="395.46"/>
    <n v="415.233"/>
    <n v="2"/>
    <x v="7"/>
    <n v="2019"/>
  </r>
  <r>
    <x v="75"/>
    <x v="714"/>
    <n v="7"/>
    <s v="Fashion accessories"/>
    <x v="1"/>
    <n v="14.899500000000002"/>
    <x v="0"/>
    <x v="5"/>
    <n v="42.57"/>
    <n v="297.99"/>
    <n v="312.8895"/>
    <n v="1"/>
    <x v="9"/>
    <n v="2019"/>
  </r>
  <r>
    <x v="85"/>
    <x v="715"/>
    <n v="9"/>
    <s v="Food and beverages"/>
    <x v="1"/>
    <n v="22.720500000000001"/>
    <x v="1"/>
    <x v="4"/>
    <n v="50.49"/>
    <n v="454.41"/>
    <n v="477.13049999999998"/>
    <n v="1"/>
    <x v="6"/>
    <n v="2019"/>
  </r>
  <r>
    <x v="56"/>
    <x v="716"/>
    <n v="6"/>
    <s v="Electronic accessories"/>
    <x v="1"/>
    <n v="13.806000000000001"/>
    <x v="2"/>
    <x v="1"/>
    <n v="46.02"/>
    <n v="276.12"/>
    <n v="289.92599999999999"/>
    <n v="2"/>
    <x v="5"/>
    <n v="2019"/>
  </r>
  <r>
    <x v="71"/>
    <x v="717"/>
    <n v="10"/>
    <s v="Home and lifestyle"/>
    <x v="1"/>
    <n v="7.9"/>
    <x v="1"/>
    <x v="2"/>
    <n v="15.8"/>
    <n v="158"/>
    <n v="165.9"/>
    <n v="1"/>
    <x v="7"/>
    <n v="2019"/>
  </r>
  <r>
    <x v="57"/>
    <x v="718"/>
    <n v="2"/>
    <s v="Electronic accessories"/>
    <x v="1"/>
    <n v="2.089"/>
    <x v="0"/>
    <x v="1"/>
    <n v="20.89"/>
    <n v="41.78"/>
    <n v="43.869"/>
    <n v="2"/>
    <x v="0"/>
    <n v="2019"/>
  </r>
  <r>
    <x v="69"/>
    <x v="719"/>
    <n v="2"/>
    <s v="Electronic accessories"/>
    <x v="2"/>
    <n v="3.8270000000000004"/>
    <x v="2"/>
    <x v="1"/>
    <n v="38.270000000000003"/>
    <n v="76.540000000000006"/>
    <n v="80.367000000000004"/>
    <n v="3"/>
    <x v="4"/>
    <n v="2019"/>
  </r>
  <r>
    <x v="73"/>
    <x v="720"/>
    <n v="9"/>
    <s v="Home and lifestyle"/>
    <x v="0"/>
    <n v="14.984999999999999"/>
    <x v="0"/>
    <x v="2"/>
    <n v="33.299999999999997"/>
    <n v="299.7"/>
    <n v="314.685"/>
    <n v="3"/>
    <x v="10"/>
    <n v="2019"/>
  </r>
  <r>
    <x v="84"/>
    <x v="721"/>
    <n v="5"/>
    <s v="Electronic accessories"/>
    <x v="2"/>
    <n v="8.6225000000000005"/>
    <x v="2"/>
    <x v="1"/>
    <n v="34.49"/>
    <n v="172.45"/>
    <n v="181.07249999999999"/>
    <n v="3"/>
    <x v="11"/>
    <n v="2019"/>
  </r>
  <r>
    <x v="74"/>
    <x v="722"/>
    <n v="10"/>
    <s v="Food and beverages"/>
    <x v="2"/>
    <n v="42.314999999999998"/>
    <x v="2"/>
    <x v="4"/>
    <n v="84.63"/>
    <n v="846.3"/>
    <n v="888.61500000000001"/>
    <n v="1"/>
    <x v="3"/>
    <n v="2019"/>
  </r>
  <r>
    <x v="61"/>
    <x v="723"/>
    <n v="7"/>
    <s v="Home and lifestyle"/>
    <x v="0"/>
    <n v="12.918500000000002"/>
    <x v="2"/>
    <x v="2"/>
    <n v="36.909999999999997"/>
    <n v="258.37"/>
    <n v="271.2885"/>
    <n v="2"/>
    <x v="6"/>
    <n v="2019"/>
  </r>
  <r>
    <x v="80"/>
    <x v="724"/>
    <n v="3"/>
    <s v="Home and lifestyle"/>
    <x v="1"/>
    <n v="12.012"/>
    <x v="0"/>
    <x v="2"/>
    <n v="80.08"/>
    <n v="240.24"/>
    <n v="252.25200000000001"/>
    <n v="2"/>
    <x v="11"/>
    <n v="2019"/>
  </r>
  <r>
    <x v="56"/>
    <x v="725"/>
    <n v="2"/>
    <s v="Fashion accessories"/>
    <x v="1"/>
    <n v="8.6129999999999995"/>
    <x v="1"/>
    <x v="5"/>
    <n v="86.13"/>
    <n v="172.26"/>
    <n v="180.87299999999999"/>
    <n v="2"/>
    <x v="5"/>
    <n v="2019"/>
  </r>
  <r>
    <x v="66"/>
    <x v="726"/>
    <n v="2"/>
    <s v="Fashion accessories"/>
    <x v="2"/>
    <n v="4.9920000000000009"/>
    <x v="2"/>
    <x v="5"/>
    <n v="49.92"/>
    <n v="99.84"/>
    <n v="104.83199999999999"/>
    <n v="3"/>
    <x v="9"/>
    <n v="2019"/>
  </r>
  <r>
    <x v="73"/>
    <x v="727"/>
    <n v="4"/>
    <s v="Food and beverages"/>
    <x v="1"/>
    <n v="14.932"/>
    <x v="0"/>
    <x v="4"/>
    <n v="74.66"/>
    <n v="298.64"/>
    <n v="313.572"/>
    <n v="3"/>
    <x v="10"/>
    <n v="2019"/>
  </r>
  <r>
    <x v="78"/>
    <x v="728"/>
    <n v="1"/>
    <s v="Electronic accessories"/>
    <x v="2"/>
    <n v="1.2725"/>
    <x v="2"/>
    <x v="1"/>
    <n v="25.45"/>
    <n v="25.45"/>
    <n v="26.7225"/>
    <n v="3"/>
    <x v="6"/>
    <n v="2019"/>
  </r>
  <r>
    <x v="68"/>
    <x v="729"/>
    <n v="1"/>
    <s v="Food and beverages"/>
    <x v="2"/>
    <n v="3.3885000000000001"/>
    <x v="2"/>
    <x v="4"/>
    <n v="67.77"/>
    <n v="67.77"/>
    <n v="71.158500000000004"/>
    <n v="2"/>
    <x v="10"/>
    <n v="2019"/>
  </r>
  <r>
    <x v="71"/>
    <x v="730"/>
    <n v="7"/>
    <s v="Electronic accessories"/>
    <x v="1"/>
    <n v="33.729500000000002"/>
    <x v="1"/>
    <x v="1"/>
    <n v="96.37"/>
    <n v="674.59"/>
    <n v="708.31949999999995"/>
    <n v="1"/>
    <x v="7"/>
    <n v="2019"/>
  </r>
  <r>
    <x v="56"/>
    <x v="731"/>
    <n v="5"/>
    <s v="Fashion accessories"/>
    <x v="0"/>
    <n v="15.927500000000002"/>
    <x v="2"/>
    <x v="5"/>
    <n v="63.71"/>
    <n v="318.55"/>
    <n v="334.47750000000002"/>
    <n v="2"/>
    <x v="5"/>
    <n v="2019"/>
  </r>
  <r>
    <x v="81"/>
    <x v="732"/>
    <n v="8"/>
    <s v="Health and beauty"/>
    <x v="2"/>
    <n v="24.8"/>
    <x v="2"/>
    <x v="0"/>
    <n v="62"/>
    <n v="496"/>
    <n v="520.79999999999995"/>
    <n v="1"/>
    <x v="2"/>
    <n v="2019"/>
  </r>
  <r>
    <x v="78"/>
    <x v="733"/>
    <n v="2"/>
    <s v="Electronic accessories"/>
    <x v="0"/>
    <n v="5.8030000000000008"/>
    <x v="0"/>
    <x v="1"/>
    <n v="58.03"/>
    <n v="116.06"/>
    <n v="121.863"/>
    <n v="3"/>
    <x v="6"/>
    <n v="2019"/>
  </r>
  <r>
    <x v="69"/>
    <x v="734"/>
    <n v="10"/>
    <s v="Home and lifestyle"/>
    <x v="0"/>
    <n v="48.69"/>
    <x v="2"/>
    <x v="2"/>
    <n v="97.38"/>
    <n v="973.8"/>
    <n v="1022.49"/>
    <n v="3"/>
    <x v="4"/>
    <n v="2019"/>
  </r>
  <r>
    <x v="83"/>
    <x v="735"/>
    <n v="1"/>
    <s v="Food and beverages"/>
    <x v="1"/>
    <n v="1.5920000000000001"/>
    <x v="0"/>
    <x v="4"/>
    <n v="31.84"/>
    <n v="31.84"/>
    <n v="33.432000000000002"/>
    <n v="2"/>
    <x v="7"/>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95C27-8837-4DF2-B742-CA3B0B6307A5}" name="COGS TO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3" firstHeaderRow="0" firstDataRow="1" firstDataCol="0"/>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dataField="1" numFmtId="166" showAll="0"/>
    <pivotField dataField="1" numFmtId="166" showAll="0"/>
    <pivotField showAll="0"/>
    <pivotField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TOTAL COGS" fld="9" baseField="0" baseItem="0" numFmtId="166"/>
    <dataField name="TOTAL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C417F-E614-454E-8E22-79179A4BFE69}" name="sales by payment mod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ayment mode">
  <location ref="AO2:AP5" firstHeaderRow="1"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axis="axisRow"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numFmtId="166" showAll="0"/>
    <pivotField dataField="1" numFmtId="166" showAll="0"/>
    <pivotField showAll="0"/>
    <pivotField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x v="2"/>
    </i>
  </rowItems>
  <colItems count="1">
    <i/>
  </colItems>
  <dataFields count="1">
    <dataField name="Sum of TOTAL SELLING PRICE" fld="10" baseField="0" baseItem="0" numFmtId="166"/>
  </dataFields>
  <chartFormats count="5">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55FA4-1988-43E2-B3C2-E91211EECE2C}" name="Sales branchwis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Branch">
  <location ref="AR2:AS5" firstHeaderRow="1"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axis="axisRow" showAll="0">
      <items count="4">
        <item x="0"/>
        <item x="2"/>
        <item x="1"/>
        <item t="default"/>
      </items>
    </pivotField>
    <pivotField showAll="0">
      <items count="7">
        <item x="1"/>
        <item x="5"/>
        <item x="4"/>
        <item x="0"/>
        <item x="2"/>
        <item x="3"/>
        <item t="default"/>
      </items>
    </pivotField>
    <pivotField numFmtId="166" showAll="0"/>
    <pivotField numFmtId="166" showAll="0"/>
    <pivotField dataField="1" numFmtId="166" showAll="0"/>
    <pivotField showAll="0"/>
    <pivotField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x v="2"/>
    </i>
  </rowItems>
  <colItems count="1">
    <i/>
  </colItems>
  <dataFields count="1">
    <dataField name="Sum of TOTAL SELLING PRICE" fld="10"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08BF60-203E-4AEC-B79A-23AD070571E5}" name="COGS TO SALES MONTHWIS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L14" firstHeaderRow="0"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dataField="1" numFmtId="166" showAll="0"/>
    <pivotField dataField="1" numFmtId="166" showAll="0"/>
    <pivotField showAll="0"/>
    <pivotField axis="axisRow"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2">
    <i>
      <x/>
    </i>
    <i>
      <x v="1"/>
    </i>
    <i>
      <x v="2"/>
    </i>
    <i>
      <x v="3"/>
    </i>
    <i>
      <x v="4"/>
    </i>
    <i>
      <x v="5"/>
    </i>
    <i>
      <x v="6"/>
    </i>
    <i>
      <x v="7"/>
    </i>
    <i>
      <x v="8"/>
    </i>
    <i>
      <x v="9"/>
    </i>
    <i>
      <x v="10"/>
    </i>
    <i>
      <x v="11"/>
    </i>
  </rowItems>
  <colFields count="1">
    <field x="-2"/>
  </colFields>
  <colItems count="2">
    <i>
      <x/>
    </i>
    <i i="1">
      <x v="1"/>
    </i>
  </colItems>
  <dataFields count="2">
    <dataField name="Sum of TOTAL C.O.G.S" fld="9" baseField="0" baseItem="0" numFmtId="166"/>
    <dataField name="Sum of TOTAL SELLING PRICE"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02A9D-44A1-4D1F-A639-A00DEFEA9E50}" name="SALES BY CATEGOR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G2:AH8" firstHeaderRow="1"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showAll="0">
      <items count="4">
        <item x="0"/>
        <item x="2"/>
        <item x="1"/>
        <item t="default"/>
      </items>
    </pivotField>
    <pivotField axis="axisRow" showAll="0">
      <items count="7">
        <item x="1"/>
        <item x="5"/>
        <item x="4"/>
        <item x="0"/>
        <item x="2"/>
        <item x="3"/>
        <item t="default"/>
      </items>
    </pivotField>
    <pivotField numFmtId="166" showAll="0"/>
    <pivotField numFmtId="166" showAll="0"/>
    <pivotField dataField="1" numFmtId="166" showAll="0"/>
    <pivotField showAll="0"/>
    <pivotField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x v="5"/>
    </i>
  </rowItems>
  <colItems count="1">
    <i/>
  </colItems>
  <dataFields count="1">
    <dataField name="Total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48D464-34F3-427C-AC25-977DD3A182F8}" name="Day2day/monthly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2:AV89" firstHeaderRow="1" firstDataRow="1" firstDataCol="1"/>
  <pivotFields count="16">
    <pivotField axis="axisRow"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showAll="0"/>
    <pivotField showAll="0">
      <items count="7">
        <item x="1"/>
        <item x="5"/>
        <item x="4"/>
        <item x="0"/>
        <item x="2"/>
        <item x="3"/>
        <item t="default"/>
      </items>
    </pivotField>
    <pivotField numFmtId="166" showAll="0"/>
    <pivotField numFmtId="166" showAll="0"/>
    <pivotField dataField="1" numFmtId="166" showAll="0"/>
    <pivotField showAll="0"/>
    <pivotField showAll="0">
      <items count="13">
        <item x="3"/>
        <item x="4"/>
        <item x="2"/>
        <item x="10"/>
        <item x="0"/>
        <item x="9"/>
        <item x="5"/>
        <item x="1"/>
        <item x="7"/>
        <item x="6"/>
        <item x="11"/>
        <item x="8"/>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4"/>
    <field x="0"/>
  </rowFields>
  <rowItems count="87">
    <i>
      <x v="1"/>
    </i>
    <i>
      <x v="3"/>
    </i>
    <i>
      <x v="13"/>
    </i>
    <i>
      <x v="14"/>
    </i>
    <i>
      <x v="15"/>
    </i>
    <i>
      <x v="16"/>
    </i>
    <i>
      <x v="17"/>
    </i>
    <i>
      <x v="18"/>
    </i>
    <i>
      <x v="19"/>
    </i>
    <i>
      <x v="20"/>
    </i>
    <i>
      <x v="21"/>
    </i>
    <i>
      <x v="22"/>
    </i>
    <i>
      <x v="23"/>
    </i>
    <i>
      <x v="24"/>
    </i>
    <i>
      <x v="25"/>
    </i>
    <i>
      <x v="26"/>
    </i>
    <i>
      <x v="27"/>
    </i>
    <i>
      <x v="28"/>
    </i>
    <i>
      <x v="29"/>
    </i>
    <i>
      <x v="30"/>
    </i>
    <i>
      <x v="31"/>
    </i>
    <i>
      <x v="32"/>
    </i>
    <i>
      <x v="33"/>
    </i>
    <i>
      <x v="34"/>
    </i>
    <i>
      <x v="44"/>
    </i>
    <i>
      <x v="45"/>
    </i>
    <i>
      <x v="46"/>
    </i>
    <i>
      <x v="47"/>
    </i>
    <i>
      <x v="48"/>
    </i>
    <i>
      <x v="49"/>
    </i>
    <i>
      <x v="50"/>
    </i>
    <i>
      <x v="51"/>
    </i>
    <i>
      <x v="52"/>
    </i>
    <i>
      <x v="53"/>
    </i>
    <i>
      <x v="54"/>
    </i>
    <i>
      <x v="55"/>
    </i>
    <i>
      <x v="56"/>
    </i>
    <i>
      <x v="57"/>
    </i>
    <i>
      <x v="58"/>
    </i>
    <i>
      <x v="59"/>
    </i>
    <i>
      <x v="61"/>
    </i>
    <i>
      <x v="62"/>
    </i>
    <i>
      <x v="63"/>
    </i>
    <i>
      <x v="73"/>
    </i>
    <i>
      <x v="74"/>
    </i>
    <i>
      <x v="75"/>
    </i>
    <i>
      <x v="76"/>
    </i>
    <i>
      <x v="77"/>
    </i>
    <i>
      <x v="78"/>
    </i>
    <i>
      <x v="79"/>
    </i>
    <i>
      <x v="80"/>
    </i>
    <i>
      <x v="81"/>
    </i>
    <i>
      <x v="82"/>
    </i>
    <i>
      <x v="83"/>
    </i>
    <i>
      <x v="84"/>
    </i>
    <i>
      <x v="85"/>
    </i>
    <i>
      <x v="86"/>
    </i>
    <i>
      <x v="87"/>
    </i>
    <i>
      <x v="88"/>
    </i>
    <i>
      <x v="89"/>
    </i>
    <i>
      <x v="90"/>
    </i>
    <i>
      <x v="93"/>
    </i>
    <i>
      <x v="94"/>
    </i>
    <i>
      <x v="122"/>
    </i>
    <i>
      <x v="123"/>
    </i>
    <i>
      <x v="124"/>
    </i>
    <i>
      <x v="153"/>
    </i>
    <i>
      <x v="154"/>
    </i>
    <i>
      <x v="155"/>
    </i>
    <i>
      <x v="184"/>
    </i>
    <i>
      <x v="185"/>
    </i>
    <i>
      <x v="214"/>
    </i>
    <i>
      <x v="215"/>
    </i>
    <i>
      <x v="216"/>
    </i>
    <i>
      <x v="245"/>
    </i>
    <i>
      <x v="246"/>
    </i>
    <i>
      <x v="247"/>
    </i>
    <i>
      <x v="275"/>
    </i>
    <i>
      <x v="276"/>
    </i>
    <i>
      <x v="277"/>
    </i>
    <i>
      <x v="306"/>
    </i>
    <i>
      <x v="307"/>
    </i>
    <i>
      <x v="308"/>
    </i>
    <i>
      <x v="336"/>
    </i>
    <i>
      <x v="337"/>
    </i>
    <i>
      <x v="338"/>
    </i>
    <i t="grand">
      <x/>
    </i>
  </rowItems>
  <colItems count="1">
    <i/>
  </colItems>
  <dataFields count="1">
    <dataField name="Sum of TOTAL SELLING PRICE" fld="10" baseField="0" baseItem="0" numFmtId="166"/>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2656D2-15C7-466C-B9DF-461A990706AE}" name="Sales by month"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Month">
  <location ref="D2:E14" firstHeaderRow="1"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showAll="0"/>
    <pivotField numFmtId="1" showAll="0"/>
    <pivotField showAll="0"/>
    <pivotField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numFmtId="166" showAll="0"/>
    <pivotField dataField="1" numFmtId="166" showAll="0"/>
    <pivotField showAll="0"/>
    <pivotField axis="axisRow"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2">
    <i>
      <x/>
    </i>
    <i>
      <x v="1"/>
    </i>
    <i>
      <x v="2"/>
    </i>
    <i>
      <x v="3"/>
    </i>
    <i>
      <x v="4"/>
    </i>
    <i>
      <x v="5"/>
    </i>
    <i>
      <x v="6"/>
    </i>
    <i>
      <x v="7"/>
    </i>
    <i>
      <x v="8"/>
    </i>
    <i>
      <x v="9"/>
    </i>
    <i>
      <x v="10"/>
    </i>
    <i>
      <x v="11"/>
    </i>
  </rowItems>
  <colItems count="1">
    <i/>
  </colItems>
  <dataFields count="1">
    <dataField name="Total sales" fld="10" baseField="0" baseItem="0" numFmtId="166"/>
  </dataFields>
  <chartFormats count="3">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37BC57-EB6A-4672-8AFE-264958061D5A}" name="Sales by d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Day">
  <location ref="A2:B24" firstHeaderRow="1" firstDataRow="1" firstDataCol="1"/>
  <pivotFields count="13">
    <pivotField showAll="0"/>
    <pivotField numFmtId="1" showAll="0"/>
    <pivotField showAll="0"/>
    <pivotField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numFmtId="166" showAll="0"/>
    <pivotField dataField="1" numFmtId="166" showAll="0"/>
    <pivotField axis="axisRow" showAll="0">
      <items count="23">
        <item x="0"/>
        <item x="21"/>
        <item x="1"/>
        <item x="16"/>
        <item x="15"/>
        <item x="7"/>
        <item x="13"/>
        <item x="9"/>
        <item x="18"/>
        <item x="14"/>
        <item x="5"/>
        <item x="8"/>
        <item x="10"/>
        <item x="12"/>
        <item x="4"/>
        <item x="3"/>
        <item x="17"/>
        <item x="2"/>
        <item x="11"/>
        <item x="6"/>
        <item x="19"/>
        <item x="20"/>
        <item t="default"/>
      </items>
    </pivotField>
    <pivotField showAll="0">
      <items count="13">
        <item x="3"/>
        <item x="4"/>
        <item x="2"/>
        <item x="10"/>
        <item x="0"/>
        <item x="9"/>
        <item x="5"/>
        <item x="1"/>
        <item x="7"/>
        <item x="6"/>
        <item x="11"/>
        <item x="8"/>
        <item t="default"/>
      </items>
    </pivotField>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Total sales" fld="9" baseField="0" baseItem="0" numFmtId="166"/>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98BC20-4C99-4A8E-A4FC-E97533CD2EDB}" name="SALES BY INVOICEWIS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voice">
  <location ref="S2:U738" firstHeaderRow="0" firstDataRow="1" firstDataCol="1"/>
  <pivotFields count="16">
    <pivotField numFmtId="14" showAll="0">
      <items count="87">
        <item x="74"/>
        <item x="58"/>
        <item x="29"/>
        <item x="47"/>
        <item x="9"/>
        <item x="37"/>
        <item x="17"/>
        <item x="39"/>
        <item x="36"/>
        <item x="23"/>
        <item x="10"/>
        <item x="28"/>
        <item x="31"/>
        <item x="27"/>
        <item x="14"/>
        <item x="30"/>
        <item x="3"/>
        <item x="15"/>
        <item x="42"/>
        <item x="44"/>
        <item x="51"/>
        <item x="79"/>
        <item x="77"/>
        <item x="69"/>
        <item x="46"/>
        <item x="25"/>
        <item x="24"/>
        <item x="40"/>
        <item x="12"/>
        <item x="38"/>
        <item x="55"/>
        <item x="7"/>
        <item x="50"/>
        <item x="41"/>
        <item x="32"/>
        <item x="6"/>
        <item x="5"/>
        <item x="52"/>
        <item x="19"/>
        <item x="21"/>
        <item x="81"/>
        <item x="63"/>
        <item x="2"/>
        <item x="26"/>
        <item x="54"/>
        <item x="11"/>
        <item x="18"/>
        <item x="53"/>
        <item x="48"/>
        <item x="20"/>
        <item x="49"/>
        <item x="45"/>
        <item x="13"/>
        <item x="16"/>
        <item x="35"/>
        <item x="4"/>
        <item x="33"/>
        <item x="22"/>
        <item x="34"/>
        <item x="8"/>
        <item x="43"/>
        <item x="68"/>
        <item x="73"/>
        <item x="0"/>
        <item x="57"/>
        <item x="65"/>
        <item x="75"/>
        <item x="76"/>
        <item x="66"/>
        <item x="56"/>
        <item x="82"/>
        <item x="59"/>
        <item x="60"/>
        <item x="1"/>
        <item x="71"/>
        <item x="83"/>
        <item x="62"/>
        <item x="85"/>
        <item x="61"/>
        <item x="78"/>
        <item x="70"/>
        <item x="80"/>
        <item x="84"/>
        <item x="64"/>
        <item x="67"/>
        <item x="72"/>
        <item t="default"/>
      </items>
    </pivotField>
    <pivotField axis="axisRow" showAll="0">
      <items count="737">
        <item x="162"/>
        <item x="653"/>
        <item x="169"/>
        <item x="56"/>
        <item x="67"/>
        <item x="400"/>
        <item x="255"/>
        <item x="687"/>
        <item x="352"/>
        <item x="59"/>
        <item x="366"/>
        <item x="3"/>
        <item x="681"/>
        <item x="272"/>
        <item x="585"/>
        <item x="36"/>
        <item x="614"/>
        <item x="180"/>
        <item x="412"/>
        <item x="45"/>
        <item x="523"/>
        <item x="562"/>
        <item x="554"/>
        <item x="345"/>
        <item x="280"/>
        <item x="442"/>
        <item x="290"/>
        <item x="177"/>
        <item x="212"/>
        <item x="242"/>
        <item x="268"/>
        <item x="28"/>
        <item x="693"/>
        <item x="493"/>
        <item x="633"/>
        <item x="607"/>
        <item x="31"/>
        <item x="344"/>
        <item x="258"/>
        <item x="729"/>
        <item x="93"/>
        <item x="383"/>
        <item x="264"/>
        <item x="728"/>
        <item x="234"/>
        <item x="51"/>
        <item x="100"/>
        <item x="719"/>
        <item x="542"/>
        <item x="391"/>
        <item x="315"/>
        <item x="635"/>
        <item x="560"/>
        <item x="176"/>
        <item x="701"/>
        <item x="311"/>
        <item x="622"/>
        <item x="379"/>
        <item x="34"/>
        <item x="417"/>
        <item x="454"/>
        <item x="127"/>
        <item x="27"/>
        <item x="730"/>
        <item x="513"/>
        <item x="101"/>
        <item x="666"/>
        <item x="130"/>
        <item x="443"/>
        <item x="621"/>
        <item x="641"/>
        <item x="556"/>
        <item x="425"/>
        <item x="63"/>
        <item x="713"/>
        <item x="370"/>
        <item x="579"/>
        <item x="511"/>
        <item x="552"/>
        <item x="111"/>
        <item x="295"/>
        <item x="236"/>
        <item x="103"/>
        <item x="549"/>
        <item x="224"/>
        <item x="153"/>
        <item x="721"/>
        <item x="243"/>
        <item x="559"/>
        <item x="122"/>
        <item x="518"/>
        <item x="727"/>
        <item x="91"/>
        <item x="115"/>
        <item x="1"/>
        <item x="703"/>
        <item x="287"/>
        <item x="25"/>
        <item x="314"/>
        <item x="589"/>
        <item x="112"/>
        <item x="43"/>
        <item x="68"/>
        <item x="35"/>
        <item x="469"/>
        <item x="461"/>
        <item x="166"/>
        <item x="446"/>
        <item x="533"/>
        <item x="402"/>
        <item x="114"/>
        <item x="639"/>
        <item x="149"/>
        <item x="144"/>
        <item x="220"/>
        <item x="572"/>
        <item x="568"/>
        <item x="138"/>
        <item x="617"/>
        <item x="54"/>
        <item x="543"/>
        <item x="410"/>
        <item x="481"/>
        <item x="700"/>
        <item x="637"/>
        <item x="170"/>
        <item x="13"/>
        <item x="265"/>
        <item x="369"/>
        <item x="408"/>
        <item x="664"/>
        <item x="436"/>
        <item x="629"/>
        <item x="371"/>
        <item x="148"/>
        <item x="76"/>
        <item x="207"/>
        <item x="619"/>
        <item x="420"/>
        <item x="415"/>
        <item x="628"/>
        <item x="124"/>
        <item x="233"/>
        <item x="426"/>
        <item x="674"/>
        <item x="422"/>
        <item x="364"/>
        <item x="37"/>
        <item x="22"/>
        <item x="161"/>
        <item x="325"/>
        <item x="668"/>
        <item x="598"/>
        <item x="500"/>
        <item x="586"/>
        <item x="292"/>
        <item x="223"/>
        <item x="156"/>
        <item x="141"/>
        <item x="40"/>
        <item x="503"/>
        <item x="557"/>
        <item x="288"/>
        <item x="190"/>
        <item x="60"/>
        <item x="306"/>
        <item x="192"/>
        <item x="526"/>
        <item x="430"/>
        <item x="74"/>
        <item x="530"/>
        <item x="672"/>
        <item x="380"/>
        <item x="230"/>
        <item x="253"/>
        <item x="508"/>
        <item x="116"/>
        <item x="448"/>
        <item x="636"/>
        <item x="15"/>
        <item x="20"/>
        <item x="444"/>
        <item x="423"/>
        <item x="590"/>
        <item x="734"/>
        <item x="186"/>
        <item x="483"/>
        <item x="712"/>
        <item x="656"/>
        <item x="298"/>
        <item x="157"/>
        <item x="393"/>
        <item x="538"/>
        <item x="7"/>
        <item x="396"/>
        <item x="171"/>
        <item x="293"/>
        <item x="89"/>
        <item x="19"/>
        <item x="217"/>
        <item x="463"/>
        <item x="354"/>
        <item x="608"/>
        <item x="662"/>
        <item x="718"/>
        <item x="429"/>
        <item x="686"/>
        <item x="458"/>
        <item x="462"/>
        <item x="50"/>
        <item x="18"/>
        <item x="38"/>
        <item x="123"/>
        <item x="142"/>
        <item x="536"/>
        <item x="582"/>
        <item x="527"/>
        <item x="575"/>
        <item x="471"/>
        <item x="329"/>
        <item x="179"/>
        <item x="571"/>
        <item x="670"/>
        <item x="541"/>
        <item x="437"/>
        <item x="643"/>
        <item x="399"/>
        <item x="238"/>
        <item x="62"/>
        <item x="510"/>
        <item x="10"/>
        <item x="42"/>
        <item x="137"/>
        <item x="573"/>
        <item x="6"/>
        <item x="555"/>
        <item x="539"/>
        <item x="583"/>
        <item x="84"/>
        <item x="86"/>
        <item x="605"/>
        <item x="12"/>
        <item x="256"/>
        <item x="46"/>
        <item x="616"/>
        <item x="21"/>
        <item x="409"/>
        <item x="322"/>
        <item x="642"/>
        <item x="4"/>
        <item x="711"/>
        <item x="339"/>
        <item x="731"/>
        <item x="584"/>
        <item x="244"/>
        <item x="277"/>
        <item x="340"/>
        <item x="119"/>
        <item x="588"/>
        <item x="259"/>
        <item x="77"/>
        <item x="69"/>
        <item x="373"/>
        <item x="506"/>
        <item x="222"/>
        <item x="644"/>
        <item x="580"/>
        <item x="445"/>
        <item x="70"/>
        <item x="441"/>
        <item x="388"/>
        <item x="204"/>
        <item x="304"/>
        <item x="55"/>
        <item x="553"/>
        <item x="349"/>
        <item x="188"/>
        <item x="154"/>
        <item x="660"/>
        <item x="498"/>
        <item x="658"/>
        <item x="472"/>
        <item x="648"/>
        <item x="178"/>
        <item x="569"/>
        <item x="691"/>
        <item x="305"/>
        <item x="515"/>
        <item x="174"/>
        <item x="343"/>
        <item x="669"/>
        <item x="232"/>
        <item x="630"/>
        <item x="199"/>
        <item x="499"/>
        <item x="597"/>
        <item x="374"/>
        <item x="159"/>
        <item x="313"/>
        <item x="163"/>
        <item x="516"/>
        <item x="202"/>
        <item x="671"/>
        <item x="316"/>
        <item x="716"/>
        <item x="289"/>
        <item x="707"/>
        <item x="341"/>
        <item x="632"/>
        <item x="181"/>
        <item x="531"/>
        <item x="494"/>
        <item x="191"/>
        <item x="485"/>
        <item x="303"/>
        <item x="466"/>
        <item x="346"/>
        <item x="634"/>
        <item x="333"/>
        <item x="599"/>
        <item x="581"/>
        <item x="300"/>
        <item x="263"/>
        <item x="723"/>
        <item x="241"/>
        <item x="449"/>
        <item x="440"/>
        <item x="695"/>
        <item x="521"/>
        <item x="447"/>
        <item x="696"/>
        <item x="358"/>
        <item x="645"/>
        <item x="145"/>
        <item x="576"/>
        <item x="432"/>
        <item x="540"/>
        <item x="363"/>
        <item x="381"/>
        <item x="228"/>
        <item x="221"/>
        <item x="367"/>
        <item x="657"/>
        <item x="593"/>
        <item x="464"/>
        <item x="652"/>
        <item x="362"/>
        <item x="414"/>
        <item x="274"/>
        <item x="239"/>
        <item x="110"/>
        <item x="82"/>
        <item x="134"/>
        <item x="594"/>
        <item x="476"/>
        <item x="143"/>
        <item x="424"/>
        <item x="709"/>
        <item x="282"/>
        <item x="685"/>
        <item x="484"/>
        <item x="285"/>
        <item x="706"/>
        <item x="475"/>
        <item x="514"/>
        <item x="88"/>
        <item x="165"/>
        <item x="694"/>
        <item x="491"/>
        <item x="72"/>
        <item x="504"/>
        <item x="94"/>
        <item x="308"/>
        <item x="564"/>
        <item x="610"/>
        <item x="517"/>
        <item x="281"/>
        <item x="385"/>
        <item x="276"/>
        <item x="335"/>
        <item x="615"/>
        <item x="11"/>
        <item x="245"/>
        <item x="724"/>
        <item x="348"/>
        <item x="310"/>
        <item x="457"/>
        <item x="680"/>
        <item x="524"/>
        <item x="655"/>
        <item x="278"/>
        <item x="548"/>
        <item x="240"/>
        <item x="480"/>
        <item x="547"/>
        <item x="390"/>
        <item x="201"/>
        <item x="231"/>
        <item x="164"/>
        <item x="218"/>
        <item x="24"/>
        <item x="129"/>
        <item x="438"/>
        <item x="574"/>
        <item x="102"/>
        <item x="732"/>
        <item x="357"/>
        <item x="467"/>
        <item x="41"/>
        <item x="488"/>
        <item x="195"/>
        <item x="496"/>
        <item x="720"/>
        <item x="291"/>
        <item x="596"/>
        <item x="216"/>
        <item x="591"/>
        <item x="392"/>
        <item x="323"/>
        <item x="284"/>
        <item x="353"/>
        <item x="90"/>
        <item x="275"/>
        <item x="332"/>
        <item x="453"/>
        <item x="147"/>
        <item x="411"/>
        <item x="267"/>
        <item x="301"/>
        <item x="208"/>
        <item x="501"/>
        <item x="49"/>
        <item x="431"/>
        <item x="139"/>
        <item x="479"/>
        <item x="611"/>
        <item x="715"/>
        <item x="359"/>
        <item x="551"/>
        <item x="535"/>
        <item x="227"/>
        <item x="151"/>
        <item x="294"/>
        <item x="646"/>
        <item x="184"/>
        <item x="404"/>
        <item x="108"/>
        <item x="133"/>
        <item x="577"/>
        <item x="631"/>
        <item x="650"/>
        <item x="189"/>
        <item x="286"/>
        <item x="95"/>
        <item x="33"/>
        <item x="512"/>
        <item x="378"/>
        <item x="389"/>
        <item x="135"/>
        <item x="477"/>
        <item x="519"/>
        <item x="509"/>
        <item x="317"/>
        <item x="247"/>
        <item x="361"/>
        <item x="200"/>
        <item x="640"/>
        <item x="688"/>
        <item x="492"/>
        <item x="173"/>
        <item x="150"/>
        <item x="522"/>
        <item x="604"/>
        <item x="360"/>
        <item x="368"/>
        <item x="52"/>
        <item x="433"/>
        <item x="44"/>
        <item x="502"/>
        <item x="321"/>
        <item x="625"/>
        <item x="489"/>
        <item x="106"/>
        <item x="107"/>
        <item x="682"/>
        <item x="2"/>
        <item x="495"/>
        <item x="356"/>
        <item x="338"/>
        <item x="87"/>
        <item x="273"/>
        <item x="331"/>
        <item x="57"/>
        <item x="23"/>
        <item x="699"/>
        <item x="120"/>
        <item x="460"/>
        <item x="627"/>
        <item x="32"/>
        <item x="193"/>
        <item x="609"/>
        <item x="600"/>
        <item x="118"/>
        <item x="537"/>
        <item x="113"/>
        <item x="235"/>
        <item x="546"/>
        <item x="613"/>
        <item x="320"/>
        <item x="26"/>
        <item x="427"/>
        <item x="401"/>
        <item x="567"/>
        <item x="659"/>
        <item x="647"/>
        <item x="603"/>
        <item x="262"/>
        <item x="213"/>
        <item x="16"/>
        <item x="121"/>
        <item x="117"/>
        <item x="251"/>
        <item x="384"/>
        <item x="128"/>
        <item x="8"/>
        <item x="375"/>
        <item x="283"/>
        <item x="125"/>
        <item x="48"/>
        <item x="673"/>
        <item x="206"/>
        <item x="482"/>
        <item x="710"/>
        <item x="474"/>
        <item x="211"/>
        <item x="146"/>
        <item x="490"/>
        <item x="271"/>
        <item x="167"/>
        <item x="620"/>
        <item x="386"/>
        <item x="337"/>
        <item x="9"/>
        <item x="587"/>
        <item x="132"/>
        <item x="413"/>
        <item x="565"/>
        <item x="198"/>
        <item x="5"/>
        <item x="136"/>
        <item x="545"/>
        <item x="478"/>
        <item x="254"/>
        <item x="318"/>
        <item x="105"/>
        <item x="486"/>
        <item x="456"/>
        <item x="558"/>
        <item x="689"/>
        <item x="104"/>
        <item x="697"/>
        <item x="566"/>
        <item x="327"/>
        <item x="525"/>
        <item x="708"/>
        <item x="229"/>
        <item x="407"/>
        <item x="692"/>
        <item x="387"/>
        <item x="347"/>
        <item x="395"/>
        <item x="505"/>
        <item x="735"/>
        <item x="452"/>
        <item x="47"/>
        <item x="296"/>
        <item x="626"/>
        <item x="257"/>
        <item x="459"/>
        <item x="85"/>
        <item x="328"/>
        <item x="372"/>
        <item x="269"/>
        <item x="473"/>
        <item x="140"/>
        <item x="187"/>
        <item x="406"/>
        <item x="75"/>
        <item x="99"/>
        <item x="172"/>
        <item x="520"/>
        <item x="302"/>
        <item x="421"/>
        <item x="428"/>
        <item x="606"/>
        <item x="158"/>
        <item x="377"/>
        <item x="297"/>
        <item x="451"/>
        <item x="725"/>
        <item x="419"/>
        <item x="733"/>
        <item x="722"/>
        <item x="468"/>
        <item x="324"/>
        <item x="225"/>
        <item x="152"/>
        <item x="550"/>
        <item x="678"/>
        <item x="205"/>
        <item x="698"/>
        <item x="416"/>
        <item x="0"/>
        <item x="661"/>
        <item x="624"/>
        <item x="435"/>
        <item x="237"/>
        <item x="79"/>
        <item x="638"/>
        <item x="705"/>
        <item x="663"/>
        <item x="397"/>
        <item x="563"/>
        <item x="17"/>
        <item x="96"/>
        <item x="470"/>
        <item x="455"/>
        <item x="618"/>
        <item x="677"/>
        <item x="39"/>
        <item x="53"/>
        <item x="299"/>
        <item x="155"/>
        <item x="270"/>
        <item x="667"/>
        <item x="249"/>
        <item x="319"/>
        <item x="83"/>
        <item x="219"/>
        <item x="398"/>
        <item x="487"/>
        <item x="71"/>
        <item x="168"/>
        <item x="578"/>
        <item x="248"/>
        <item x="651"/>
        <item x="215"/>
        <item x="131"/>
        <item x="307"/>
        <item x="61"/>
        <item x="266"/>
        <item x="439"/>
        <item x="612"/>
        <item x="690"/>
        <item x="665"/>
        <item x="326"/>
        <item x="602"/>
        <item x="58"/>
        <item x="209"/>
        <item x="261"/>
        <item x="183"/>
        <item x="704"/>
        <item x="623"/>
        <item x="175"/>
        <item x="528"/>
        <item x="529"/>
        <item x="279"/>
        <item x="14"/>
        <item x="78"/>
        <item x="595"/>
        <item x="194"/>
        <item x="403"/>
        <item x="365"/>
        <item x="351"/>
        <item x="570"/>
        <item x="334"/>
        <item x="226"/>
        <item x="434"/>
        <item x="66"/>
        <item x="679"/>
        <item x="544"/>
        <item x="73"/>
        <item x="649"/>
        <item x="376"/>
        <item x="250"/>
        <item x="676"/>
        <item x="714"/>
        <item x="81"/>
        <item x="418"/>
        <item x="196"/>
        <item x="309"/>
        <item x="29"/>
        <item x="260"/>
        <item x="182"/>
        <item x="601"/>
        <item x="683"/>
        <item x="64"/>
        <item x="197"/>
        <item x="532"/>
        <item x="675"/>
        <item x="350"/>
        <item x="109"/>
        <item x="507"/>
        <item x="497"/>
        <item x="98"/>
        <item x="246"/>
        <item x="561"/>
        <item x="717"/>
        <item x="382"/>
        <item x="330"/>
        <item x="126"/>
        <item x="80"/>
        <item x="312"/>
        <item x="97"/>
        <item x="30"/>
        <item x="92"/>
        <item x="342"/>
        <item x="654"/>
        <item x="203"/>
        <item x="65"/>
        <item x="465"/>
        <item x="592"/>
        <item x="405"/>
        <item x="252"/>
        <item x="726"/>
        <item x="394"/>
        <item x="684"/>
        <item x="702"/>
        <item x="210"/>
        <item x="355"/>
        <item x="450"/>
        <item x="214"/>
        <item x="534"/>
        <item x="160"/>
        <item x="185"/>
        <item x="336"/>
        <item t="default"/>
      </items>
    </pivotField>
    <pivotField dataField="1" numFmtId="1" showAll="0"/>
    <pivotField showAll="0"/>
    <pivotField showAll="0">
      <items count="4">
        <item x="1"/>
        <item x="2"/>
        <item x="0"/>
        <item t="default"/>
      </items>
    </pivotField>
    <pivotField showAll="0"/>
    <pivotField showAll="0">
      <items count="4">
        <item x="0"/>
        <item x="2"/>
        <item x="1"/>
        <item t="default"/>
      </items>
    </pivotField>
    <pivotField showAll="0">
      <items count="7">
        <item x="1"/>
        <item x="5"/>
        <item x="4"/>
        <item x="0"/>
        <item x="2"/>
        <item x="3"/>
        <item t="default"/>
      </items>
    </pivotField>
    <pivotField numFmtId="166" showAll="0"/>
    <pivotField numFmtId="166" showAll="0"/>
    <pivotField dataField="1" numFmtId="166" showAll="0"/>
    <pivotField showAll="0"/>
    <pivotField showAll="0">
      <items count="13">
        <item x="3"/>
        <item x="4"/>
        <item x="2"/>
        <item x="10"/>
        <item x="0"/>
        <item x="9"/>
        <item x="5"/>
        <item x="1"/>
        <item x="7"/>
        <item x="6"/>
        <item x="11"/>
        <item x="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rowItems>
  <colFields count="1">
    <field x="-2"/>
  </colFields>
  <colItems count="2">
    <i>
      <x/>
    </i>
    <i i="1">
      <x v="1"/>
    </i>
  </colItems>
  <dataFields count="2">
    <dataField name="Total sales" fld="10" baseField="0" baseItem="0" numFmtId="166"/>
    <dataField name="Units"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D34F9F-E6EA-4C85-A807-11272287941E}" autoFormatId="16" applyNumberFormats="0" applyBorderFormats="0" applyFontFormats="0" applyPatternFormats="0" applyAlignmentFormats="0" applyWidthHeightFormats="0">
  <queryTableRefresh nextId="26" unboundColumnsRight="3">
    <queryTableFields count="20">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20" dataBound="0" tableColumnId="18"/>
      <queryTableField id="21" dataBound="0" tableColumnId="19"/>
      <queryTableField id="22"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87784F-4932-4BF7-9A06-EAB982CDD3FA}" sourceName="MONTH">
  <pivotTables>
    <pivotTable tabId="5" name="SALES BY INVOICEWISE"/>
    <pivotTable tabId="5" name="COGS TO SALES"/>
    <pivotTable tabId="5" name="COGS TO SALES MONTHWISE"/>
    <pivotTable tabId="5" name="Sales branchwise"/>
    <pivotTable tabId="5" name="SALES BY CATEGORY"/>
    <pivotTable tabId="5" name="Sales by month"/>
    <pivotTable tabId="5" name="sales by payment mode"/>
    <pivotTable tabId="5" name="Day2day/monthly sales"/>
  </pivotTables>
  <data>
    <tabular pivotCacheId="159692392">
      <items count="12">
        <i x="3" s="1"/>
        <i x="4" s="1"/>
        <i x="2" s="1"/>
        <i x="10" s="1"/>
        <i x="0" s="1"/>
        <i x="9" s="1"/>
        <i x="5" s="1"/>
        <i x="1" s="1"/>
        <i x="7" s="1"/>
        <i x="6"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BD218CC-D612-4D7F-85F2-0FC6D0D98982}" sourceName="PAYMENT MODE">
  <pivotTables>
    <pivotTable tabId="5" name="SALES BY INVOICEWISE"/>
    <pivotTable tabId="5" name="COGS TO SALES"/>
    <pivotTable tabId="5" name="COGS TO SALES MONTHWISE"/>
    <pivotTable tabId="5" name="Sales branchwise"/>
    <pivotTable tabId="5" name="SALES BY CATEGORY"/>
    <pivotTable tabId="5" name="Sales by month"/>
    <pivotTable tabId="5" name="Day2day/monthly sales"/>
    <pivotTable tabId="5" name="sales by payment mode"/>
  </pivotTables>
  <data>
    <tabular pivotCacheId="15969239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 xr10:uid="{A576E352-F17E-4BAB-8135-85321900BFE4}" sourceName="CATEGORY TYPE">
  <pivotTables>
    <pivotTable tabId="5" name="SALES BY INVOICEWISE"/>
    <pivotTable tabId="5" name="COGS TO SALES"/>
    <pivotTable tabId="5" name="COGS TO SALES MONTHWISE"/>
    <pivotTable tabId="5" name="Sales branchwise"/>
    <pivotTable tabId="5" name="Sales by month"/>
    <pivotTable tabId="5" name="sales by payment mode"/>
    <pivotTable tabId="5" name="Day2day/monthly sales"/>
    <pivotTable tabId="5" name="SALES BY CATEGORY"/>
  </pivotTables>
  <data>
    <tabular pivotCacheId="159692392">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EC25A98-3F64-4D61-B7E2-D99555E70C2B}" cache="Slicer_MONTH" caption="MONTH" rowHeight="209550"/>
  <slicer name="PAYMENT MODE" xr10:uid="{C18343D4-B21E-4E81-80F7-11BE4F26E26D}" cache="Slicer_PAYMENT_MODE" caption="PAYMENT MODE" columnCount="3" rowHeight="209550"/>
  <slicer name="CATEGORY TYPE" xr10:uid="{232410D1-26C3-4287-9706-EAED9DB9359A}" cache="Slicer_CATEGORY_TYPE" caption="CATEGORY TYPE" startItem="3" columnCount="3"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5A049-F289-4D0D-B41C-2893FB7E350A}" name="SuperMarket_Analysis" displayName="SuperMarket_Analysis" ref="A1:T737" tableType="queryTable" totalsRowShown="0">
  <autoFilter ref="A1:T737" xr:uid="{29B5A049-F289-4D0D-B41C-2893FB7E350A}"/>
  <tableColumns count="20">
    <tableColumn id="1" xr3:uid="{3D4A153B-1F52-4D4F-8356-3EC54B9AB7D1}" uniqueName="1" name="Invoice ID" queryTableFieldId="1" dataDxfId="34"/>
    <tableColumn id="2" xr3:uid="{79B27005-E3EE-4320-A918-956505533B0F}" uniqueName="2" name="Branch" queryTableFieldId="2" dataDxfId="33"/>
    <tableColumn id="3" xr3:uid="{54B78E8F-3589-4889-AE51-6AA3FD91B5B0}" uniqueName="3" name="City" queryTableFieldId="3" dataDxfId="32"/>
    <tableColumn id="4" xr3:uid="{854B43BE-1CA1-465A-BC06-A3CF04D95576}" uniqueName="4" name="Customer type" queryTableFieldId="4" dataDxfId="31"/>
    <tableColumn id="5" xr3:uid="{FDC80DB0-D908-4126-939A-44D28D667148}" uniqueName="5" name="Gender" queryTableFieldId="5" dataDxfId="30"/>
    <tableColumn id="6" xr3:uid="{DD66D37F-B6F3-4532-9B2B-4E12E631867F}" uniqueName="6" name="Product line" queryTableFieldId="6" dataDxfId="29"/>
    <tableColumn id="7" xr3:uid="{9951584C-CE05-4C5F-B42B-8C156ABDEE36}" uniqueName="7" name="Unit price" queryTableFieldId="7" dataDxfId="28"/>
    <tableColumn id="8" xr3:uid="{E26C10C5-9767-480E-8A0E-CE5C000A726D}" uniqueName="8" name="Quantity" queryTableFieldId="8" dataDxfId="27"/>
    <tableColumn id="9" xr3:uid="{55C7C742-19CD-4A44-8E27-A12779AD6172}" uniqueName="9" name="Tax 5%" queryTableFieldId="9" dataDxfId="26"/>
    <tableColumn id="10" xr3:uid="{7B589234-D74E-41BB-975A-470DB6426726}" uniqueName="10" name="Sales" queryTableFieldId="10" dataDxfId="25"/>
    <tableColumn id="11" xr3:uid="{43E289A6-7E4F-49CA-A354-BCB292346DEC}" uniqueName="11" name="Date" queryTableFieldId="11" dataDxfId="24"/>
    <tableColumn id="12" xr3:uid="{4ACB347E-0F55-4198-8ECE-7BB857F0D3F6}" uniqueName="12" name="Time" queryTableFieldId="12" dataDxfId="23"/>
    <tableColumn id="13" xr3:uid="{2A5A0E7D-FF7E-43DC-9581-23F421863D90}" uniqueName="13" name="Payment type" queryTableFieldId="13" dataDxfId="22"/>
    <tableColumn id="14" xr3:uid="{5661C91C-A278-4CCA-8523-E7AFC5450594}" uniqueName="14" name="C.O.G.S" queryTableFieldId="14" dataDxfId="21"/>
    <tableColumn id="15" xr3:uid="{7F9B2C61-1E93-43AB-8F05-C1E74208788A}" uniqueName="15" name="gross margin %" queryTableFieldId="15" dataDxfId="20"/>
    <tableColumn id="16" xr3:uid="{405C45F8-6578-42EF-9101-22803279D6EE}" uniqueName="16" name="gross income" queryTableFieldId="16" dataDxfId="19"/>
    <tableColumn id="17" xr3:uid="{A2CAAF5A-6A72-4EB3-BFD3-F58A29DF273B}" uniqueName="17" name="Rating" queryTableFieldId="17"/>
    <tableColumn id="18" xr3:uid="{908F761E-99AF-4A55-92EC-4838A0F34236}" uniqueName="18" name="Day" queryTableFieldId="20" dataDxfId="18">
      <calculatedColumnFormula>DAY(SuperMarket_Analysis[[#This Row],[Date]])</calculatedColumnFormula>
    </tableColumn>
    <tableColumn id="19" xr3:uid="{36C248D0-666B-473A-9EF9-5E9E2EDA914C}" uniqueName="19" name="Month" queryTableFieldId="21" dataDxfId="17">
      <calculatedColumnFormula>TEXT(SuperMarket_Analysis[[#This Row],[Date]],"mmmm")</calculatedColumnFormula>
    </tableColumn>
    <tableColumn id="20" xr3:uid="{BFF3BD4D-AB96-4DB4-A81B-1C06F4DCC61B}" uniqueName="20" name="Year" queryTableFieldId="22" dataDxfId="16">
      <calculatedColumnFormula>YEAR(SuperMarket_Analysis[[#This Row],[Date]])</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84126-149C-4A80-AAE2-CA86B13DF034}" name="Input_Table" displayName="Input_Table" ref="A1:N737" totalsRowShown="0" headerRowDxfId="15" dataDxfId="14">
  <autoFilter ref="A1:N737" xr:uid="{1A884126-149C-4A80-AAE2-CA86B13DF034}"/>
  <tableColumns count="14">
    <tableColumn id="1" xr3:uid="{C7FAE2A6-877A-484A-A769-3FB143B167CB}" name="DATE" dataDxfId="13">
      <calculatedColumnFormula>_xlfn.XLOOKUP(B2,SuperMarket_Analysis[Invoice ID],SuperMarket_Analysis[Date])</calculatedColumnFormula>
    </tableColumn>
    <tableColumn id="2" xr3:uid="{09DCD550-E2A1-4CE5-B188-AC15D9307637}" name="INVOICE ID" dataDxfId="12"/>
    <tableColumn id="3" xr3:uid="{5349A9D6-3F58-4ADC-B695-EEF2742C1ADC}" name="QUANTITY" dataDxfId="11">
      <calculatedColumnFormula>_xlfn.XLOOKUP(B2,SuperMarket_Analysis[Invoice ID],SuperMarket_Analysis[Quantity])</calculatedColumnFormula>
    </tableColumn>
    <tableColumn id="4" xr3:uid="{3EA09AEC-FAE6-4C10-996E-A0D2EE957263}" name="SALE TYPE" dataDxfId="10">
      <calculatedColumnFormula>_xlfn.XLOOKUP('Input data'!B2,'SuperMarket Analysis'!A:A,'SuperMarket Analysis'!F:F)</calculatedColumnFormula>
    </tableColumn>
    <tableColumn id="5" xr3:uid="{7B6B1994-674F-4819-873B-62B499034D6B}" name="PAYMENT MODE" dataDxfId="9">
      <calculatedColumnFormula>_xlfn.XLOOKUP(B2,'SuperMarket Analysis'!A:A,'SuperMarket Analysis'!M:M)</calculatedColumnFormula>
    </tableColumn>
    <tableColumn id="6" xr3:uid="{60005002-ED77-4332-A096-2A55B4DEF382}" name="TAX 5%" dataDxfId="8">
      <calculatedColumnFormula>0.05*Input_Table[[#This Row],[TOTAL C.O.G.S]]</calculatedColumnFormula>
    </tableColumn>
    <tableColumn id="7" xr3:uid="{5EAFD774-2563-4849-A68E-68E23859E5E5}" name="BRANCH NAME" dataDxfId="7">
      <calculatedColumnFormula>_xlfn.XLOOKUP(Input_Table[[#This Row],[INVOICE ID]],'SuperMarket Analysis'!A:A,'SuperMarket Analysis'!B:B)</calculatedColumnFormula>
    </tableColumn>
    <tableColumn id="8" xr3:uid="{AF2A94D5-4EE3-47D5-8B66-38F1DE4B9E6E}" name="CATEGORY TYPE" dataDxfId="6">
      <calculatedColumnFormula>_xlfn.XLOOKUP(Input_Table[[#This Row],[INVOICE ID]],'SuperMarket Analysis'!A:A,'SuperMarket Analysis'!F:F)</calculatedColumnFormula>
    </tableColumn>
    <tableColumn id="9" xr3:uid="{A950391A-F5C5-4B90-91A7-D497A002B7D6}" name="UNIT PRICE" dataDxfId="5">
      <calculatedColumnFormula>_xlfn.XLOOKUP(Input_Table[[#This Row],[INVOICE ID]],'SuperMarket Analysis'!A:A,'SuperMarket Analysis'!G:G)</calculatedColumnFormula>
    </tableColumn>
    <tableColumn id="12" xr3:uid="{D4B9CAB9-D04F-4D40-A097-533C379B39D8}" name="TOTAL C.O.G.S" dataDxfId="4">
      <calculatedColumnFormula>_xlfn.XLOOKUP(Input_Table[[#This Row],[INVOICE ID]],'SuperMarket Analysis'!A:A,'SuperMarket Analysis'!N:N)</calculatedColumnFormula>
    </tableColumn>
    <tableColumn id="13" xr3:uid="{7C94FA64-0A25-43AD-994B-7A3B1508D457}" name="TOTAL SELLING PRICE" dataDxfId="3">
      <calculatedColumnFormula>_xlfn.XLOOKUP(Input_Table[[#This Row],[INVOICE ID]],'SuperMarket Analysis'!A:A,'SuperMarket Analysis'!J:J)</calculatedColumnFormula>
    </tableColumn>
    <tableColumn id="14" xr3:uid="{43B810E6-0870-455D-80B0-C559E46502B2}" name="DAY" dataDxfId="2">
      <calculatedColumnFormula>DAY(Input_Table[[#This Row],[DATE]])</calculatedColumnFormula>
    </tableColumn>
    <tableColumn id="10" xr3:uid="{7EF14DBE-224D-4D4B-B9A1-E8492CAFDC9B}" name="MONTH" dataDxfId="1">
      <calculatedColumnFormula>TEXT(Input_Table[[#This Row],[DATE]],"mmmm")</calculatedColumnFormula>
    </tableColumn>
    <tableColumn id="11" xr3:uid="{2A2D433F-9023-4A05-A81C-CC58BB2C6CCB}" name="YEAR" dataDxfId="0">
      <calculatedColumnFormula>YEAR(Input_Table[[#This Row],[DATE]])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5624-047B-4CC0-80D4-DA09A5F14A82}">
  <sheetPr codeName="Sheet1"/>
  <dimension ref="A1:T737"/>
  <sheetViews>
    <sheetView topLeftCell="A55" workbookViewId="0">
      <selection activeCell="E13" sqref="E13"/>
    </sheetView>
  </sheetViews>
  <sheetFormatPr defaultRowHeight="13.5" x14ac:dyDescent="0.3"/>
  <cols>
    <col min="1" max="1" width="12.6640625" bestFit="1" customWidth="1"/>
    <col min="2" max="2" width="10.33203125" bestFit="1" customWidth="1"/>
    <col min="3" max="3" width="10" bestFit="1" customWidth="1"/>
    <col min="4" max="4" width="17.1640625" bestFit="1" customWidth="1"/>
    <col min="5" max="5" width="10.5" bestFit="1" customWidth="1"/>
    <col min="6" max="6" width="20.33203125" bestFit="1" customWidth="1"/>
    <col min="7" max="7" width="12.6640625" style="3" bestFit="1" customWidth="1"/>
    <col min="8" max="8" width="11.5" bestFit="1" customWidth="1"/>
    <col min="9" max="9" width="10" style="3" bestFit="1" customWidth="1"/>
    <col min="10" max="10" width="11.33203125" style="3" bestFit="1" customWidth="1"/>
    <col min="11" max="11" width="19.83203125" style="2" customWidth="1"/>
    <col min="12" max="12" width="8.5" bestFit="1" customWidth="1"/>
    <col min="13" max="13" width="11.5" bestFit="1" customWidth="1"/>
    <col min="14" max="14" width="9.6640625" style="3" bestFit="1" customWidth="1"/>
    <col min="15" max="15" width="16.5" style="4" customWidth="1"/>
    <col min="16" max="16" width="15.6640625" style="5" bestFit="1" customWidth="1"/>
    <col min="18" max="20" width="9.33203125" style="6"/>
  </cols>
  <sheetData>
    <row r="1" spans="1:20" x14ac:dyDescent="0.3">
      <c r="A1" t="s">
        <v>0</v>
      </c>
      <c r="B1" t="s">
        <v>1</v>
      </c>
      <c r="C1" t="s">
        <v>2</v>
      </c>
      <c r="D1" t="s">
        <v>3</v>
      </c>
      <c r="E1" t="s">
        <v>4</v>
      </c>
      <c r="F1" t="s">
        <v>5</v>
      </c>
      <c r="G1" s="3" t="s">
        <v>6</v>
      </c>
      <c r="H1" t="s">
        <v>7</v>
      </c>
      <c r="I1" s="3" t="s">
        <v>8</v>
      </c>
      <c r="J1" s="3" t="s">
        <v>9</v>
      </c>
      <c r="K1" s="2" t="s">
        <v>10</v>
      </c>
      <c r="L1" t="s">
        <v>11</v>
      </c>
      <c r="M1" t="s">
        <v>774</v>
      </c>
      <c r="N1" s="3" t="s">
        <v>769</v>
      </c>
      <c r="O1" s="4" t="s">
        <v>773</v>
      </c>
      <c r="P1" s="5" t="s">
        <v>12</v>
      </c>
      <c r="Q1" t="s">
        <v>13</v>
      </c>
      <c r="R1" s="6" t="s">
        <v>770</v>
      </c>
      <c r="S1" s="6" t="s">
        <v>771</v>
      </c>
      <c r="T1" s="6" t="s">
        <v>772</v>
      </c>
    </row>
    <row r="2" spans="1:20" x14ac:dyDescent="0.3">
      <c r="A2" t="s">
        <v>14</v>
      </c>
      <c r="B2" t="s">
        <v>15</v>
      </c>
      <c r="C2" t="s">
        <v>16</v>
      </c>
      <c r="D2" t="s">
        <v>17</v>
      </c>
      <c r="E2" t="s">
        <v>18</v>
      </c>
      <c r="F2" t="s">
        <v>19</v>
      </c>
      <c r="G2" s="3">
        <v>74.69</v>
      </c>
      <c r="H2" s="6">
        <v>7</v>
      </c>
      <c r="I2" s="3">
        <v>26.141500000000001</v>
      </c>
      <c r="J2" s="3">
        <v>548.97149999999999</v>
      </c>
      <c r="K2" s="2">
        <v>43586</v>
      </c>
      <c r="L2" s="1">
        <v>0.54722222222222228</v>
      </c>
      <c r="M2" t="s">
        <v>20</v>
      </c>
      <c r="N2" s="3">
        <v>522.83000000000004</v>
      </c>
      <c r="O2" s="4">
        <v>4.7619047620000003</v>
      </c>
      <c r="P2" s="5">
        <v>26.141500000000001</v>
      </c>
      <c r="Q2">
        <v>9.1</v>
      </c>
      <c r="R2" s="6">
        <f>DAY(SuperMarket_Analysis[[#This Row],[Date]])</f>
        <v>1</v>
      </c>
      <c r="S2" s="6" t="str">
        <f>TEXT(SuperMarket_Analysis[[#This Row],[Date]],"mmmm")</f>
        <v>May</v>
      </c>
      <c r="T2" s="6">
        <f>YEAR(SuperMarket_Analysis[[#This Row],[Date]])</f>
        <v>2019</v>
      </c>
    </row>
    <row r="3" spans="1:20" x14ac:dyDescent="0.3">
      <c r="A3" t="s">
        <v>21</v>
      </c>
      <c r="B3" t="s">
        <v>22</v>
      </c>
      <c r="C3" t="s">
        <v>23</v>
      </c>
      <c r="D3" t="s">
        <v>24</v>
      </c>
      <c r="E3" t="s">
        <v>18</v>
      </c>
      <c r="F3" t="s">
        <v>25</v>
      </c>
      <c r="G3" s="3">
        <v>15.28</v>
      </c>
      <c r="H3" s="6">
        <v>5</v>
      </c>
      <c r="I3" s="3">
        <v>3.82</v>
      </c>
      <c r="J3" s="3">
        <v>80.22</v>
      </c>
      <c r="K3" s="2">
        <v>43680</v>
      </c>
      <c r="L3" s="1">
        <v>0.43680555555555556</v>
      </c>
      <c r="M3" t="s">
        <v>26</v>
      </c>
      <c r="N3" s="3">
        <v>76.400000000000006</v>
      </c>
      <c r="O3" s="4">
        <v>4.7619047620000003</v>
      </c>
      <c r="P3" s="5">
        <v>3.82</v>
      </c>
      <c r="Q3">
        <v>9.6</v>
      </c>
      <c r="R3" s="6">
        <f>DAY(SuperMarket_Analysis[[#This Row],[Date]])</f>
        <v>3</v>
      </c>
      <c r="S3" s="6" t="str">
        <f>TEXT(SuperMarket_Analysis[[#This Row],[Date]],"mmmm")</f>
        <v>August</v>
      </c>
      <c r="T3" s="6">
        <f>YEAR(SuperMarket_Analysis[[#This Row],[Date]])</f>
        <v>2019</v>
      </c>
    </row>
    <row r="4" spans="1:20" x14ac:dyDescent="0.3">
      <c r="A4" t="s">
        <v>27</v>
      </c>
      <c r="B4" t="s">
        <v>15</v>
      </c>
      <c r="C4" t="s">
        <v>16</v>
      </c>
      <c r="D4" t="s">
        <v>24</v>
      </c>
      <c r="E4" t="s">
        <v>18</v>
      </c>
      <c r="F4" t="s">
        <v>28</v>
      </c>
      <c r="G4" s="3">
        <v>46.33</v>
      </c>
      <c r="H4" s="6">
        <v>7</v>
      </c>
      <c r="I4" s="3">
        <v>16.215499999999999</v>
      </c>
      <c r="J4" s="3">
        <v>340.52550000000002</v>
      </c>
      <c r="K4" s="2">
        <v>43527</v>
      </c>
      <c r="L4" s="1">
        <v>0.55763888888888891</v>
      </c>
      <c r="M4" t="s">
        <v>29</v>
      </c>
      <c r="N4" s="3">
        <v>324.31</v>
      </c>
      <c r="O4" s="4">
        <v>4.7619047620000003</v>
      </c>
      <c r="P4" s="5">
        <v>16.215499999999999</v>
      </c>
      <c r="Q4">
        <v>7.4</v>
      </c>
      <c r="R4" s="6">
        <f>DAY(SuperMarket_Analysis[[#This Row],[Date]])</f>
        <v>3</v>
      </c>
      <c r="S4" s="6" t="str">
        <f>TEXT(SuperMarket_Analysis[[#This Row],[Date]],"mmmm")</f>
        <v>March</v>
      </c>
      <c r="T4" s="6">
        <f>YEAR(SuperMarket_Analysis[[#This Row],[Date]])</f>
        <v>2019</v>
      </c>
    </row>
    <row r="5" spans="1:20" x14ac:dyDescent="0.3">
      <c r="A5" t="s">
        <v>30</v>
      </c>
      <c r="B5" t="s">
        <v>15</v>
      </c>
      <c r="C5" t="s">
        <v>16</v>
      </c>
      <c r="D5" t="s">
        <v>17</v>
      </c>
      <c r="E5" t="s">
        <v>18</v>
      </c>
      <c r="F5" t="s">
        <v>19</v>
      </c>
      <c r="G5" s="3">
        <v>58.22</v>
      </c>
      <c r="H5" s="6">
        <v>8</v>
      </c>
      <c r="I5" s="3">
        <v>23.288</v>
      </c>
      <c r="J5" s="3">
        <v>489.048</v>
      </c>
      <c r="K5" s="2">
        <v>43492</v>
      </c>
      <c r="L5" s="1">
        <v>0.85624999999999996</v>
      </c>
      <c r="M5" t="s">
        <v>20</v>
      </c>
      <c r="N5" s="3">
        <v>465.76</v>
      </c>
      <c r="O5" s="4">
        <v>4.7619047620000003</v>
      </c>
      <c r="P5" s="5">
        <v>23.288</v>
      </c>
      <c r="Q5">
        <v>8.4</v>
      </c>
      <c r="R5" s="6">
        <f>DAY(SuperMarket_Analysis[[#This Row],[Date]])</f>
        <v>27</v>
      </c>
      <c r="S5" s="6" t="str">
        <f>TEXT(SuperMarket_Analysis[[#This Row],[Date]],"mmmm")</f>
        <v>January</v>
      </c>
      <c r="T5" s="6">
        <f>YEAR(SuperMarket_Analysis[[#This Row],[Date]])</f>
        <v>2019</v>
      </c>
    </row>
    <row r="6" spans="1:20" x14ac:dyDescent="0.3">
      <c r="A6" t="s">
        <v>31</v>
      </c>
      <c r="B6" t="s">
        <v>15</v>
      </c>
      <c r="C6" t="s">
        <v>16</v>
      </c>
      <c r="D6" t="s">
        <v>17</v>
      </c>
      <c r="E6" t="s">
        <v>18</v>
      </c>
      <c r="F6" t="s">
        <v>32</v>
      </c>
      <c r="G6" s="3">
        <v>86.31</v>
      </c>
      <c r="H6" s="6">
        <v>7</v>
      </c>
      <c r="I6" s="3">
        <v>30.208500000000001</v>
      </c>
      <c r="J6" s="3">
        <v>634.37850000000003</v>
      </c>
      <c r="K6" s="2">
        <v>43549</v>
      </c>
      <c r="L6" s="1">
        <v>0.44236111111111109</v>
      </c>
      <c r="M6" t="s">
        <v>20</v>
      </c>
      <c r="N6" s="3">
        <v>604.16999999999996</v>
      </c>
      <c r="O6" s="4">
        <v>4.7619047620000003</v>
      </c>
      <c r="P6" s="5">
        <v>30.208500000000001</v>
      </c>
      <c r="Q6">
        <v>5.3</v>
      </c>
      <c r="R6" s="6">
        <f>DAY(SuperMarket_Analysis[[#This Row],[Date]])</f>
        <v>25</v>
      </c>
      <c r="S6" s="6" t="str">
        <f>TEXT(SuperMarket_Analysis[[#This Row],[Date]],"mmmm")</f>
        <v>March</v>
      </c>
      <c r="T6" s="6">
        <f>YEAR(SuperMarket_Analysis[[#This Row],[Date]])</f>
        <v>2019</v>
      </c>
    </row>
    <row r="7" spans="1:20" x14ac:dyDescent="0.3">
      <c r="A7" t="s">
        <v>33</v>
      </c>
      <c r="B7" t="s">
        <v>22</v>
      </c>
      <c r="C7" t="s">
        <v>23</v>
      </c>
      <c r="D7" t="s">
        <v>17</v>
      </c>
      <c r="E7" t="s">
        <v>18</v>
      </c>
      <c r="F7" t="s">
        <v>25</v>
      </c>
      <c r="G7" s="3">
        <v>85.39</v>
      </c>
      <c r="H7" s="6">
        <v>7</v>
      </c>
      <c r="I7" s="3">
        <v>29.886500000000002</v>
      </c>
      <c r="J7" s="3">
        <v>627.61649999999997</v>
      </c>
      <c r="K7" s="2">
        <v>43521</v>
      </c>
      <c r="L7" s="1">
        <v>0.77083333333333337</v>
      </c>
      <c r="M7" t="s">
        <v>20</v>
      </c>
      <c r="N7" s="3">
        <v>597.73</v>
      </c>
      <c r="O7" s="4">
        <v>4.7619047620000003</v>
      </c>
      <c r="P7" s="5">
        <v>29.886500000000002</v>
      </c>
      <c r="Q7">
        <v>4.0999999999999996</v>
      </c>
      <c r="R7" s="6">
        <f>DAY(SuperMarket_Analysis[[#This Row],[Date]])</f>
        <v>25</v>
      </c>
      <c r="S7" s="6" t="str">
        <f>TEXT(SuperMarket_Analysis[[#This Row],[Date]],"mmmm")</f>
        <v>February</v>
      </c>
      <c r="T7" s="6">
        <f>YEAR(SuperMarket_Analysis[[#This Row],[Date]])</f>
        <v>2019</v>
      </c>
    </row>
    <row r="8" spans="1:20" x14ac:dyDescent="0.3">
      <c r="A8" t="s">
        <v>34</v>
      </c>
      <c r="B8" t="s">
        <v>15</v>
      </c>
      <c r="C8" t="s">
        <v>16</v>
      </c>
      <c r="D8" t="s">
        <v>17</v>
      </c>
      <c r="E8" t="s">
        <v>18</v>
      </c>
      <c r="F8" t="s">
        <v>25</v>
      </c>
      <c r="G8" s="3">
        <v>68.84</v>
      </c>
      <c r="H8" s="6">
        <v>6</v>
      </c>
      <c r="I8" s="3">
        <v>20.652000000000001</v>
      </c>
      <c r="J8" s="3">
        <v>433.69200000000001</v>
      </c>
      <c r="K8" s="2">
        <v>43520</v>
      </c>
      <c r="L8" s="1">
        <v>0.60833333333333328</v>
      </c>
      <c r="M8" t="s">
        <v>20</v>
      </c>
      <c r="N8" s="3">
        <v>413.04</v>
      </c>
      <c r="O8" s="4">
        <v>4.7619047620000003</v>
      </c>
      <c r="P8" s="5">
        <v>20.652000000000001</v>
      </c>
      <c r="Q8">
        <v>5.8</v>
      </c>
      <c r="R8" s="6">
        <f>DAY(SuperMarket_Analysis[[#This Row],[Date]])</f>
        <v>24</v>
      </c>
      <c r="S8" s="6" t="str">
        <f>TEXT(SuperMarket_Analysis[[#This Row],[Date]],"mmmm")</f>
        <v>February</v>
      </c>
      <c r="T8" s="6">
        <f>YEAR(SuperMarket_Analysis[[#This Row],[Date]])</f>
        <v>2019</v>
      </c>
    </row>
    <row r="9" spans="1:20" x14ac:dyDescent="0.3">
      <c r="A9" t="s">
        <v>35</v>
      </c>
      <c r="B9" t="s">
        <v>22</v>
      </c>
      <c r="C9" t="s">
        <v>23</v>
      </c>
      <c r="D9" t="s">
        <v>17</v>
      </c>
      <c r="E9" t="s">
        <v>18</v>
      </c>
      <c r="F9" t="s">
        <v>28</v>
      </c>
      <c r="G9" s="3">
        <v>73.56</v>
      </c>
      <c r="H9" s="6">
        <v>10</v>
      </c>
      <c r="I9" s="3">
        <v>36.78</v>
      </c>
      <c r="J9" s="3">
        <v>772.38</v>
      </c>
      <c r="K9" s="2">
        <v>43516</v>
      </c>
      <c r="L9" s="1">
        <v>0.48472222222222222</v>
      </c>
      <c r="M9" t="s">
        <v>20</v>
      </c>
      <c r="N9" s="3">
        <v>735.6</v>
      </c>
      <c r="O9" s="4">
        <v>4.7619047620000003</v>
      </c>
      <c r="P9" s="5">
        <v>36.78</v>
      </c>
      <c r="Q9">
        <v>8</v>
      </c>
      <c r="R9" s="6">
        <f>DAY(SuperMarket_Analysis[[#This Row],[Date]])</f>
        <v>20</v>
      </c>
      <c r="S9" s="6" t="str">
        <f>TEXT(SuperMarket_Analysis[[#This Row],[Date]],"mmmm")</f>
        <v>February</v>
      </c>
      <c r="T9" s="6">
        <f>YEAR(SuperMarket_Analysis[[#This Row],[Date]])</f>
        <v>2019</v>
      </c>
    </row>
    <row r="10" spans="1:20" x14ac:dyDescent="0.3">
      <c r="A10" t="s">
        <v>36</v>
      </c>
      <c r="B10" t="s">
        <v>15</v>
      </c>
      <c r="C10" t="s">
        <v>16</v>
      </c>
      <c r="D10" t="s">
        <v>17</v>
      </c>
      <c r="E10" t="s">
        <v>18</v>
      </c>
      <c r="F10" t="s">
        <v>19</v>
      </c>
      <c r="G10" s="3">
        <v>36.26</v>
      </c>
      <c r="H10" s="6">
        <v>2</v>
      </c>
      <c r="I10" s="3">
        <v>3.6259999999999999</v>
      </c>
      <c r="J10" s="3">
        <v>76.146000000000001</v>
      </c>
      <c r="K10" s="2">
        <v>43553</v>
      </c>
      <c r="L10" s="1">
        <v>0.71875</v>
      </c>
      <c r="M10" t="s">
        <v>29</v>
      </c>
      <c r="N10" s="3">
        <v>72.52</v>
      </c>
      <c r="O10" s="4">
        <v>4.7619047620000003</v>
      </c>
      <c r="P10" s="5">
        <v>3.6259999999999999</v>
      </c>
      <c r="Q10">
        <v>7.2</v>
      </c>
      <c r="R10" s="6">
        <f>DAY(SuperMarket_Analysis[[#This Row],[Date]])</f>
        <v>29</v>
      </c>
      <c r="S10" s="6" t="str">
        <f>TEXT(SuperMarket_Analysis[[#This Row],[Date]],"mmmm")</f>
        <v>March</v>
      </c>
      <c r="T10" s="6">
        <f>YEAR(SuperMarket_Analysis[[#This Row],[Date]])</f>
        <v>2019</v>
      </c>
    </row>
    <row r="11" spans="1:20" x14ac:dyDescent="0.3">
      <c r="A11" t="s">
        <v>37</v>
      </c>
      <c r="B11" t="s">
        <v>38</v>
      </c>
      <c r="C11" t="s">
        <v>39</v>
      </c>
      <c r="D11" t="s">
        <v>17</v>
      </c>
      <c r="E11" t="s">
        <v>18</v>
      </c>
      <c r="F11" t="s">
        <v>40</v>
      </c>
      <c r="G11" s="3">
        <v>54.84</v>
      </c>
      <c r="H11" s="6">
        <v>3</v>
      </c>
      <c r="I11" s="3">
        <v>8.2260000000000009</v>
      </c>
      <c r="J11" s="3">
        <v>172.74600000000001</v>
      </c>
      <c r="K11" s="2">
        <v>43480</v>
      </c>
      <c r="L11" s="1">
        <v>0.56041666666666667</v>
      </c>
      <c r="M11" t="s">
        <v>29</v>
      </c>
      <c r="N11" s="3">
        <v>164.52</v>
      </c>
      <c r="O11" s="4">
        <v>4.7619047620000003</v>
      </c>
      <c r="P11" s="5">
        <v>8.2260000000000009</v>
      </c>
      <c r="Q11">
        <v>5.9</v>
      </c>
      <c r="R11" s="6">
        <f>DAY(SuperMarket_Analysis[[#This Row],[Date]])</f>
        <v>15</v>
      </c>
      <c r="S11" s="6" t="str">
        <f>TEXT(SuperMarket_Analysis[[#This Row],[Date]],"mmmm")</f>
        <v>January</v>
      </c>
      <c r="T11" s="6">
        <f>YEAR(SuperMarket_Analysis[[#This Row],[Date]])</f>
        <v>2019</v>
      </c>
    </row>
    <row r="12" spans="1:20" x14ac:dyDescent="0.3">
      <c r="A12" t="s">
        <v>41</v>
      </c>
      <c r="B12" t="s">
        <v>38</v>
      </c>
      <c r="C12" t="s">
        <v>39</v>
      </c>
      <c r="D12" t="s">
        <v>17</v>
      </c>
      <c r="E12" t="s">
        <v>18</v>
      </c>
      <c r="F12" t="s">
        <v>42</v>
      </c>
      <c r="G12" s="3">
        <v>14.48</v>
      </c>
      <c r="H12" s="6">
        <v>4</v>
      </c>
      <c r="I12" s="3">
        <v>2.8959999999999999</v>
      </c>
      <c r="J12" s="3">
        <v>60.816000000000003</v>
      </c>
      <c r="K12" s="2">
        <v>43486</v>
      </c>
      <c r="L12" s="1">
        <v>0.75486111111111109</v>
      </c>
      <c r="M12" t="s">
        <v>20</v>
      </c>
      <c r="N12" s="3">
        <v>57.92</v>
      </c>
      <c r="O12" s="4">
        <v>4.7619047620000003</v>
      </c>
      <c r="P12" s="5">
        <v>2.8959999999999999</v>
      </c>
      <c r="Q12">
        <v>4.5</v>
      </c>
      <c r="R12" s="6">
        <f>DAY(SuperMarket_Analysis[[#This Row],[Date]])</f>
        <v>21</v>
      </c>
      <c r="S12" s="6" t="str">
        <f>TEXT(SuperMarket_Analysis[[#This Row],[Date]],"mmmm")</f>
        <v>January</v>
      </c>
      <c r="T12" s="6">
        <f>YEAR(SuperMarket_Analysis[[#This Row],[Date]])</f>
        <v>2019</v>
      </c>
    </row>
    <row r="13" spans="1:20" x14ac:dyDescent="0.3">
      <c r="A13" t="s">
        <v>43</v>
      </c>
      <c r="B13" t="s">
        <v>38</v>
      </c>
      <c r="C13" t="s">
        <v>39</v>
      </c>
      <c r="D13" t="s">
        <v>17</v>
      </c>
      <c r="E13" t="s">
        <v>18</v>
      </c>
      <c r="F13" t="s">
        <v>25</v>
      </c>
      <c r="G13" s="3">
        <v>25.51</v>
      </c>
      <c r="H13" s="6">
        <v>4</v>
      </c>
      <c r="I13" s="3">
        <v>5.1020000000000003</v>
      </c>
      <c r="J13" s="3">
        <v>107.142</v>
      </c>
      <c r="K13" s="2">
        <v>43521</v>
      </c>
      <c r="L13" s="1">
        <v>0.7104166666666667</v>
      </c>
      <c r="M13" t="s">
        <v>26</v>
      </c>
      <c r="N13" s="3">
        <v>102.04</v>
      </c>
      <c r="O13" s="4">
        <v>4.7619047620000003</v>
      </c>
      <c r="P13" s="5">
        <v>5.1020000000000003</v>
      </c>
      <c r="Q13">
        <v>6.8</v>
      </c>
      <c r="R13" s="6">
        <f>DAY(SuperMarket_Analysis[[#This Row],[Date]])</f>
        <v>25</v>
      </c>
      <c r="S13" s="6" t="str">
        <f>TEXT(SuperMarket_Analysis[[#This Row],[Date]],"mmmm")</f>
        <v>February</v>
      </c>
      <c r="T13" s="6">
        <f>YEAR(SuperMarket_Analysis[[#This Row],[Date]])</f>
        <v>2019</v>
      </c>
    </row>
    <row r="14" spans="1:20" x14ac:dyDescent="0.3">
      <c r="A14" t="s">
        <v>44</v>
      </c>
      <c r="B14" t="s">
        <v>15</v>
      </c>
      <c r="C14" t="s">
        <v>16</v>
      </c>
      <c r="D14" t="s">
        <v>17</v>
      </c>
      <c r="E14" t="s">
        <v>18</v>
      </c>
      <c r="F14" t="s">
        <v>25</v>
      </c>
      <c r="G14" s="3">
        <v>46.95</v>
      </c>
      <c r="H14" s="6">
        <v>5</v>
      </c>
      <c r="I14" s="3">
        <v>11.737500000000001</v>
      </c>
      <c r="J14" s="3">
        <v>246.48750000000001</v>
      </c>
      <c r="K14" s="2">
        <v>43539</v>
      </c>
      <c r="L14" s="1">
        <v>0.43402777777777779</v>
      </c>
      <c r="M14" t="s">
        <v>20</v>
      </c>
      <c r="N14" s="3">
        <v>234.75</v>
      </c>
      <c r="O14" s="4">
        <v>4.7619047620000003</v>
      </c>
      <c r="P14" s="5">
        <v>11.737500000000001</v>
      </c>
      <c r="Q14">
        <v>7.1</v>
      </c>
      <c r="R14" s="6">
        <f>DAY(SuperMarket_Analysis[[#This Row],[Date]])</f>
        <v>15</v>
      </c>
      <c r="S14" s="6" t="str">
        <f>TEXT(SuperMarket_Analysis[[#This Row],[Date]],"mmmm")</f>
        <v>March</v>
      </c>
      <c r="T14" s="6">
        <f>YEAR(SuperMarket_Analysis[[#This Row],[Date]])</f>
        <v>2019</v>
      </c>
    </row>
    <row r="15" spans="1:20" x14ac:dyDescent="0.3">
      <c r="A15" t="s">
        <v>45</v>
      </c>
      <c r="B15" t="s">
        <v>15</v>
      </c>
      <c r="C15" t="s">
        <v>16</v>
      </c>
      <c r="D15" t="s">
        <v>17</v>
      </c>
      <c r="E15" t="s">
        <v>18</v>
      </c>
      <c r="F15" t="s">
        <v>40</v>
      </c>
      <c r="G15" s="3">
        <v>43.19</v>
      </c>
      <c r="H15" s="6">
        <v>10</v>
      </c>
      <c r="I15" s="3">
        <v>21.594999999999999</v>
      </c>
      <c r="J15" s="3">
        <v>453.495</v>
      </c>
      <c r="K15" s="2">
        <v>43513</v>
      </c>
      <c r="L15" s="1">
        <v>0.7</v>
      </c>
      <c r="M15" t="s">
        <v>20</v>
      </c>
      <c r="N15" s="3">
        <v>431.9</v>
      </c>
      <c r="O15" s="4">
        <v>4.7619047620000003</v>
      </c>
      <c r="P15" s="5">
        <v>21.594999999999999</v>
      </c>
      <c r="Q15">
        <v>8.1999999999999993</v>
      </c>
      <c r="R15" s="6">
        <f>DAY(SuperMarket_Analysis[[#This Row],[Date]])</f>
        <v>17</v>
      </c>
      <c r="S15" s="6" t="str">
        <f>TEXT(SuperMarket_Analysis[[#This Row],[Date]],"mmmm")</f>
        <v>February</v>
      </c>
      <c r="T15" s="6">
        <f>YEAR(SuperMarket_Analysis[[#This Row],[Date]])</f>
        <v>2019</v>
      </c>
    </row>
    <row r="16" spans="1:20" x14ac:dyDescent="0.3">
      <c r="A16" t="s">
        <v>46</v>
      </c>
      <c r="B16" t="s">
        <v>15</v>
      </c>
      <c r="C16" t="s">
        <v>16</v>
      </c>
      <c r="D16" t="s">
        <v>17</v>
      </c>
      <c r="E16" t="s">
        <v>18</v>
      </c>
      <c r="F16" t="s">
        <v>19</v>
      </c>
      <c r="G16" s="3">
        <v>71.38</v>
      </c>
      <c r="H16" s="6">
        <v>10</v>
      </c>
      <c r="I16" s="3">
        <v>35.69</v>
      </c>
      <c r="J16" s="3">
        <v>749.49</v>
      </c>
      <c r="K16" s="2">
        <v>43546</v>
      </c>
      <c r="L16" s="1">
        <v>0.80625000000000002</v>
      </c>
      <c r="M16" t="s">
        <v>26</v>
      </c>
      <c r="N16" s="3">
        <v>713.8</v>
      </c>
      <c r="O16" s="4">
        <v>4.7619047620000003</v>
      </c>
      <c r="P16" s="5">
        <v>35.69</v>
      </c>
      <c r="Q16">
        <v>5.7</v>
      </c>
      <c r="R16" s="6">
        <f>DAY(SuperMarket_Analysis[[#This Row],[Date]])</f>
        <v>22</v>
      </c>
      <c r="S16" s="6" t="str">
        <f>TEXT(SuperMarket_Analysis[[#This Row],[Date]],"mmmm")</f>
        <v>March</v>
      </c>
      <c r="T16" s="6">
        <f>YEAR(SuperMarket_Analysis[[#This Row],[Date]])</f>
        <v>2019</v>
      </c>
    </row>
    <row r="17" spans="1:20" x14ac:dyDescent="0.3">
      <c r="A17" t="s">
        <v>47</v>
      </c>
      <c r="B17" t="s">
        <v>38</v>
      </c>
      <c r="C17" t="s">
        <v>39</v>
      </c>
      <c r="D17" t="s">
        <v>17</v>
      </c>
      <c r="E17" t="s">
        <v>18</v>
      </c>
      <c r="F17" t="s">
        <v>32</v>
      </c>
      <c r="G17" s="3">
        <v>93.72</v>
      </c>
      <c r="H17" s="6">
        <v>6</v>
      </c>
      <c r="I17" s="3">
        <v>28.116</v>
      </c>
      <c r="J17" s="3">
        <v>590.43600000000004</v>
      </c>
      <c r="K17" s="2">
        <v>43490</v>
      </c>
      <c r="L17" s="1">
        <v>0.67986111111111114</v>
      </c>
      <c r="M17" t="s">
        <v>26</v>
      </c>
      <c r="N17" s="3">
        <v>562.32000000000005</v>
      </c>
      <c r="O17" s="4">
        <v>4.7619047620000003</v>
      </c>
      <c r="P17" s="5">
        <v>28.116</v>
      </c>
      <c r="Q17">
        <v>4.5</v>
      </c>
      <c r="R17" s="6">
        <f>DAY(SuperMarket_Analysis[[#This Row],[Date]])</f>
        <v>25</v>
      </c>
      <c r="S17" s="6" t="str">
        <f>TEXT(SuperMarket_Analysis[[#This Row],[Date]],"mmmm")</f>
        <v>January</v>
      </c>
      <c r="T17" s="6">
        <f>YEAR(SuperMarket_Analysis[[#This Row],[Date]])</f>
        <v>2019</v>
      </c>
    </row>
    <row r="18" spans="1:20" x14ac:dyDescent="0.3">
      <c r="A18" t="s">
        <v>48</v>
      </c>
      <c r="B18" t="s">
        <v>15</v>
      </c>
      <c r="C18" t="s">
        <v>16</v>
      </c>
      <c r="D18" t="s">
        <v>17</v>
      </c>
      <c r="E18" t="s">
        <v>18</v>
      </c>
      <c r="F18" t="s">
        <v>19</v>
      </c>
      <c r="G18" s="3">
        <v>68.930000000000007</v>
      </c>
      <c r="H18" s="6">
        <v>7</v>
      </c>
      <c r="I18" s="3">
        <v>24.125499999999999</v>
      </c>
      <c r="J18" s="3">
        <v>506.63549999999998</v>
      </c>
      <c r="K18" s="2">
        <v>43539</v>
      </c>
      <c r="L18" s="1">
        <v>0.46041666666666664</v>
      </c>
      <c r="M18" t="s">
        <v>29</v>
      </c>
      <c r="N18" s="3">
        <v>482.51</v>
      </c>
      <c r="O18" s="4">
        <v>4.7619047620000003</v>
      </c>
      <c r="P18" s="5">
        <v>24.125499999999999</v>
      </c>
      <c r="Q18">
        <v>4.5999999999999996</v>
      </c>
      <c r="R18" s="6">
        <f>DAY(SuperMarket_Analysis[[#This Row],[Date]])</f>
        <v>15</v>
      </c>
      <c r="S18" s="6" t="str">
        <f>TEXT(SuperMarket_Analysis[[#This Row],[Date]],"mmmm")</f>
        <v>March</v>
      </c>
      <c r="T18" s="6">
        <f>YEAR(SuperMarket_Analysis[[#This Row],[Date]])</f>
        <v>2019</v>
      </c>
    </row>
    <row r="19" spans="1:20" x14ac:dyDescent="0.3">
      <c r="A19" t="s">
        <v>49</v>
      </c>
      <c r="B19" t="s">
        <v>15</v>
      </c>
      <c r="C19" t="s">
        <v>16</v>
      </c>
      <c r="D19" t="s">
        <v>17</v>
      </c>
      <c r="E19" t="s">
        <v>18</v>
      </c>
      <c r="F19" t="s">
        <v>32</v>
      </c>
      <c r="G19" s="3">
        <v>72.61</v>
      </c>
      <c r="H19" s="6">
        <v>6</v>
      </c>
      <c r="I19" s="3">
        <v>21.783000000000001</v>
      </c>
      <c r="J19" s="3">
        <v>457.44299999999998</v>
      </c>
      <c r="K19" s="2">
        <v>43521</v>
      </c>
      <c r="L19" s="1">
        <v>0.44374999999999998</v>
      </c>
      <c r="M19" t="s">
        <v>29</v>
      </c>
      <c r="N19" s="3">
        <v>435.66</v>
      </c>
      <c r="O19" s="4">
        <v>4.7619047620000003</v>
      </c>
      <c r="P19" s="5">
        <v>21.783000000000001</v>
      </c>
      <c r="Q19">
        <v>6.9</v>
      </c>
      <c r="R19" s="6">
        <f>DAY(SuperMarket_Analysis[[#This Row],[Date]])</f>
        <v>25</v>
      </c>
      <c r="S19" s="6" t="str">
        <f>TEXT(SuperMarket_Analysis[[#This Row],[Date]],"mmmm")</f>
        <v>February</v>
      </c>
      <c r="T19" s="6">
        <f>YEAR(SuperMarket_Analysis[[#This Row],[Date]])</f>
        <v>2019</v>
      </c>
    </row>
    <row r="20" spans="1:20" x14ac:dyDescent="0.3">
      <c r="A20" t="s">
        <v>50</v>
      </c>
      <c r="B20" t="s">
        <v>15</v>
      </c>
      <c r="C20" t="s">
        <v>16</v>
      </c>
      <c r="D20" t="s">
        <v>17</v>
      </c>
      <c r="E20" t="s">
        <v>18</v>
      </c>
      <c r="F20" t="s">
        <v>40</v>
      </c>
      <c r="G20" s="3">
        <v>54.67</v>
      </c>
      <c r="H20" s="6">
        <v>3</v>
      </c>
      <c r="I20" s="3">
        <v>8.2004999999999999</v>
      </c>
      <c r="J20" s="3">
        <v>172.2105</v>
      </c>
      <c r="K20" s="2">
        <v>43493</v>
      </c>
      <c r="L20" s="1">
        <v>0.75</v>
      </c>
      <c r="M20" t="s">
        <v>29</v>
      </c>
      <c r="N20" s="3">
        <v>164.01</v>
      </c>
      <c r="O20" s="4">
        <v>4.7619047620000003</v>
      </c>
      <c r="P20" s="5">
        <v>8.2004999999999999</v>
      </c>
      <c r="Q20">
        <v>8.6</v>
      </c>
      <c r="R20" s="6">
        <f>DAY(SuperMarket_Analysis[[#This Row],[Date]])</f>
        <v>28</v>
      </c>
      <c r="S20" s="6" t="str">
        <f>TEXT(SuperMarket_Analysis[[#This Row],[Date]],"mmmm")</f>
        <v>January</v>
      </c>
      <c r="T20" s="6">
        <f>YEAR(SuperMarket_Analysis[[#This Row],[Date]])</f>
        <v>2019</v>
      </c>
    </row>
    <row r="21" spans="1:20" x14ac:dyDescent="0.3">
      <c r="A21" t="s">
        <v>51</v>
      </c>
      <c r="B21" t="s">
        <v>38</v>
      </c>
      <c r="C21" t="s">
        <v>39</v>
      </c>
      <c r="D21" t="s">
        <v>17</v>
      </c>
      <c r="E21" t="s">
        <v>18</v>
      </c>
      <c r="F21" t="s">
        <v>28</v>
      </c>
      <c r="G21" s="3">
        <v>40.299999999999997</v>
      </c>
      <c r="H21" s="6">
        <v>2</v>
      </c>
      <c r="I21" s="3">
        <v>4.03</v>
      </c>
      <c r="J21" s="3">
        <v>84.63</v>
      </c>
      <c r="K21" s="2">
        <v>43539</v>
      </c>
      <c r="L21" s="1">
        <v>0.64583333333333337</v>
      </c>
      <c r="M21" t="s">
        <v>20</v>
      </c>
      <c r="N21" s="3">
        <v>80.599999999999994</v>
      </c>
      <c r="O21" s="4">
        <v>4.7619047620000003</v>
      </c>
      <c r="P21" s="5">
        <v>4.03</v>
      </c>
      <c r="Q21">
        <v>4.4000000000000004</v>
      </c>
      <c r="R21" s="6">
        <f>DAY(SuperMarket_Analysis[[#This Row],[Date]])</f>
        <v>15</v>
      </c>
      <c r="S21" s="6" t="str">
        <f>TEXT(SuperMarket_Analysis[[#This Row],[Date]],"mmmm")</f>
        <v>March</v>
      </c>
      <c r="T21" s="6">
        <f>YEAR(SuperMarket_Analysis[[#This Row],[Date]])</f>
        <v>2019</v>
      </c>
    </row>
    <row r="22" spans="1:20" x14ac:dyDescent="0.3">
      <c r="A22" t="s">
        <v>52</v>
      </c>
      <c r="B22" t="s">
        <v>22</v>
      </c>
      <c r="C22" t="s">
        <v>23</v>
      </c>
      <c r="D22" t="s">
        <v>17</v>
      </c>
      <c r="E22" t="s">
        <v>18</v>
      </c>
      <c r="F22" t="s">
        <v>25</v>
      </c>
      <c r="G22" s="3">
        <v>86.04</v>
      </c>
      <c r="H22" s="6">
        <v>5</v>
      </c>
      <c r="I22" s="3">
        <v>21.51</v>
      </c>
      <c r="J22" s="3">
        <v>451.71</v>
      </c>
      <c r="K22" s="2">
        <v>43480</v>
      </c>
      <c r="L22" s="1">
        <v>0.47499999999999998</v>
      </c>
      <c r="M22" t="s">
        <v>20</v>
      </c>
      <c r="N22" s="3">
        <v>430.2</v>
      </c>
      <c r="O22" s="4">
        <v>4.7619047620000003</v>
      </c>
      <c r="P22" s="5">
        <v>21.51</v>
      </c>
      <c r="Q22">
        <v>4.8</v>
      </c>
      <c r="R22" s="6">
        <f>DAY(SuperMarket_Analysis[[#This Row],[Date]])</f>
        <v>15</v>
      </c>
      <c r="S22" s="6" t="str">
        <f>TEXT(SuperMarket_Analysis[[#This Row],[Date]],"mmmm")</f>
        <v>January</v>
      </c>
      <c r="T22" s="6">
        <f>YEAR(SuperMarket_Analysis[[#This Row],[Date]])</f>
        <v>2019</v>
      </c>
    </row>
    <row r="23" spans="1:20" x14ac:dyDescent="0.3">
      <c r="A23" t="s">
        <v>53</v>
      </c>
      <c r="B23" t="s">
        <v>38</v>
      </c>
      <c r="C23" t="s">
        <v>39</v>
      </c>
      <c r="D23" t="s">
        <v>17</v>
      </c>
      <c r="E23" t="s">
        <v>18</v>
      </c>
      <c r="F23" t="s">
        <v>19</v>
      </c>
      <c r="G23" s="3">
        <v>87.98</v>
      </c>
      <c r="H23" s="6">
        <v>3</v>
      </c>
      <c r="I23" s="3">
        <v>13.196999999999999</v>
      </c>
      <c r="J23" s="3">
        <v>277.137</v>
      </c>
      <c r="K23" s="2">
        <v>43547</v>
      </c>
      <c r="L23" s="1">
        <v>0.44444444444444442</v>
      </c>
      <c r="M23" t="s">
        <v>20</v>
      </c>
      <c r="N23" s="3">
        <v>263.94</v>
      </c>
      <c r="O23" s="4">
        <v>4.7619047620000003</v>
      </c>
      <c r="P23" s="5">
        <v>13.196999999999999</v>
      </c>
      <c r="Q23">
        <v>5.0999999999999996</v>
      </c>
      <c r="R23" s="6">
        <f>DAY(SuperMarket_Analysis[[#This Row],[Date]])</f>
        <v>23</v>
      </c>
      <c r="S23" s="6" t="str">
        <f>TEXT(SuperMarket_Analysis[[#This Row],[Date]],"mmmm")</f>
        <v>March</v>
      </c>
      <c r="T23" s="6">
        <f>YEAR(SuperMarket_Analysis[[#This Row],[Date]])</f>
        <v>2019</v>
      </c>
    </row>
    <row r="24" spans="1:20" x14ac:dyDescent="0.3">
      <c r="A24" t="s">
        <v>54</v>
      </c>
      <c r="B24" t="s">
        <v>38</v>
      </c>
      <c r="C24" t="s">
        <v>39</v>
      </c>
      <c r="D24" t="s">
        <v>17</v>
      </c>
      <c r="E24" t="s">
        <v>18</v>
      </c>
      <c r="F24" t="s">
        <v>28</v>
      </c>
      <c r="G24" s="3">
        <v>33.200000000000003</v>
      </c>
      <c r="H24" s="6">
        <v>2</v>
      </c>
      <c r="I24" s="3">
        <v>3.32</v>
      </c>
      <c r="J24" s="3">
        <v>69.72</v>
      </c>
      <c r="K24" s="2">
        <v>43482</v>
      </c>
      <c r="L24" s="1">
        <v>0.51388888888888884</v>
      </c>
      <c r="M24" t="s">
        <v>29</v>
      </c>
      <c r="N24" s="3">
        <v>66.400000000000006</v>
      </c>
      <c r="O24" s="4">
        <v>4.7619047620000003</v>
      </c>
      <c r="P24" s="5">
        <v>3.32</v>
      </c>
      <c r="Q24">
        <v>4.4000000000000004</v>
      </c>
      <c r="R24" s="6">
        <f>DAY(SuperMarket_Analysis[[#This Row],[Date]])</f>
        <v>17</v>
      </c>
      <c r="S24" s="6" t="str">
        <f>TEXT(SuperMarket_Analysis[[#This Row],[Date]],"mmmm")</f>
        <v>January</v>
      </c>
      <c r="T24" s="6">
        <f>YEAR(SuperMarket_Analysis[[#This Row],[Date]])</f>
        <v>2019</v>
      </c>
    </row>
    <row r="25" spans="1:20" x14ac:dyDescent="0.3">
      <c r="A25" t="s">
        <v>55</v>
      </c>
      <c r="B25" t="s">
        <v>15</v>
      </c>
      <c r="C25" t="s">
        <v>16</v>
      </c>
      <c r="D25" t="s">
        <v>17</v>
      </c>
      <c r="E25" t="s">
        <v>18</v>
      </c>
      <c r="F25" t="s">
        <v>25</v>
      </c>
      <c r="G25" s="3">
        <v>34.56</v>
      </c>
      <c r="H25" s="6">
        <v>5</v>
      </c>
      <c r="I25" s="3">
        <v>8.64</v>
      </c>
      <c r="J25" s="3">
        <v>181.44</v>
      </c>
      <c r="K25" s="2">
        <v>43540</v>
      </c>
      <c r="L25" s="1">
        <v>0.46875</v>
      </c>
      <c r="M25" t="s">
        <v>20</v>
      </c>
      <c r="N25" s="3">
        <v>172.8</v>
      </c>
      <c r="O25" s="4">
        <v>4.7619047620000003</v>
      </c>
      <c r="P25" s="5">
        <v>8.64</v>
      </c>
      <c r="Q25">
        <v>9.9</v>
      </c>
      <c r="R25" s="6">
        <f>DAY(SuperMarket_Analysis[[#This Row],[Date]])</f>
        <v>16</v>
      </c>
      <c r="S25" s="6" t="str">
        <f>TEXT(SuperMarket_Analysis[[#This Row],[Date]],"mmmm")</f>
        <v>March</v>
      </c>
      <c r="T25" s="6">
        <f>YEAR(SuperMarket_Analysis[[#This Row],[Date]])</f>
        <v>2019</v>
      </c>
    </row>
    <row r="26" spans="1:20" x14ac:dyDescent="0.3">
      <c r="A26" t="s">
        <v>56</v>
      </c>
      <c r="B26" t="s">
        <v>15</v>
      </c>
      <c r="C26" t="s">
        <v>16</v>
      </c>
      <c r="D26" t="s">
        <v>17</v>
      </c>
      <c r="E26" t="s">
        <v>18</v>
      </c>
      <c r="F26" t="s">
        <v>32</v>
      </c>
      <c r="G26" s="3">
        <v>88.63</v>
      </c>
      <c r="H26" s="6">
        <v>3</v>
      </c>
      <c r="I26" s="3">
        <v>13.294499999999999</v>
      </c>
      <c r="J26" s="3">
        <v>279.18450000000001</v>
      </c>
      <c r="K26" s="2">
        <v>43523</v>
      </c>
      <c r="L26" s="1">
        <v>0.73333333333333328</v>
      </c>
      <c r="M26" t="s">
        <v>20</v>
      </c>
      <c r="N26" s="3">
        <v>265.89</v>
      </c>
      <c r="O26" s="4">
        <v>4.7619047620000003</v>
      </c>
      <c r="P26" s="5">
        <v>13.294499999999999</v>
      </c>
      <c r="Q26">
        <v>6</v>
      </c>
      <c r="R26" s="6">
        <f>DAY(SuperMarket_Analysis[[#This Row],[Date]])</f>
        <v>27</v>
      </c>
      <c r="S26" s="6" t="str">
        <f>TEXT(SuperMarket_Analysis[[#This Row],[Date]],"mmmm")</f>
        <v>February</v>
      </c>
      <c r="T26" s="6">
        <f>YEAR(SuperMarket_Analysis[[#This Row],[Date]])</f>
        <v>2019</v>
      </c>
    </row>
    <row r="27" spans="1:20" x14ac:dyDescent="0.3">
      <c r="A27" t="s">
        <v>57</v>
      </c>
      <c r="B27" t="s">
        <v>15</v>
      </c>
      <c r="C27" t="s">
        <v>16</v>
      </c>
      <c r="D27" t="s">
        <v>17</v>
      </c>
      <c r="E27" t="s">
        <v>18</v>
      </c>
      <c r="F27" t="s">
        <v>28</v>
      </c>
      <c r="G27" s="3">
        <v>52.59</v>
      </c>
      <c r="H27" s="6">
        <v>8</v>
      </c>
      <c r="I27" s="3">
        <v>21.036000000000001</v>
      </c>
      <c r="J27" s="3">
        <v>441.75599999999997</v>
      </c>
      <c r="K27" s="2">
        <v>43543</v>
      </c>
      <c r="L27" s="1">
        <v>0.80555555555555558</v>
      </c>
      <c r="M27" t="s">
        <v>29</v>
      </c>
      <c r="N27" s="3">
        <v>420.72</v>
      </c>
      <c r="O27" s="4">
        <v>4.7619047620000003</v>
      </c>
      <c r="P27" s="5">
        <v>21.036000000000001</v>
      </c>
      <c r="Q27">
        <v>8.5</v>
      </c>
      <c r="R27" s="6">
        <f>DAY(SuperMarket_Analysis[[#This Row],[Date]])</f>
        <v>19</v>
      </c>
      <c r="S27" s="6" t="str">
        <f>TEXT(SuperMarket_Analysis[[#This Row],[Date]],"mmmm")</f>
        <v>March</v>
      </c>
      <c r="T27" s="6">
        <f>YEAR(SuperMarket_Analysis[[#This Row],[Date]])</f>
        <v>2019</v>
      </c>
    </row>
    <row r="28" spans="1:20" x14ac:dyDescent="0.3">
      <c r="A28" t="s">
        <v>58</v>
      </c>
      <c r="B28" t="s">
        <v>38</v>
      </c>
      <c r="C28" t="s">
        <v>39</v>
      </c>
      <c r="D28" t="s">
        <v>17</v>
      </c>
      <c r="E28" t="s">
        <v>18</v>
      </c>
      <c r="F28" t="s">
        <v>42</v>
      </c>
      <c r="G28" s="3">
        <v>33.520000000000003</v>
      </c>
      <c r="H28" s="6">
        <v>1</v>
      </c>
      <c r="I28" s="3">
        <v>1.6759999999999999</v>
      </c>
      <c r="J28" s="3">
        <v>35.195999999999998</v>
      </c>
      <c r="K28" s="2">
        <v>43546</v>
      </c>
      <c r="L28" s="1">
        <v>0.64652777777777781</v>
      </c>
      <c r="M28" t="s">
        <v>26</v>
      </c>
      <c r="N28" s="3">
        <v>33.520000000000003</v>
      </c>
      <c r="O28" s="4">
        <v>4.7619047620000003</v>
      </c>
      <c r="P28" s="5">
        <v>1.6759999999999999</v>
      </c>
      <c r="Q28">
        <v>6.7</v>
      </c>
      <c r="R28" s="6">
        <f>DAY(SuperMarket_Analysis[[#This Row],[Date]])</f>
        <v>22</v>
      </c>
      <c r="S28" s="6" t="str">
        <f>TEXT(SuperMarket_Analysis[[#This Row],[Date]],"mmmm")</f>
        <v>March</v>
      </c>
      <c r="T28" s="6">
        <f>YEAR(SuperMarket_Analysis[[#This Row],[Date]])</f>
        <v>2019</v>
      </c>
    </row>
    <row r="29" spans="1:20" x14ac:dyDescent="0.3">
      <c r="A29" t="s">
        <v>59</v>
      </c>
      <c r="B29" t="s">
        <v>15</v>
      </c>
      <c r="C29" t="s">
        <v>16</v>
      </c>
      <c r="D29" t="s">
        <v>17</v>
      </c>
      <c r="E29" t="s">
        <v>18</v>
      </c>
      <c r="F29" t="s">
        <v>42</v>
      </c>
      <c r="G29" s="3">
        <v>87.67</v>
      </c>
      <c r="H29" s="6">
        <v>2</v>
      </c>
      <c r="I29" s="3">
        <v>8.7669999999999995</v>
      </c>
      <c r="J29" s="3">
        <v>184.107</v>
      </c>
      <c r="K29" s="2">
        <v>43490</v>
      </c>
      <c r="L29" s="1">
        <v>0.51180555555555551</v>
      </c>
      <c r="M29" t="s">
        <v>29</v>
      </c>
      <c r="N29" s="3">
        <v>175.34</v>
      </c>
      <c r="O29" s="4">
        <v>4.7619047620000003</v>
      </c>
      <c r="P29" s="5">
        <v>8.7669999999999995</v>
      </c>
      <c r="Q29">
        <v>7.7</v>
      </c>
      <c r="R29" s="6">
        <f>DAY(SuperMarket_Analysis[[#This Row],[Date]])</f>
        <v>25</v>
      </c>
      <c r="S29" s="6" t="str">
        <f>TEXT(SuperMarket_Analysis[[#This Row],[Date]],"mmmm")</f>
        <v>January</v>
      </c>
      <c r="T29" s="6">
        <f>YEAR(SuperMarket_Analysis[[#This Row],[Date]])</f>
        <v>2019</v>
      </c>
    </row>
    <row r="30" spans="1:20" x14ac:dyDescent="0.3">
      <c r="A30" t="s">
        <v>60</v>
      </c>
      <c r="B30" t="s">
        <v>38</v>
      </c>
      <c r="C30" t="s">
        <v>39</v>
      </c>
      <c r="D30" t="s">
        <v>17</v>
      </c>
      <c r="E30" t="s">
        <v>18</v>
      </c>
      <c r="F30" t="s">
        <v>40</v>
      </c>
      <c r="G30" s="3">
        <v>88.36</v>
      </c>
      <c r="H30" s="6">
        <v>5</v>
      </c>
      <c r="I30" s="3">
        <v>22.09</v>
      </c>
      <c r="J30" s="3">
        <v>463.89</v>
      </c>
      <c r="K30" s="2">
        <v>43524</v>
      </c>
      <c r="L30" s="1">
        <v>0.82499999999999996</v>
      </c>
      <c r="M30" t="s">
        <v>26</v>
      </c>
      <c r="N30" s="3">
        <v>441.8</v>
      </c>
      <c r="O30" s="4">
        <v>4.7619047620000003</v>
      </c>
      <c r="P30" s="5">
        <v>22.09</v>
      </c>
      <c r="Q30">
        <v>9.6</v>
      </c>
      <c r="R30" s="6">
        <f>DAY(SuperMarket_Analysis[[#This Row],[Date]])</f>
        <v>28</v>
      </c>
      <c r="S30" s="6" t="str">
        <f>TEXT(SuperMarket_Analysis[[#This Row],[Date]],"mmmm")</f>
        <v>February</v>
      </c>
      <c r="T30" s="6">
        <f>YEAR(SuperMarket_Analysis[[#This Row],[Date]])</f>
        <v>2019</v>
      </c>
    </row>
    <row r="31" spans="1:20" x14ac:dyDescent="0.3">
      <c r="A31" t="s">
        <v>61</v>
      </c>
      <c r="B31" t="s">
        <v>15</v>
      </c>
      <c r="C31" t="s">
        <v>16</v>
      </c>
      <c r="D31" t="s">
        <v>17</v>
      </c>
      <c r="E31" t="s">
        <v>18</v>
      </c>
      <c r="F31" t="s">
        <v>19</v>
      </c>
      <c r="G31" s="3">
        <v>24.89</v>
      </c>
      <c r="H31" s="6">
        <v>9</v>
      </c>
      <c r="I31" s="3">
        <v>11.2005</v>
      </c>
      <c r="J31" s="3">
        <v>235.2105</v>
      </c>
      <c r="K31" s="2">
        <v>43551</v>
      </c>
      <c r="L31" s="1">
        <v>0.65</v>
      </c>
      <c r="M31" t="s">
        <v>26</v>
      </c>
      <c r="N31" s="3">
        <v>224.01</v>
      </c>
      <c r="O31" s="4">
        <v>4.7619047620000003</v>
      </c>
      <c r="P31" s="5">
        <v>11.2005</v>
      </c>
      <c r="Q31">
        <v>7.4</v>
      </c>
      <c r="R31" s="6">
        <f>DAY(SuperMarket_Analysis[[#This Row],[Date]])</f>
        <v>27</v>
      </c>
      <c r="S31" s="6" t="str">
        <f>TEXT(SuperMarket_Analysis[[#This Row],[Date]],"mmmm")</f>
        <v>March</v>
      </c>
      <c r="T31" s="6">
        <f>YEAR(SuperMarket_Analysis[[#This Row],[Date]])</f>
        <v>2019</v>
      </c>
    </row>
    <row r="32" spans="1:20" x14ac:dyDescent="0.3">
      <c r="A32" t="s">
        <v>62</v>
      </c>
      <c r="B32" t="s">
        <v>38</v>
      </c>
      <c r="C32" t="s">
        <v>39</v>
      </c>
      <c r="D32" t="s">
        <v>17</v>
      </c>
      <c r="E32" t="s">
        <v>18</v>
      </c>
      <c r="F32" t="s">
        <v>42</v>
      </c>
      <c r="G32" s="3">
        <v>94.13</v>
      </c>
      <c r="H32" s="6">
        <v>5</v>
      </c>
      <c r="I32" s="3">
        <v>23.532499999999999</v>
      </c>
      <c r="J32" s="3">
        <v>494.1825</v>
      </c>
      <c r="K32" s="2">
        <v>43485</v>
      </c>
      <c r="L32" s="1">
        <v>0.81874999999999998</v>
      </c>
      <c r="M32" t="s">
        <v>29</v>
      </c>
      <c r="N32" s="3">
        <v>470.65</v>
      </c>
      <c r="O32" s="4">
        <v>4.7619047620000003</v>
      </c>
      <c r="P32" s="5">
        <v>23.532499999999999</v>
      </c>
      <c r="Q32">
        <v>4.8</v>
      </c>
      <c r="R32" s="6">
        <f>DAY(SuperMarket_Analysis[[#This Row],[Date]])</f>
        <v>20</v>
      </c>
      <c r="S32" s="6" t="str">
        <f>TEXT(SuperMarket_Analysis[[#This Row],[Date]],"mmmm")</f>
        <v>January</v>
      </c>
      <c r="T32" s="6">
        <f>YEAR(SuperMarket_Analysis[[#This Row],[Date]])</f>
        <v>2019</v>
      </c>
    </row>
    <row r="33" spans="1:20" x14ac:dyDescent="0.3">
      <c r="A33" t="s">
        <v>63</v>
      </c>
      <c r="B33" t="s">
        <v>38</v>
      </c>
      <c r="C33" t="s">
        <v>39</v>
      </c>
      <c r="D33" t="s">
        <v>17</v>
      </c>
      <c r="E33" t="s">
        <v>18</v>
      </c>
      <c r="F33" t="s">
        <v>32</v>
      </c>
      <c r="G33" s="3">
        <v>78.069999999999993</v>
      </c>
      <c r="H33" s="6">
        <v>9</v>
      </c>
      <c r="I33" s="3">
        <v>35.131500000000003</v>
      </c>
      <c r="J33" s="3">
        <v>737.76149999999996</v>
      </c>
      <c r="K33" s="2">
        <v>43511</v>
      </c>
      <c r="L33" s="1">
        <v>0.52986111111111112</v>
      </c>
      <c r="M33" t="s">
        <v>26</v>
      </c>
      <c r="N33" s="3">
        <v>702.63</v>
      </c>
      <c r="O33" s="4">
        <v>4.7619047620000003</v>
      </c>
      <c r="P33" s="5">
        <v>35.131500000000003</v>
      </c>
      <c r="Q33">
        <v>4.5</v>
      </c>
      <c r="R33" s="6">
        <f>DAY(SuperMarket_Analysis[[#This Row],[Date]])</f>
        <v>15</v>
      </c>
      <c r="S33" s="6" t="str">
        <f>TEXT(SuperMarket_Analysis[[#This Row],[Date]],"mmmm")</f>
        <v>February</v>
      </c>
      <c r="T33" s="6">
        <f>YEAR(SuperMarket_Analysis[[#This Row],[Date]])</f>
        <v>2019</v>
      </c>
    </row>
    <row r="34" spans="1:20" x14ac:dyDescent="0.3">
      <c r="A34" t="s">
        <v>64</v>
      </c>
      <c r="B34" t="s">
        <v>38</v>
      </c>
      <c r="C34" t="s">
        <v>39</v>
      </c>
      <c r="D34" t="s">
        <v>17</v>
      </c>
      <c r="E34" t="s">
        <v>18</v>
      </c>
      <c r="F34" t="s">
        <v>32</v>
      </c>
      <c r="G34" s="3">
        <v>83.78</v>
      </c>
      <c r="H34" s="6">
        <v>8</v>
      </c>
      <c r="I34" s="3">
        <v>33.512</v>
      </c>
      <c r="J34" s="3">
        <v>703.75199999999995</v>
      </c>
      <c r="K34" s="2">
        <v>43520</v>
      </c>
      <c r="L34" s="1">
        <v>0.61736111111111114</v>
      </c>
      <c r="M34" t="s">
        <v>26</v>
      </c>
      <c r="N34" s="3">
        <v>670.24</v>
      </c>
      <c r="O34" s="4">
        <v>4.7619047620000003</v>
      </c>
      <c r="P34" s="5">
        <v>33.512</v>
      </c>
      <c r="Q34">
        <v>5.0999999999999996</v>
      </c>
      <c r="R34" s="6">
        <f>DAY(SuperMarket_Analysis[[#This Row],[Date]])</f>
        <v>24</v>
      </c>
      <c r="S34" s="6" t="str">
        <f>TEXT(SuperMarket_Analysis[[#This Row],[Date]],"mmmm")</f>
        <v>February</v>
      </c>
      <c r="T34" s="6">
        <f>YEAR(SuperMarket_Analysis[[#This Row],[Date]])</f>
        <v>2019</v>
      </c>
    </row>
    <row r="35" spans="1:20" x14ac:dyDescent="0.3">
      <c r="A35" t="s">
        <v>65</v>
      </c>
      <c r="B35" t="s">
        <v>15</v>
      </c>
      <c r="C35" t="s">
        <v>16</v>
      </c>
      <c r="D35" t="s">
        <v>17</v>
      </c>
      <c r="E35" t="s">
        <v>18</v>
      </c>
      <c r="F35" t="s">
        <v>19</v>
      </c>
      <c r="G35" s="3">
        <v>96.58</v>
      </c>
      <c r="H35" s="6">
        <v>2</v>
      </c>
      <c r="I35" s="3">
        <v>9.6579999999999995</v>
      </c>
      <c r="J35" s="3">
        <v>202.81800000000001</v>
      </c>
      <c r="K35" s="2">
        <v>43510</v>
      </c>
      <c r="L35" s="1">
        <v>0.42499999999999999</v>
      </c>
      <c r="M35" t="s">
        <v>29</v>
      </c>
      <c r="N35" s="3">
        <v>193.16</v>
      </c>
      <c r="O35" s="4">
        <v>4.7619047620000003</v>
      </c>
      <c r="P35" s="5">
        <v>9.6579999999999995</v>
      </c>
      <c r="Q35">
        <v>5.0999999999999996</v>
      </c>
      <c r="R35" s="6">
        <f>DAY(SuperMarket_Analysis[[#This Row],[Date]])</f>
        <v>14</v>
      </c>
      <c r="S35" s="6" t="str">
        <f>TEXT(SuperMarket_Analysis[[#This Row],[Date]],"mmmm")</f>
        <v>February</v>
      </c>
      <c r="T35" s="6">
        <f>YEAR(SuperMarket_Analysis[[#This Row],[Date]])</f>
        <v>2019</v>
      </c>
    </row>
    <row r="36" spans="1:20" x14ac:dyDescent="0.3">
      <c r="A36" t="s">
        <v>66</v>
      </c>
      <c r="B36" t="s">
        <v>22</v>
      </c>
      <c r="C36" t="s">
        <v>23</v>
      </c>
      <c r="D36" t="s">
        <v>17</v>
      </c>
      <c r="E36" t="s">
        <v>18</v>
      </c>
      <c r="F36" t="s">
        <v>40</v>
      </c>
      <c r="G36" s="3">
        <v>99.42</v>
      </c>
      <c r="H36" s="6">
        <v>4</v>
      </c>
      <c r="I36" s="3">
        <v>19.884</v>
      </c>
      <c r="J36" s="3">
        <v>417.56400000000002</v>
      </c>
      <c r="K36" s="2">
        <v>43537</v>
      </c>
      <c r="L36" s="1">
        <v>0.44583333333333336</v>
      </c>
      <c r="M36" t="s">
        <v>20</v>
      </c>
      <c r="N36" s="3">
        <v>397.68</v>
      </c>
      <c r="O36" s="4">
        <v>4.7619047620000003</v>
      </c>
      <c r="P36" s="5">
        <v>19.884</v>
      </c>
      <c r="Q36">
        <v>7.5</v>
      </c>
      <c r="R36" s="6">
        <f>DAY(SuperMarket_Analysis[[#This Row],[Date]])</f>
        <v>13</v>
      </c>
      <c r="S36" s="6" t="str">
        <f>TEXT(SuperMarket_Analysis[[#This Row],[Date]],"mmmm")</f>
        <v>March</v>
      </c>
      <c r="T36" s="6">
        <f>YEAR(SuperMarket_Analysis[[#This Row],[Date]])</f>
        <v>2019</v>
      </c>
    </row>
    <row r="37" spans="1:20" x14ac:dyDescent="0.3">
      <c r="A37" t="s">
        <v>67</v>
      </c>
      <c r="B37" t="s">
        <v>22</v>
      </c>
      <c r="C37" t="s">
        <v>23</v>
      </c>
      <c r="D37" t="s">
        <v>17</v>
      </c>
      <c r="E37" t="s">
        <v>18</v>
      </c>
      <c r="F37" t="s">
        <v>32</v>
      </c>
      <c r="G37" s="3">
        <v>68.12</v>
      </c>
      <c r="H37" s="6">
        <v>1</v>
      </c>
      <c r="I37" s="3">
        <v>3.4060000000000001</v>
      </c>
      <c r="J37" s="3">
        <v>71.525999999999996</v>
      </c>
      <c r="K37" s="2">
        <v>43489</v>
      </c>
      <c r="L37" s="1">
        <v>0.51944444444444449</v>
      </c>
      <c r="M37" t="s">
        <v>20</v>
      </c>
      <c r="N37" s="3">
        <v>68.12</v>
      </c>
      <c r="O37" s="4">
        <v>4.7619047620000003</v>
      </c>
      <c r="P37" s="5">
        <v>3.4060000000000001</v>
      </c>
      <c r="Q37">
        <v>6.8</v>
      </c>
      <c r="R37" s="6">
        <f>DAY(SuperMarket_Analysis[[#This Row],[Date]])</f>
        <v>24</v>
      </c>
      <c r="S37" s="6" t="str">
        <f>TEXT(SuperMarket_Analysis[[#This Row],[Date]],"mmmm")</f>
        <v>January</v>
      </c>
      <c r="T37" s="6">
        <f>YEAR(SuperMarket_Analysis[[#This Row],[Date]])</f>
        <v>2019</v>
      </c>
    </row>
    <row r="38" spans="1:20" x14ac:dyDescent="0.3">
      <c r="A38" t="s">
        <v>68</v>
      </c>
      <c r="B38" t="s">
        <v>15</v>
      </c>
      <c r="C38" t="s">
        <v>16</v>
      </c>
      <c r="D38" t="s">
        <v>17</v>
      </c>
      <c r="E38" t="s">
        <v>18</v>
      </c>
      <c r="F38" t="s">
        <v>32</v>
      </c>
      <c r="G38" s="3">
        <v>62.62</v>
      </c>
      <c r="H38" s="6">
        <v>5</v>
      </c>
      <c r="I38" s="3">
        <v>15.654999999999999</v>
      </c>
      <c r="J38" s="3">
        <v>328.755</v>
      </c>
      <c r="K38" s="2">
        <v>43487</v>
      </c>
      <c r="L38" s="1">
        <v>0.80208333333333337</v>
      </c>
      <c r="M38" t="s">
        <v>20</v>
      </c>
      <c r="N38" s="3">
        <v>313.10000000000002</v>
      </c>
      <c r="O38" s="4">
        <v>4.7619047620000003</v>
      </c>
      <c r="P38" s="5">
        <v>15.654999999999999</v>
      </c>
      <c r="Q38">
        <v>7</v>
      </c>
      <c r="R38" s="6">
        <f>DAY(SuperMarket_Analysis[[#This Row],[Date]])</f>
        <v>22</v>
      </c>
      <c r="S38" s="6" t="str">
        <f>TEXT(SuperMarket_Analysis[[#This Row],[Date]],"mmmm")</f>
        <v>January</v>
      </c>
      <c r="T38" s="6">
        <f>YEAR(SuperMarket_Analysis[[#This Row],[Date]])</f>
        <v>2019</v>
      </c>
    </row>
    <row r="39" spans="1:20" x14ac:dyDescent="0.3">
      <c r="A39" t="s">
        <v>69</v>
      </c>
      <c r="B39" t="s">
        <v>15</v>
      </c>
      <c r="C39" t="s">
        <v>16</v>
      </c>
      <c r="D39" t="s">
        <v>17</v>
      </c>
      <c r="E39" t="s">
        <v>18</v>
      </c>
      <c r="F39" t="s">
        <v>25</v>
      </c>
      <c r="G39" s="3">
        <v>60.88</v>
      </c>
      <c r="H39" s="6">
        <v>9</v>
      </c>
      <c r="I39" s="3">
        <v>27.396000000000001</v>
      </c>
      <c r="J39" s="3">
        <v>575.31600000000003</v>
      </c>
      <c r="K39" s="2">
        <v>43478</v>
      </c>
      <c r="L39" s="1">
        <v>0.72013888888888888</v>
      </c>
      <c r="M39" t="s">
        <v>20</v>
      </c>
      <c r="N39" s="3">
        <v>547.91999999999996</v>
      </c>
      <c r="O39" s="4">
        <v>4.7619047620000003</v>
      </c>
      <c r="P39" s="5">
        <v>27.396000000000001</v>
      </c>
      <c r="Q39">
        <v>4.7</v>
      </c>
      <c r="R39" s="6">
        <f>DAY(SuperMarket_Analysis[[#This Row],[Date]])</f>
        <v>13</v>
      </c>
      <c r="S39" s="6" t="str">
        <f>TEXT(SuperMarket_Analysis[[#This Row],[Date]],"mmmm")</f>
        <v>January</v>
      </c>
      <c r="T39" s="6">
        <f>YEAR(SuperMarket_Analysis[[#This Row],[Date]])</f>
        <v>2019</v>
      </c>
    </row>
    <row r="40" spans="1:20" x14ac:dyDescent="0.3">
      <c r="A40" t="s">
        <v>70</v>
      </c>
      <c r="B40" t="s">
        <v>22</v>
      </c>
      <c r="C40" t="s">
        <v>23</v>
      </c>
      <c r="D40" t="s">
        <v>17</v>
      </c>
      <c r="E40" t="s">
        <v>18</v>
      </c>
      <c r="F40" t="s">
        <v>19</v>
      </c>
      <c r="G40" s="3">
        <v>54.92</v>
      </c>
      <c r="H40" s="6">
        <v>8</v>
      </c>
      <c r="I40" s="3">
        <v>21.968</v>
      </c>
      <c r="J40" s="3">
        <v>461.32799999999997</v>
      </c>
      <c r="K40" s="2">
        <v>43487</v>
      </c>
      <c r="L40" s="1">
        <v>0.55833333333333335</v>
      </c>
      <c r="M40" t="s">
        <v>20</v>
      </c>
      <c r="N40" s="3">
        <v>439.36</v>
      </c>
      <c r="O40" s="4">
        <v>4.7619047620000003</v>
      </c>
      <c r="P40" s="5">
        <v>21.968</v>
      </c>
      <c r="Q40">
        <v>7.6</v>
      </c>
      <c r="R40" s="6">
        <f>DAY(SuperMarket_Analysis[[#This Row],[Date]])</f>
        <v>22</v>
      </c>
      <c r="S40" s="6" t="str">
        <f>TEXT(SuperMarket_Analysis[[#This Row],[Date]],"mmmm")</f>
        <v>January</v>
      </c>
      <c r="T40" s="6">
        <f>YEAR(SuperMarket_Analysis[[#This Row],[Date]])</f>
        <v>2019</v>
      </c>
    </row>
    <row r="41" spans="1:20" x14ac:dyDescent="0.3">
      <c r="A41" t="s">
        <v>71</v>
      </c>
      <c r="B41" t="s">
        <v>38</v>
      </c>
      <c r="C41" t="s">
        <v>39</v>
      </c>
      <c r="D41" t="s">
        <v>17</v>
      </c>
      <c r="E41" t="s">
        <v>18</v>
      </c>
      <c r="F41" t="s">
        <v>28</v>
      </c>
      <c r="G41" s="3">
        <v>30.12</v>
      </c>
      <c r="H41" s="6">
        <v>8</v>
      </c>
      <c r="I41" s="3">
        <v>12.048</v>
      </c>
      <c r="J41" s="3">
        <v>253.00800000000001</v>
      </c>
      <c r="K41" s="2">
        <v>43486</v>
      </c>
      <c r="L41" s="1">
        <v>0.54236111111111107</v>
      </c>
      <c r="M41" t="s">
        <v>26</v>
      </c>
      <c r="N41" s="3">
        <v>240.96</v>
      </c>
      <c r="O41" s="4">
        <v>4.7619047620000003</v>
      </c>
      <c r="P41" s="5">
        <v>12.048</v>
      </c>
      <c r="Q41">
        <v>7.7</v>
      </c>
      <c r="R41" s="6">
        <f>DAY(SuperMarket_Analysis[[#This Row],[Date]])</f>
        <v>21</v>
      </c>
      <c r="S41" s="6" t="str">
        <f>TEXT(SuperMarket_Analysis[[#This Row],[Date]],"mmmm")</f>
        <v>January</v>
      </c>
      <c r="T41" s="6">
        <f>YEAR(SuperMarket_Analysis[[#This Row],[Date]])</f>
        <v>2019</v>
      </c>
    </row>
    <row r="42" spans="1:20" x14ac:dyDescent="0.3">
      <c r="A42" t="s">
        <v>72</v>
      </c>
      <c r="B42" t="s">
        <v>38</v>
      </c>
      <c r="C42" t="s">
        <v>39</v>
      </c>
      <c r="D42" t="s">
        <v>17</v>
      </c>
      <c r="E42" t="s">
        <v>18</v>
      </c>
      <c r="F42" t="s">
        <v>28</v>
      </c>
      <c r="G42" s="3">
        <v>86.72</v>
      </c>
      <c r="H42" s="6">
        <v>1</v>
      </c>
      <c r="I42" s="3">
        <v>4.3360000000000003</v>
      </c>
      <c r="J42" s="3">
        <v>91.055999999999997</v>
      </c>
      <c r="K42" s="2">
        <v>43491</v>
      </c>
      <c r="L42" s="1">
        <v>0.78125</v>
      </c>
      <c r="M42" t="s">
        <v>20</v>
      </c>
      <c r="N42" s="3">
        <v>86.72</v>
      </c>
      <c r="O42" s="4">
        <v>4.7619047620000003</v>
      </c>
      <c r="P42" s="5">
        <v>4.3360000000000003</v>
      </c>
      <c r="Q42">
        <v>7.9</v>
      </c>
      <c r="R42" s="6">
        <f>DAY(SuperMarket_Analysis[[#This Row],[Date]])</f>
        <v>26</v>
      </c>
      <c r="S42" s="6" t="str">
        <f>TEXT(SuperMarket_Analysis[[#This Row],[Date]],"mmmm")</f>
        <v>January</v>
      </c>
      <c r="T42" s="6">
        <f>YEAR(SuperMarket_Analysis[[#This Row],[Date]])</f>
        <v>2019</v>
      </c>
    </row>
    <row r="43" spans="1:20" x14ac:dyDescent="0.3">
      <c r="A43" t="s">
        <v>73</v>
      </c>
      <c r="B43" t="s">
        <v>22</v>
      </c>
      <c r="C43" t="s">
        <v>23</v>
      </c>
      <c r="D43" t="s">
        <v>17</v>
      </c>
      <c r="E43" t="s">
        <v>18</v>
      </c>
      <c r="F43" t="s">
        <v>28</v>
      </c>
      <c r="G43" s="3">
        <v>56.11</v>
      </c>
      <c r="H43" s="6">
        <v>2</v>
      </c>
      <c r="I43" s="3">
        <v>5.6109999999999998</v>
      </c>
      <c r="J43" s="3">
        <v>117.831</v>
      </c>
      <c r="K43" s="2">
        <v>43488</v>
      </c>
      <c r="L43" s="1">
        <v>0.42430555555555555</v>
      </c>
      <c r="M43" t="s">
        <v>26</v>
      </c>
      <c r="N43" s="3">
        <v>112.22</v>
      </c>
      <c r="O43" s="4">
        <v>4.7619047620000003</v>
      </c>
      <c r="P43" s="5">
        <v>5.6109999999999998</v>
      </c>
      <c r="Q43">
        <v>6.3</v>
      </c>
      <c r="R43" s="6">
        <f>DAY(SuperMarket_Analysis[[#This Row],[Date]])</f>
        <v>23</v>
      </c>
      <c r="S43" s="6" t="str">
        <f>TEXT(SuperMarket_Analysis[[#This Row],[Date]],"mmmm")</f>
        <v>January</v>
      </c>
      <c r="T43" s="6">
        <f>YEAR(SuperMarket_Analysis[[#This Row],[Date]])</f>
        <v>2019</v>
      </c>
    </row>
    <row r="44" spans="1:20" x14ac:dyDescent="0.3">
      <c r="A44" t="s">
        <v>74</v>
      </c>
      <c r="B44" t="s">
        <v>38</v>
      </c>
      <c r="C44" t="s">
        <v>39</v>
      </c>
      <c r="D44" t="s">
        <v>17</v>
      </c>
      <c r="E44" t="s">
        <v>18</v>
      </c>
      <c r="F44" t="s">
        <v>32</v>
      </c>
      <c r="G44" s="3">
        <v>69.12</v>
      </c>
      <c r="H44" s="6">
        <v>6</v>
      </c>
      <c r="I44" s="3">
        <v>20.736000000000001</v>
      </c>
      <c r="J44" s="3">
        <v>435.45600000000002</v>
      </c>
      <c r="K44" s="2">
        <v>43519</v>
      </c>
      <c r="L44" s="1">
        <v>0.54374999999999996</v>
      </c>
      <c r="M44" t="s">
        <v>26</v>
      </c>
      <c r="N44" s="3">
        <v>414.72</v>
      </c>
      <c r="O44" s="4">
        <v>4.7619047620000003</v>
      </c>
      <c r="P44" s="5">
        <v>20.736000000000001</v>
      </c>
      <c r="Q44">
        <v>5.6</v>
      </c>
      <c r="R44" s="6">
        <f>DAY(SuperMarket_Analysis[[#This Row],[Date]])</f>
        <v>23</v>
      </c>
      <c r="S44" s="6" t="str">
        <f>TEXT(SuperMarket_Analysis[[#This Row],[Date]],"mmmm")</f>
        <v>February</v>
      </c>
      <c r="T44" s="6">
        <f>YEAR(SuperMarket_Analysis[[#This Row],[Date]])</f>
        <v>2019</v>
      </c>
    </row>
    <row r="45" spans="1:20" x14ac:dyDescent="0.3">
      <c r="A45" t="s">
        <v>75</v>
      </c>
      <c r="B45" t="s">
        <v>22</v>
      </c>
      <c r="C45" t="s">
        <v>23</v>
      </c>
      <c r="D45" t="s">
        <v>17</v>
      </c>
      <c r="E45" t="s">
        <v>18</v>
      </c>
      <c r="F45" t="s">
        <v>40</v>
      </c>
      <c r="G45" s="3">
        <v>98.7</v>
      </c>
      <c r="H45" s="6">
        <v>8</v>
      </c>
      <c r="I45" s="3">
        <v>39.479999999999997</v>
      </c>
      <c r="J45" s="3">
        <v>829.08</v>
      </c>
      <c r="K45" s="2">
        <v>43549</v>
      </c>
      <c r="L45" s="1">
        <v>0.86041666666666672</v>
      </c>
      <c r="M45" t="s">
        <v>26</v>
      </c>
      <c r="N45" s="3">
        <v>789.6</v>
      </c>
      <c r="O45" s="4">
        <v>4.7619047620000003</v>
      </c>
      <c r="P45" s="5">
        <v>39.479999999999997</v>
      </c>
      <c r="Q45">
        <v>7.6</v>
      </c>
      <c r="R45" s="6">
        <f>DAY(SuperMarket_Analysis[[#This Row],[Date]])</f>
        <v>25</v>
      </c>
      <c r="S45" s="6" t="str">
        <f>TEXT(SuperMarket_Analysis[[#This Row],[Date]],"mmmm")</f>
        <v>March</v>
      </c>
      <c r="T45" s="6">
        <f>YEAR(SuperMarket_Analysis[[#This Row],[Date]])</f>
        <v>2019</v>
      </c>
    </row>
    <row r="46" spans="1:20" x14ac:dyDescent="0.3">
      <c r="A46" t="s">
        <v>76</v>
      </c>
      <c r="B46" t="s">
        <v>22</v>
      </c>
      <c r="C46" t="s">
        <v>23</v>
      </c>
      <c r="D46" t="s">
        <v>17</v>
      </c>
      <c r="E46" t="s">
        <v>18</v>
      </c>
      <c r="F46" t="s">
        <v>19</v>
      </c>
      <c r="G46" s="3">
        <v>15.37</v>
      </c>
      <c r="H46" s="6">
        <v>2</v>
      </c>
      <c r="I46" s="3">
        <v>1.5369999999999999</v>
      </c>
      <c r="J46" s="3">
        <v>32.277000000000001</v>
      </c>
      <c r="K46" s="2">
        <v>43551</v>
      </c>
      <c r="L46" s="1">
        <v>0.82430555555555551</v>
      </c>
      <c r="M46" t="s">
        <v>26</v>
      </c>
      <c r="N46" s="3">
        <v>30.74</v>
      </c>
      <c r="O46" s="4">
        <v>4.7619047620000003</v>
      </c>
      <c r="P46" s="5">
        <v>1.5369999999999999</v>
      </c>
      <c r="Q46">
        <v>7.2</v>
      </c>
      <c r="R46" s="6">
        <f>DAY(SuperMarket_Analysis[[#This Row],[Date]])</f>
        <v>27</v>
      </c>
      <c r="S46" s="6" t="str">
        <f>TEXT(SuperMarket_Analysis[[#This Row],[Date]],"mmmm")</f>
        <v>March</v>
      </c>
      <c r="T46" s="6">
        <f>YEAR(SuperMarket_Analysis[[#This Row],[Date]])</f>
        <v>2019</v>
      </c>
    </row>
    <row r="47" spans="1:20" x14ac:dyDescent="0.3">
      <c r="A47" t="s">
        <v>77</v>
      </c>
      <c r="B47" t="s">
        <v>38</v>
      </c>
      <c r="C47" t="s">
        <v>39</v>
      </c>
      <c r="D47" t="s">
        <v>17</v>
      </c>
      <c r="E47" t="s">
        <v>18</v>
      </c>
      <c r="F47" t="s">
        <v>25</v>
      </c>
      <c r="G47" s="3">
        <v>93.96</v>
      </c>
      <c r="H47" s="6">
        <v>4</v>
      </c>
      <c r="I47" s="3">
        <v>18.792000000000002</v>
      </c>
      <c r="J47" s="3">
        <v>394.63200000000001</v>
      </c>
      <c r="K47" s="2">
        <v>43523</v>
      </c>
      <c r="L47" s="1">
        <v>0.75</v>
      </c>
      <c r="M47" t="s">
        <v>26</v>
      </c>
      <c r="N47" s="3">
        <v>375.84</v>
      </c>
      <c r="O47" s="4">
        <v>4.7619047620000003</v>
      </c>
      <c r="P47" s="5">
        <v>18.792000000000002</v>
      </c>
      <c r="Q47">
        <v>9.5</v>
      </c>
      <c r="R47" s="6">
        <f>DAY(SuperMarket_Analysis[[#This Row],[Date]])</f>
        <v>27</v>
      </c>
      <c r="S47" s="6" t="str">
        <f>TEXT(SuperMarket_Analysis[[#This Row],[Date]],"mmmm")</f>
        <v>February</v>
      </c>
      <c r="T47" s="6">
        <f>YEAR(SuperMarket_Analysis[[#This Row],[Date]])</f>
        <v>2019</v>
      </c>
    </row>
    <row r="48" spans="1:20" x14ac:dyDescent="0.3">
      <c r="A48" t="s">
        <v>78</v>
      </c>
      <c r="B48" t="s">
        <v>38</v>
      </c>
      <c r="C48" t="s">
        <v>39</v>
      </c>
      <c r="D48" t="s">
        <v>17</v>
      </c>
      <c r="E48" t="s">
        <v>18</v>
      </c>
      <c r="F48" t="s">
        <v>19</v>
      </c>
      <c r="G48" s="3">
        <v>56.69</v>
      </c>
      <c r="H48" s="6">
        <v>9</v>
      </c>
      <c r="I48" s="3">
        <v>25.5105</v>
      </c>
      <c r="J48" s="3">
        <v>535.72050000000002</v>
      </c>
      <c r="K48" s="2">
        <v>43488</v>
      </c>
      <c r="L48" s="1">
        <v>0.72499999999999998</v>
      </c>
      <c r="M48" t="s">
        <v>29</v>
      </c>
      <c r="N48" s="3">
        <v>510.21</v>
      </c>
      <c r="O48" s="4">
        <v>4.7619047620000003</v>
      </c>
      <c r="P48" s="5">
        <v>25.5105</v>
      </c>
      <c r="Q48">
        <v>8.4</v>
      </c>
      <c r="R48" s="6">
        <f>DAY(SuperMarket_Analysis[[#This Row],[Date]])</f>
        <v>23</v>
      </c>
      <c r="S48" s="6" t="str">
        <f>TEXT(SuperMarket_Analysis[[#This Row],[Date]],"mmmm")</f>
        <v>January</v>
      </c>
      <c r="T48" s="6">
        <f>YEAR(SuperMarket_Analysis[[#This Row],[Date]])</f>
        <v>2019</v>
      </c>
    </row>
    <row r="49" spans="1:20" x14ac:dyDescent="0.3">
      <c r="A49" t="s">
        <v>79</v>
      </c>
      <c r="B49" t="s">
        <v>38</v>
      </c>
      <c r="C49" t="s">
        <v>39</v>
      </c>
      <c r="D49" t="s">
        <v>17</v>
      </c>
      <c r="E49" t="s">
        <v>18</v>
      </c>
      <c r="F49" t="s">
        <v>40</v>
      </c>
      <c r="G49" s="3">
        <v>20.010000000000002</v>
      </c>
      <c r="H49" s="6">
        <v>9</v>
      </c>
      <c r="I49" s="3">
        <v>9.0045000000000002</v>
      </c>
      <c r="J49" s="3">
        <v>189.09450000000001</v>
      </c>
      <c r="K49" s="2">
        <v>43491</v>
      </c>
      <c r="L49" s="1">
        <v>0.65763888888888888</v>
      </c>
      <c r="M49" t="s">
        <v>20</v>
      </c>
      <c r="N49" s="3">
        <v>180.09</v>
      </c>
      <c r="O49" s="4">
        <v>4.7619047620000003</v>
      </c>
      <c r="P49" s="5">
        <v>9.0045000000000002</v>
      </c>
      <c r="Q49">
        <v>4.0999999999999996</v>
      </c>
      <c r="R49" s="6">
        <f>DAY(SuperMarket_Analysis[[#This Row],[Date]])</f>
        <v>26</v>
      </c>
      <c r="S49" s="6" t="str">
        <f>TEXT(SuperMarket_Analysis[[#This Row],[Date]],"mmmm")</f>
        <v>January</v>
      </c>
      <c r="T49" s="6">
        <f>YEAR(SuperMarket_Analysis[[#This Row],[Date]])</f>
        <v>2019</v>
      </c>
    </row>
    <row r="50" spans="1:20" x14ac:dyDescent="0.3">
      <c r="A50" t="s">
        <v>80</v>
      </c>
      <c r="B50" t="s">
        <v>38</v>
      </c>
      <c r="C50" t="s">
        <v>39</v>
      </c>
      <c r="D50" t="s">
        <v>17</v>
      </c>
      <c r="E50" t="s">
        <v>18</v>
      </c>
      <c r="F50" t="s">
        <v>25</v>
      </c>
      <c r="G50" s="3">
        <v>18.93</v>
      </c>
      <c r="H50" s="6">
        <v>6</v>
      </c>
      <c r="I50" s="3">
        <v>5.6790000000000003</v>
      </c>
      <c r="J50" s="3">
        <v>119.259</v>
      </c>
      <c r="K50" s="2">
        <v>43553</v>
      </c>
      <c r="L50" s="1">
        <v>0.53125</v>
      </c>
      <c r="M50" t="s">
        <v>29</v>
      </c>
      <c r="N50" s="3">
        <v>113.58</v>
      </c>
      <c r="O50" s="4">
        <v>4.7619047620000003</v>
      </c>
      <c r="P50" s="5">
        <v>5.6790000000000003</v>
      </c>
      <c r="Q50">
        <v>8.1</v>
      </c>
      <c r="R50" s="6">
        <f>DAY(SuperMarket_Analysis[[#This Row],[Date]])</f>
        <v>29</v>
      </c>
      <c r="S50" s="6" t="str">
        <f>TEXT(SuperMarket_Analysis[[#This Row],[Date]],"mmmm")</f>
        <v>March</v>
      </c>
      <c r="T50" s="6">
        <f>YEAR(SuperMarket_Analysis[[#This Row],[Date]])</f>
        <v>2019</v>
      </c>
    </row>
    <row r="51" spans="1:20" x14ac:dyDescent="0.3">
      <c r="A51" t="s">
        <v>81</v>
      </c>
      <c r="B51" t="s">
        <v>22</v>
      </c>
      <c r="C51" t="s">
        <v>23</v>
      </c>
      <c r="D51" t="s">
        <v>17</v>
      </c>
      <c r="E51" t="s">
        <v>18</v>
      </c>
      <c r="F51" t="s">
        <v>42</v>
      </c>
      <c r="G51" s="3">
        <v>82.63</v>
      </c>
      <c r="H51" s="6">
        <v>10</v>
      </c>
      <c r="I51" s="3">
        <v>41.314999999999998</v>
      </c>
      <c r="J51" s="3">
        <v>867.61500000000001</v>
      </c>
      <c r="K51" s="2">
        <v>43547</v>
      </c>
      <c r="L51" s="1">
        <v>0.71388888888888891</v>
      </c>
      <c r="M51" t="s">
        <v>20</v>
      </c>
      <c r="N51" s="3">
        <v>826.3</v>
      </c>
      <c r="O51" s="4">
        <v>4.7619047620000003</v>
      </c>
      <c r="P51" s="5">
        <v>41.314999999999998</v>
      </c>
      <c r="Q51">
        <v>7.9</v>
      </c>
      <c r="R51" s="6">
        <f>DAY(SuperMarket_Analysis[[#This Row],[Date]])</f>
        <v>23</v>
      </c>
      <c r="S51" s="6" t="str">
        <f>TEXT(SuperMarket_Analysis[[#This Row],[Date]],"mmmm")</f>
        <v>March</v>
      </c>
      <c r="T51" s="6">
        <f>YEAR(SuperMarket_Analysis[[#This Row],[Date]])</f>
        <v>2019</v>
      </c>
    </row>
    <row r="52" spans="1:20" x14ac:dyDescent="0.3">
      <c r="A52" t="s">
        <v>82</v>
      </c>
      <c r="B52" t="s">
        <v>22</v>
      </c>
      <c r="C52" t="s">
        <v>23</v>
      </c>
      <c r="D52" t="s">
        <v>17</v>
      </c>
      <c r="E52" t="s">
        <v>18</v>
      </c>
      <c r="F52" t="s">
        <v>40</v>
      </c>
      <c r="G52" s="3">
        <v>91.4</v>
      </c>
      <c r="H52" s="6">
        <v>7</v>
      </c>
      <c r="I52" s="3">
        <v>31.99</v>
      </c>
      <c r="J52" s="3">
        <v>671.79</v>
      </c>
      <c r="K52" s="2">
        <v>43550</v>
      </c>
      <c r="L52" s="1">
        <v>0.42986111111111114</v>
      </c>
      <c r="M52" t="s">
        <v>26</v>
      </c>
      <c r="N52" s="3">
        <v>639.79999999999995</v>
      </c>
      <c r="O52" s="4">
        <v>4.7619047620000003</v>
      </c>
      <c r="P52" s="5">
        <v>31.99</v>
      </c>
      <c r="Q52">
        <v>9.5</v>
      </c>
      <c r="R52" s="6">
        <f>DAY(SuperMarket_Analysis[[#This Row],[Date]])</f>
        <v>26</v>
      </c>
      <c r="S52" s="6" t="str">
        <f>TEXT(SuperMarket_Analysis[[#This Row],[Date]],"mmmm")</f>
        <v>March</v>
      </c>
      <c r="T52" s="6">
        <f>YEAR(SuperMarket_Analysis[[#This Row],[Date]])</f>
        <v>2019</v>
      </c>
    </row>
    <row r="53" spans="1:20" x14ac:dyDescent="0.3">
      <c r="A53" t="s">
        <v>83</v>
      </c>
      <c r="B53" t="s">
        <v>15</v>
      </c>
      <c r="C53" t="s">
        <v>16</v>
      </c>
      <c r="D53" t="s">
        <v>17</v>
      </c>
      <c r="E53" t="s">
        <v>18</v>
      </c>
      <c r="F53" t="s">
        <v>40</v>
      </c>
      <c r="G53" s="3">
        <v>44.59</v>
      </c>
      <c r="H53" s="6">
        <v>5</v>
      </c>
      <c r="I53" s="3">
        <v>11.147500000000001</v>
      </c>
      <c r="J53" s="3">
        <v>234.0975</v>
      </c>
      <c r="K53" s="2">
        <v>43552</v>
      </c>
      <c r="L53" s="1">
        <v>0.63194444444444442</v>
      </c>
      <c r="M53" t="s">
        <v>26</v>
      </c>
      <c r="N53" s="3">
        <v>222.95</v>
      </c>
      <c r="O53" s="4">
        <v>4.7619047620000003</v>
      </c>
      <c r="P53" s="5">
        <v>11.147500000000001</v>
      </c>
      <c r="Q53">
        <v>8.5</v>
      </c>
      <c r="R53" s="6">
        <f>DAY(SuperMarket_Analysis[[#This Row],[Date]])</f>
        <v>28</v>
      </c>
      <c r="S53" s="6" t="str">
        <f>TEXT(SuperMarket_Analysis[[#This Row],[Date]],"mmmm")</f>
        <v>March</v>
      </c>
      <c r="T53" s="6">
        <f>YEAR(SuperMarket_Analysis[[#This Row],[Date]])</f>
        <v>2019</v>
      </c>
    </row>
    <row r="54" spans="1:20" x14ac:dyDescent="0.3">
      <c r="A54" t="s">
        <v>84</v>
      </c>
      <c r="B54" t="s">
        <v>38</v>
      </c>
      <c r="C54" t="s">
        <v>39</v>
      </c>
      <c r="D54" t="s">
        <v>17</v>
      </c>
      <c r="E54" t="s">
        <v>18</v>
      </c>
      <c r="F54" t="s">
        <v>42</v>
      </c>
      <c r="G54" s="3">
        <v>17.87</v>
      </c>
      <c r="H54" s="6">
        <v>4</v>
      </c>
      <c r="I54" s="3">
        <v>3.5739999999999998</v>
      </c>
      <c r="J54" s="3">
        <v>75.054000000000002</v>
      </c>
      <c r="K54" s="2">
        <v>43543</v>
      </c>
      <c r="L54" s="1">
        <v>0.61250000000000004</v>
      </c>
      <c r="M54" t="s">
        <v>20</v>
      </c>
      <c r="N54" s="3">
        <v>71.48</v>
      </c>
      <c r="O54" s="4">
        <v>4.7619047620000003</v>
      </c>
      <c r="P54" s="5">
        <v>3.5739999999999998</v>
      </c>
      <c r="Q54">
        <v>6.5</v>
      </c>
      <c r="R54" s="6">
        <f>DAY(SuperMarket_Analysis[[#This Row],[Date]])</f>
        <v>19</v>
      </c>
      <c r="S54" s="6" t="str">
        <f>TEXT(SuperMarket_Analysis[[#This Row],[Date]],"mmmm")</f>
        <v>March</v>
      </c>
      <c r="T54" s="6">
        <f>YEAR(SuperMarket_Analysis[[#This Row],[Date]])</f>
        <v>2019</v>
      </c>
    </row>
    <row r="55" spans="1:20" x14ac:dyDescent="0.3">
      <c r="A55" t="s">
        <v>85</v>
      </c>
      <c r="B55" t="s">
        <v>22</v>
      </c>
      <c r="C55" t="s">
        <v>23</v>
      </c>
      <c r="D55" t="s">
        <v>17</v>
      </c>
      <c r="E55" t="s">
        <v>18</v>
      </c>
      <c r="F55" t="s">
        <v>42</v>
      </c>
      <c r="G55" s="3">
        <v>15.43</v>
      </c>
      <c r="H55" s="6">
        <v>1</v>
      </c>
      <c r="I55" s="3">
        <v>0.77149999999999996</v>
      </c>
      <c r="J55" s="3">
        <v>16.201499999999999</v>
      </c>
      <c r="K55" s="2">
        <v>43546</v>
      </c>
      <c r="L55" s="1">
        <v>0.65694444444444444</v>
      </c>
      <c r="M55" t="s">
        <v>29</v>
      </c>
      <c r="N55" s="3">
        <v>15.43</v>
      </c>
      <c r="O55" s="4">
        <v>4.7619047620000003</v>
      </c>
      <c r="P55" s="5">
        <v>0.77149999999999996</v>
      </c>
      <c r="Q55">
        <v>6.1</v>
      </c>
      <c r="R55" s="6">
        <f>DAY(SuperMarket_Analysis[[#This Row],[Date]])</f>
        <v>22</v>
      </c>
      <c r="S55" s="6" t="str">
        <f>TEXT(SuperMarket_Analysis[[#This Row],[Date]],"mmmm")</f>
        <v>March</v>
      </c>
      <c r="T55" s="6">
        <f>YEAR(SuperMarket_Analysis[[#This Row],[Date]])</f>
        <v>2019</v>
      </c>
    </row>
    <row r="56" spans="1:20" x14ac:dyDescent="0.3">
      <c r="A56" t="s">
        <v>86</v>
      </c>
      <c r="B56" t="s">
        <v>38</v>
      </c>
      <c r="C56" t="s">
        <v>39</v>
      </c>
      <c r="D56" t="s">
        <v>17</v>
      </c>
      <c r="E56" t="s">
        <v>18</v>
      </c>
      <c r="F56" t="s">
        <v>28</v>
      </c>
      <c r="G56" s="3">
        <v>16.16</v>
      </c>
      <c r="H56" s="6">
        <v>2</v>
      </c>
      <c r="I56" s="3">
        <v>1.6160000000000001</v>
      </c>
      <c r="J56" s="3">
        <v>33.936</v>
      </c>
      <c r="K56" s="2">
        <v>43548</v>
      </c>
      <c r="L56" s="1">
        <v>0.49236111111111114</v>
      </c>
      <c r="M56" t="s">
        <v>20</v>
      </c>
      <c r="N56" s="3">
        <v>32.32</v>
      </c>
      <c r="O56" s="4">
        <v>4.7619047620000003</v>
      </c>
      <c r="P56" s="5">
        <v>1.6160000000000001</v>
      </c>
      <c r="Q56">
        <v>6.5</v>
      </c>
      <c r="R56" s="6">
        <f>DAY(SuperMarket_Analysis[[#This Row],[Date]])</f>
        <v>24</v>
      </c>
      <c r="S56" s="6" t="str">
        <f>TEXT(SuperMarket_Analysis[[#This Row],[Date]],"mmmm")</f>
        <v>March</v>
      </c>
      <c r="T56" s="6">
        <f>YEAR(SuperMarket_Analysis[[#This Row],[Date]])</f>
        <v>2019</v>
      </c>
    </row>
    <row r="57" spans="1:20" x14ac:dyDescent="0.3">
      <c r="A57" t="s">
        <v>87</v>
      </c>
      <c r="B57" t="s">
        <v>22</v>
      </c>
      <c r="C57" t="s">
        <v>23</v>
      </c>
      <c r="D57" t="s">
        <v>17</v>
      </c>
      <c r="E57" t="s">
        <v>18</v>
      </c>
      <c r="F57" t="s">
        <v>25</v>
      </c>
      <c r="G57" s="3">
        <v>85.98</v>
      </c>
      <c r="H57" s="6">
        <v>8</v>
      </c>
      <c r="I57" s="3">
        <v>34.392000000000003</v>
      </c>
      <c r="J57" s="3">
        <v>722.23199999999997</v>
      </c>
      <c r="K57" s="2">
        <v>43511</v>
      </c>
      <c r="L57" s="1">
        <v>0.79236111111111107</v>
      </c>
      <c r="M57" t="s">
        <v>26</v>
      </c>
      <c r="N57" s="3">
        <v>687.84</v>
      </c>
      <c r="O57" s="4">
        <v>4.7619047620000003</v>
      </c>
      <c r="P57" s="5">
        <v>34.392000000000003</v>
      </c>
      <c r="Q57">
        <v>8.1999999999999993</v>
      </c>
      <c r="R57" s="6">
        <f>DAY(SuperMarket_Analysis[[#This Row],[Date]])</f>
        <v>15</v>
      </c>
      <c r="S57" s="6" t="str">
        <f>TEXT(SuperMarket_Analysis[[#This Row],[Date]],"mmmm")</f>
        <v>February</v>
      </c>
      <c r="T57" s="6">
        <f>YEAR(SuperMarket_Analysis[[#This Row],[Date]])</f>
        <v>2019</v>
      </c>
    </row>
    <row r="58" spans="1:20" x14ac:dyDescent="0.3">
      <c r="A58" t="s">
        <v>88</v>
      </c>
      <c r="B58" t="s">
        <v>15</v>
      </c>
      <c r="C58" t="s">
        <v>16</v>
      </c>
      <c r="D58" t="s">
        <v>17</v>
      </c>
      <c r="E58" t="s">
        <v>18</v>
      </c>
      <c r="F58" t="s">
        <v>28</v>
      </c>
      <c r="G58" s="3">
        <v>44.34</v>
      </c>
      <c r="H58" s="6">
        <v>2</v>
      </c>
      <c r="I58" s="3">
        <v>4.4340000000000002</v>
      </c>
      <c r="J58" s="3">
        <v>93.114000000000004</v>
      </c>
      <c r="K58" s="2">
        <v>43484</v>
      </c>
      <c r="L58" s="1">
        <v>0.47638888888888886</v>
      </c>
      <c r="M58" t="s">
        <v>26</v>
      </c>
      <c r="N58" s="3">
        <v>88.68</v>
      </c>
      <c r="O58" s="4">
        <v>4.7619047620000003</v>
      </c>
      <c r="P58" s="5">
        <v>4.4340000000000002</v>
      </c>
      <c r="Q58">
        <v>5.8</v>
      </c>
      <c r="R58" s="6">
        <f>DAY(SuperMarket_Analysis[[#This Row],[Date]])</f>
        <v>19</v>
      </c>
      <c r="S58" s="6" t="str">
        <f>TEXT(SuperMarket_Analysis[[#This Row],[Date]],"mmmm")</f>
        <v>January</v>
      </c>
      <c r="T58" s="6">
        <f>YEAR(SuperMarket_Analysis[[#This Row],[Date]])</f>
        <v>2019</v>
      </c>
    </row>
    <row r="59" spans="1:20" x14ac:dyDescent="0.3">
      <c r="A59" t="s">
        <v>89</v>
      </c>
      <c r="B59" t="s">
        <v>15</v>
      </c>
      <c r="C59" t="s">
        <v>16</v>
      </c>
      <c r="D59" t="s">
        <v>17</v>
      </c>
      <c r="E59" t="s">
        <v>18</v>
      </c>
      <c r="F59" t="s">
        <v>19</v>
      </c>
      <c r="G59" s="3">
        <v>89.6</v>
      </c>
      <c r="H59" s="6">
        <v>8</v>
      </c>
      <c r="I59" s="3">
        <v>35.840000000000003</v>
      </c>
      <c r="J59" s="3">
        <v>752.64</v>
      </c>
      <c r="K59" s="2">
        <v>43481</v>
      </c>
      <c r="L59" s="1">
        <v>0.4777777777777778</v>
      </c>
      <c r="M59" t="s">
        <v>20</v>
      </c>
      <c r="N59" s="3">
        <v>716.8</v>
      </c>
      <c r="O59" s="4">
        <v>4.7619047620000003</v>
      </c>
      <c r="P59" s="5">
        <v>35.840000000000003</v>
      </c>
      <c r="Q59">
        <v>6.6</v>
      </c>
      <c r="R59" s="6">
        <f>DAY(SuperMarket_Analysis[[#This Row],[Date]])</f>
        <v>16</v>
      </c>
      <c r="S59" s="6" t="str">
        <f>TEXT(SuperMarket_Analysis[[#This Row],[Date]],"mmmm")</f>
        <v>January</v>
      </c>
      <c r="T59" s="6">
        <f>YEAR(SuperMarket_Analysis[[#This Row],[Date]])</f>
        <v>2019</v>
      </c>
    </row>
    <row r="60" spans="1:20" x14ac:dyDescent="0.3">
      <c r="A60" t="s">
        <v>90</v>
      </c>
      <c r="B60" t="s">
        <v>15</v>
      </c>
      <c r="C60" t="s">
        <v>16</v>
      </c>
      <c r="D60" t="s">
        <v>17</v>
      </c>
      <c r="E60" t="s">
        <v>18</v>
      </c>
      <c r="F60" t="s">
        <v>28</v>
      </c>
      <c r="G60" s="3">
        <v>72.349999999999994</v>
      </c>
      <c r="H60" s="6">
        <v>10</v>
      </c>
      <c r="I60" s="3">
        <v>36.174999999999997</v>
      </c>
      <c r="J60" s="3">
        <v>759.67499999999995</v>
      </c>
      <c r="K60" s="2">
        <v>43485</v>
      </c>
      <c r="L60" s="1">
        <v>0.66319444444444442</v>
      </c>
      <c r="M60" t="s">
        <v>26</v>
      </c>
      <c r="N60" s="3">
        <v>723.5</v>
      </c>
      <c r="O60" s="4">
        <v>4.7619047620000003</v>
      </c>
      <c r="P60" s="5">
        <v>36.174999999999997</v>
      </c>
      <c r="Q60">
        <v>5.4</v>
      </c>
      <c r="R60" s="6">
        <f>DAY(SuperMarket_Analysis[[#This Row],[Date]])</f>
        <v>20</v>
      </c>
      <c r="S60" s="6" t="str">
        <f>TEXT(SuperMarket_Analysis[[#This Row],[Date]],"mmmm")</f>
        <v>January</v>
      </c>
      <c r="T60" s="6">
        <f>YEAR(SuperMarket_Analysis[[#This Row],[Date]])</f>
        <v>2019</v>
      </c>
    </row>
    <row r="61" spans="1:20" x14ac:dyDescent="0.3">
      <c r="A61" t="s">
        <v>91</v>
      </c>
      <c r="B61" t="s">
        <v>22</v>
      </c>
      <c r="C61" t="s">
        <v>23</v>
      </c>
      <c r="D61" t="s">
        <v>17</v>
      </c>
      <c r="E61" t="s">
        <v>18</v>
      </c>
      <c r="F61" t="s">
        <v>25</v>
      </c>
      <c r="G61" s="3">
        <v>30.61</v>
      </c>
      <c r="H61" s="6">
        <v>6</v>
      </c>
      <c r="I61" s="3">
        <v>9.1829999999999998</v>
      </c>
      <c r="J61" s="3">
        <v>192.84299999999999</v>
      </c>
      <c r="K61" s="2">
        <v>43510</v>
      </c>
      <c r="L61" s="1">
        <v>0.85833333333333328</v>
      </c>
      <c r="M61" t="s">
        <v>26</v>
      </c>
      <c r="N61" s="3">
        <v>183.66</v>
      </c>
      <c r="O61" s="4">
        <v>4.7619047620000003</v>
      </c>
      <c r="P61" s="5">
        <v>9.1829999999999998</v>
      </c>
      <c r="Q61">
        <v>9.3000000000000007</v>
      </c>
      <c r="R61" s="6">
        <f>DAY(SuperMarket_Analysis[[#This Row],[Date]])</f>
        <v>14</v>
      </c>
      <c r="S61" s="6" t="str">
        <f>TEXT(SuperMarket_Analysis[[#This Row],[Date]],"mmmm")</f>
        <v>February</v>
      </c>
      <c r="T61" s="6">
        <f>YEAR(SuperMarket_Analysis[[#This Row],[Date]])</f>
        <v>2019</v>
      </c>
    </row>
    <row r="62" spans="1:20" x14ac:dyDescent="0.3">
      <c r="A62" t="s">
        <v>92</v>
      </c>
      <c r="B62" t="s">
        <v>22</v>
      </c>
      <c r="C62" t="s">
        <v>23</v>
      </c>
      <c r="D62" t="s">
        <v>17</v>
      </c>
      <c r="E62" t="s">
        <v>18</v>
      </c>
      <c r="F62" t="s">
        <v>32</v>
      </c>
      <c r="G62" s="3">
        <v>24.74</v>
      </c>
      <c r="H62" s="6">
        <v>3</v>
      </c>
      <c r="I62" s="3">
        <v>3.7109999999999999</v>
      </c>
      <c r="J62" s="3">
        <v>77.930999999999997</v>
      </c>
      <c r="K62" s="2">
        <v>43537</v>
      </c>
      <c r="L62" s="1">
        <v>0.74097222222222225</v>
      </c>
      <c r="M62" t="s">
        <v>29</v>
      </c>
      <c r="N62" s="3">
        <v>74.22</v>
      </c>
      <c r="O62" s="4">
        <v>4.7619047620000003</v>
      </c>
      <c r="P62" s="5">
        <v>3.7109999999999999</v>
      </c>
      <c r="Q62">
        <v>10</v>
      </c>
      <c r="R62" s="6">
        <f>DAY(SuperMarket_Analysis[[#This Row],[Date]])</f>
        <v>13</v>
      </c>
      <c r="S62" s="6" t="str">
        <f>TEXT(SuperMarket_Analysis[[#This Row],[Date]],"mmmm")</f>
        <v>March</v>
      </c>
      <c r="T62" s="6">
        <f>YEAR(SuperMarket_Analysis[[#This Row],[Date]])</f>
        <v>2019</v>
      </c>
    </row>
    <row r="63" spans="1:20" x14ac:dyDescent="0.3">
      <c r="A63" t="s">
        <v>93</v>
      </c>
      <c r="B63" t="s">
        <v>22</v>
      </c>
      <c r="C63" t="s">
        <v>23</v>
      </c>
      <c r="D63" t="s">
        <v>17</v>
      </c>
      <c r="E63" t="s">
        <v>18</v>
      </c>
      <c r="F63" t="s">
        <v>28</v>
      </c>
      <c r="G63" s="3">
        <v>55.73</v>
      </c>
      <c r="H63" s="6">
        <v>6</v>
      </c>
      <c r="I63" s="3">
        <v>16.719000000000001</v>
      </c>
      <c r="J63" s="3">
        <v>351.09899999999999</v>
      </c>
      <c r="K63" s="2">
        <v>43492</v>
      </c>
      <c r="L63" s="1">
        <v>0.4548611111111111</v>
      </c>
      <c r="M63" t="s">
        <v>20</v>
      </c>
      <c r="N63" s="3">
        <v>334.38</v>
      </c>
      <c r="O63" s="4">
        <v>4.7619047620000003</v>
      </c>
      <c r="P63" s="5">
        <v>16.719000000000001</v>
      </c>
      <c r="Q63">
        <v>7</v>
      </c>
      <c r="R63" s="6">
        <f>DAY(SuperMarket_Analysis[[#This Row],[Date]])</f>
        <v>27</v>
      </c>
      <c r="S63" s="6" t="str">
        <f>TEXT(SuperMarket_Analysis[[#This Row],[Date]],"mmmm")</f>
        <v>January</v>
      </c>
      <c r="T63" s="6">
        <f>YEAR(SuperMarket_Analysis[[#This Row],[Date]])</f>
        <v>2019</v>
      </c>
    </row>
    <row r="64" spans="1:20" x14ac:dyDescent="0.3">
      <c r="A64" t="s">
        <v>94</v>
      </c>
      <c r="B64" t="s">
        <v>38</v>
      </c>
      <c r="C64" t="s">
        <v>39</v>
      </c>
      <c r="D64" t="s">
        <v>17</v>
      </c>
      <c r="E64" t="s">
        <v>18</v>
      </c>
      <c r="F64" t="s">
        <v>32</v>
      </c>
      <c r="G64" s="3">
        <v>55.07</v>
      </c>
      <c r="H64" s="6">
        <v>9</v>
      </c>
      <c r="I64" s="3">
        <v>24.781500000000001</v>
      </c>
      <c r="J64" s="3">
        <v>520.41150000000005</v>
      </c>
      <c r="K64" s="2">
        <v>43490</v>
      </c>
      <c r="L64" s="1">
        <v>0.56944444444444442</v>
      </c>
      <c r="M64" t="s">
        <v>20</v>
      </c>
      <c r="N64" s="3">
        <v>495.63</v>
      </c>
      <c r="O64" s="4">
        <v>4.7619047620000003</v>
      </c>
      <c r="P64" s="5">
        <v>24.781500000000001</v>
      </c>
      <c r="Q64">
        <v>10</v>
      </c>
      <c r="R64" s="6">
        <f>DAY(SuperMarket_Analysis[[#This Row],[Date]])</f>
        <v>25</v>
      </c>
      <c r="S64" s="6" t="str">
        <f>TEXT(SuperMarket_Analysis[[#This Row],[Date]],"mmmm")</f>
        <v>January</v>
      </c>
      <c r="T64" s="6">
        <f>YEAR(SuperMarket_Analysis[[#This Row],[Date]])</f>
        <v>2019</v>
      </c>
    </row>
    <row r="65" spans="1:20" x14ac:dyDescent="0.3">
      <c r="A65" t="s">
        <v>95</v>
      </c>
      <c r="B65" t="s">
        <v>15</v>
      </c>
      <c r="C65" t="s">
        <v>16</v>
      </c>
      <c r="D65" t="s">
        <v>17</v>
      </c>
      <c r="E65" t="s">
        <v>18</v>
      </c>
      <c r="F65" t="s">
        <v>32</v>
      </c>
      <c r="G65" s="3">
        <v>15.81</v>
      </c>
      <c r="H65" s="6">
        <v>10</v>
      </c>
      <c r="I65" s="3">
        <v>7.9050000000000002</v>
      </c>
      <c r="J65" s="3">
        <v>166.005</v>
      </c>
      <c r="K65" s="2">
        <v>43513</v>
      </c>
      <c r="L65" s="1">
        <v>0.51875000000000004</v>
      </c>
      <c r="M65" t="s">
        <v>29</v>
      </c>
      <c r="N65" s="3">
        <v>158.1</v>
      </c>
      <c r="O65" s="4">
        <v>4.7619047620000003</v>
      </c>
      <c r="P65" s="5">
        <v>7.9050000000000002</v>
      </c>
      <c r="Q65">
        <v>8.6</v>
      </c>
      <c r="R65" s="6">
        <f>DAY(SuperMarket_Analysis[[#This Row],[Date]])</f>
        <v>17</v>
      </c>
      <c r="S65" s="6" t="str">
        <f>TEXT(SuperMarket_Analysis[[#This Row],[Date]],"mmmm")</f>
        <v>February</v>
      </c>
      <c r="T65" s="6">
        <f>YEAR(SuperMarket_Analysis[[#This Row],[Date]])</f>
        <v>2019</v>
      </c>
    </row>
    <row r="66" spans="1:20" x14ac:dyDescent="0.3">
      <c r="A66" t="s">
        <v>96</v>
      </c>
      <c r="B66" t="s">
        <v>38</v>
      </c>
      <c r="C66" t="s">
        <v>39</v>
      </c>
      <c r="D66" t="s">
        <v>17</v>
      </c>
      <c r="E66" t="s">
        <v>18</v>
      </c>
      <c r="F66" t="s">
        <v>19</v>
      </c>
      <c r="G66" s="3">
        <v>75.739999999999995</v>
      </c>
      <c r="H66" s="6">
        <v>4</v>
      </c>
      <c r="I66" s="3">
        <v>15.148</v>
      </c>
      <c r="J66" s="3">
        <v>318.108</v>
      </c>
      <c r="K66" s="2">
        <v>43514</v>
      </c>
      <c r="L66" s="1">
        <v>0.60763888888888884</v>
      </c>
      <c r="M66" t="s">
        <v>26</v>
      </c>
      <c r="N66" s="3">
        <v>302.95999999999998</v>
      </c>
      <c r="O66" s="4">
        <v>4.7619047620000003</v>
      </c>
      <c r="P66" s="5">
        <v>15.148</v>
      </c>
      <c r="Q66">
        <v>7.6</v>
      </c>
      <c r="R66" s="6">
        <f>DAY(SuperMarket_Analysis[[#This Row],[Date]])</f>
        <v>18</v>
      </c>
      <c r="S66" s="6" t="str">
        <f>TEXT(SuperMarket_Analysis[[#This Row],[Date]],"mmmm")</f>
        <v>February</v>
      </c>
      <c r="T66" s="6">
        <f>YEAR(SuperMarket_Analysis[[#This Row],[Date]])</f>
        <v>2019</v>
      </c>
    </row>
    <row r="67" spans="1:20" x14ac:dyDescent="0.3">
      <c r="A67" t="s">
        <v>97</v>
      </c>
      <c r="B67" t="s">
        <v>15</v>
      </c>
      <c r="C67" t="s">
        <v>16</v>
      </c>
      <c r="D67" t="s">
        <v>17</v>
      </c>
      <c r="E67" t="s">
        <v>18</v>
      </c>
      <c r="F67" t="s">
        <v>19</v>
      </c>
      <c r="G67" s="3">
        <v>15.87</v>
      </c>
      <c r="H67" s="6">
        <v>10</v>
      </c>
      <c r="I67" s="3">
        <v>7.9349999999999996</v>
      </c>
      <c r="J67" s="3">
        <v>166.63499999999999</v>
      </c>
      <c r="K67" s="2">
        <v>43483</v>
      </c>
      <c r="L67" s="1">
        <v>0.69444444444444442</v>
      </c>
      <c r="M67" t="s">
        <v>26</v>
      </c>
      <c r="N67" s="3">
        <v>158.69999999999999</v>
      </c>
      <c r="O67" s="4">
        <v>4.7619047620000003</v>
      </c>
      <c r="P67" s="5">
        <v>7.9349999999999996</v>
      </c>
      <c r="Q67">
        <v>5.8</v>
      </c>
      <c r="R67" s="6">
        <f>DAY(SuperMarket_Analysis[[#This Row],[Date]])</f>
        <v>18</v>
      </c>
      <c r="S67" s="6" t="str">
        <f>TEXT(SuperMarket_Analysis[[#This Row],[Date]],"mmmm")</f>
        <v>January</v>
      </c>
      <c r="T67" s="6">
        <f>YEAR(SuperMarket_Analysis[[#This Row],[Date]])</f>
        <v>2019</v>
      </c>
    </row>
    <row r="68" spans="1:20" x14ac:dyDescent="0.3">
      <c r="A68" t="s">
        <v>98</v>
      </c>
      <c r="B68" t="s">
        <v>22</v>
      </c>
      <c r="C68" t="s">
        <v>23</v>
      </c>
      <c r="D68" t="s">
        <v>17</v>
      </c>
      <c r="E68" t="s">
        <v>18</v>
      </c>
      <c r="F68" t="s">
        <v>19</v>
      </c>
      <c r="G68" s="3">
        <v>33.47</v>
      </c>
      <c r="H68" s="6">
        <v>2</v>
      </c>
      <c r="I68" s="3">
        <v>3.347</v>
      </c>
      <c r="J68" s="3">
        <v>70.287000000000006</v>
      </c>
      <c r="K68" s="2">
        <v>43514</v>
      </c>
      <c r="L68" s="1">
        <v>0.65486111111111112</v>
      </c>
      <c r="M68" t="s">
        <v>20</v>
      </c>
      <c r="N68" s="3">
        <v>66.94</v>
      </c>
      <c r="O68" s="4">
        <v>4.7619047620000003</v>
      </c>
      <c r="P68" s="5">
        <v>3.347</v>
      </c>
      <c r="Q68">
        <v>6.7</v>
      </c>
      <c r="R68" s="6">
        <f>DAY(SuperMarket_Analysis[[#This Row],[Date]])</f>
        <v>18</v>
      </c>
      <c r="S68" s="6" t="str">
        <f>TEXT(SuperMarket_Analysis[[#This Row],[Date]],"mmmm")</f>
        <v>February</v>
      </c>
      <c r="T68" s="6">
        <f>YEAR(SuperMarket_Analysis[[#This Row],[Date]])</f>
        <v>2019</v>
      </c>
    </row>
    <row r="69" spans="1:20" x14ac:dyDescent="0.3">
      <c r="A69" t="s">
        <v>99</v>
      </c>
      <c r="B69" t="s">
        <v>38</v>
      </c>
      <c r="C69" t="s">
        <v>39</v>
      </c>
      <c r="D69" t="s">
        <v>17</v>
      </c>
      <c r="E69" t="s">
        <v>18</v>
      </c>
      <c r="F69" t="s">
        <v>42</v>
      </c>
      <c r="G69" s="3">
        <v>97.61</v>
      </c>
      <c r="H69" s="6">
        <v>6</v>
      </c>
      <c r="I69" s="3">
        <v>29.283000000000001</v>
      </c>
      <c r="J69" s="3">
        <v>614.94299999999998</v>
      </c>
      <c r="K69" s="2">
        <v>43512</v>
      </c>
      <c r="L69" s="1">
        <v>0.62569444444444444</v>
      </c>
      <c r="M69" t="s">
        <v>20</v>
      </c>
      <c r="N69" s="3">
        <v>585.66</v>
      </c>
      <c r="O69" s="4">
        <v>4.7619047620000003</v>
      </c>
      <c r="P69" s="5">
        <v>29.283000000000001</v>
      </c>
      <c r="Q69">
        <v>9.9</v>
      </c>
      <c r="R69" s="6">
        <f>DAY(SuperMarket_Analysis[[#This Row],[Date]])</f>
        <v>16</v>
      </c>
      <c r="S69" s="6" t="str">
        <f>TEXT(SuperMarket_Analysis[[#This Row],[Date]],"mmmm")</f>
        <v>February</v>
      </c>
      <c r="T69" s="6">
        <f>YEAR(SuperMarket_Analysis[[#This Row],[Date]])</f>
        <v>2019</v>
      </c>
    </row>
    <row r="70" spans="1:20" x14ac:dyDescent="0.3">
      <c r="A70" t="s">
        <v>100</v>
      </c>
      <c r="B70" t="s">
        <v>15</v>
      </c>
      <c r="C70" t="s">
        <v>16</v>
      </c>
      <c r="D70" t="s">
        <v>17</v>
      </c>
      <c r="E70" t="s">
        <v>18</v>
      </c>
      <c r="F70" t="s">
        <v>32</v>
      </c>
      <c r="G70" s="3">
        <v>78.77</v>
      </c>
      <c r="H70" s="6">
        <v>10</v>
      </c>
      <c r="I70" s="3">
        <v>39.384999999999998</v>
      </c>
      <c r="J70" s="3">
        <v>827.08500000000004</v>
      </c>
      <c r="K70" s="2">
        <v>43540</v>
      </c>
      <c r="L70" s="1">
        <v>0.41944444444444445</v>
      </c>
      <c r="M70" t="s">
        <v>26</v>
      </c>
      <c r="N70" s="3">
        <v>787.7</v>
      </c>
      <c r="O70" s="4">
        <v>4.7619047620000003</v>
      </c>
      <c r="P70" s="5">
        <v>39.384999999999998</v>
      </c>
      <c r="Q70">
        <v>6.4</v>
      </c>
      <c r="R70" s="6">
        <f>DAY(SuperMarket_Analysis[[#This Row],[Date]])</f>
        <v>16</v>
      </c>
      <c r="S70" s="6" t="str">
        <f>TEXT(SuperMarket_Analysis[[#This Row],[Date]],"mmmm")</f>
        <v>March</v>
      </c>
      <c r="T70" s="6">
        <f>YEAR(SuperMarket_Analysis[[#This Row],[Date]])</f>
        <v>2019</v>
      </c>
    </row>
    <row r="71" spans="1:20" x14ac:dyDescent="0.3">
      <c r="A71" t="s">
        <v>101</v>
      </c>
      <c r="B71" t="s">
        <v>15</v>
      </c>
      <c r="C71" t="s">
        <v>16</v>
      </c>
      <c r="D71" t="s">
        <v>17</v>
      </c>
      <c r="E71" t="s">
        <v>18</v>
      </c>
      <c r="F71" t="s">
        <v>19</v>
      </c>
      <c r="G71" s="3">
        <v>18.329999999999998</v>
      </c>
      <c r="H71" s="6">
        <v>1</v>
      </c>
      <c r="I71" s="3">
        <v>0.91649999999999998</v>
      </c>
      <c r="J71" s="3">
        <v>19.246500000000001</v>
      </c>
      <c r="K71" s="2">
        <v>43488</v>
      </c>
      <c r="L71" s="1">
        <v>0.78472222222222221</v>
      </c>
      <c r="M71" t="s">
        <v>26</v>
      </c>
      <c r="N71" s="3">
        <v>18.329999999999998</v>
      </c>
      <c r="O71" s="4">
        <v>4.7619047620000003</v>
      </c>
      <c r="P71" s="5">
        <v>0.91649999999999998</v>
      </c>
      <c r="Q71">
        <v>4.3</v>
      </c>
      <c r="R71" s="6">
        <f>DAY(SuperMarket_Analysis[[#This Row],[Date]])</f>
        <v>23</v>
      </c>
      <c r="S71" s="6" t="str">
        <f>TEXT(SuperMarket_Analysis[[#This Row],[Date]],"mmmm")</f>
        <v>January</v>
      </c>
      <c r="T71" s="6">
        <f>YEAR(SuperMarket_Analysis[[#This Row],[Date]])</f>
        <v>2019</v>
      </c>
    </row>
    <row r="72" spans="1:20" x14ac:dyDescent="0.3">
      <c r="A72" t="s">
        <v>102</v>
      </c>
      <c r="B72" t="s">
        <v>22</v>
      </c>
      <c r="C72" t="s">
        <v>23</v>
      </c>
      <c r="D72" t="s">
        <v>17</v>
      </c>
      <c r="E72" t="s">
        <v>18</v>
      </c>
      <c r="F72" t="s">
        <v>40</v>
      </c>
      <c r="G72" s="3">
        <v>89.48</v>
      </c>
      <c r="H72" s="6">
        <v>10</v>
      </c>
      <c r="I72" s="3">
        <v>44.74</v>
      </c>
      <c r="J72" s="3">
        <v>939.54</v>
      </c>
      <c r="K72" s="2">
        <v>43490</v>
      </c>
      <c r="L72" s="1">
        <v>0.53194444444444444</v>
      </c>
      <c r="M72" t="s">
        <v>29</v>
      </c>
      <c r="N72" s="3">
        <v>894.8</v>
      </c>
      <c r="O72" s="4">
        <v>4.7619047620000003</v>
      </c>
      <c r="P72" s="5">
        <v>44.74</v>
      </c>
      <c r="Q72">
        <v>9.6</v>
      </c>
      <c r="R72" s="6">
        <f>DAY(SuperMarket_Analysis[[#This Row],[Date]])</f>
        <v>25</v>
      </c>
      <c r="S72" s="6" t="str">
        <f>TEXT(SuperMarket_Analysis[[#This Row],[Date]],"mmmm")</f>
        <v>January</v>
      </c>
      <c r="T72" s="6">
        <f>YEAR(SuperMarket_Analysis[[#This Row],[Date]])</f>
        <v>2019</v>
      </c>
    </row>
    <row r="73" spans="1:20" x14ac:dyDescent="0.3">
      <c r="A73" t="s">
        <v>103</v>
      </c>
      <c r="B73" t="s">
        <v>22</v>
      </c>
      <c r="C73" t="s">
        <v>23</v>
      </c>
      <c r="D73" t="s">
        <v>17</v>
      </c>
      <c r="E73" t="s">
        <v>18</v>
      </c>
      <c r="F73" t="s">
        <v>42</v>
      </c>
      <c r="G73" s="3">
        <v>62.12</v>
      </c>
      <c r="H73" s="6">
        <v>10</v>
      </c>
      <c r="I73" s="3">
        <v>31.06</v>
      </c>
      <c r="J73" s="3">
        <v>652.26</v>
      </c>
      <c r="K73" s="2">
        <v>43518</v>
      </c>
      <c r="L73" s="1">
        <v>0.67986111111111114</v>
      </c>
      <c r="M73" t="s">
        <v>26</v>
      </c>
      <c r="N73" s="3">
        <v>621.20000000000005</v>
      </c>
      <c r="O73" s="4">
        <v>4.7619047620000003</v>
      </c>
      <c r="P73" s="5">
        <v>31.06</v>
      </c>
      <c r="Q73">
        <v>5.9</v>
      </c>
      <c r="R73" s="6">
        <f>DAY(SuperMarket_Analysis[[#This Row],[Date]])</f>
        <v>22</v>
      </c>
      <c r="S73" s="6" t="str">
        <f>TEXT(SuperMarket_Analysis[[#This Row],[Date]],"mmmm")</f>
        <v>February</v>
      </c>
      <c r="T73" s="6">
        <f>YEAR(SuperMarket_Analysis[[#This Row],[Date]])</f>
        <v>2019</v>
      </c>
    </row>
    <row r="74" spans="1:20" x14ac:dyDescent="0.3">
      <c r="A74" t="s">
        <v>104</v>
      </c>
      <c r="B74" t="s">
        <v>38</v>
      </c>
      <c r="C74" t="s">
        <v>39</v>
      </c>
      <c r="D74" t="s">
        <v>17</v>
      </c>
      <c r="E74" t="s">
        <v>18</v>
      </c>
      <c r="F74" t="s">
        <v>40</v>
      </c>
      <c r="G74" s="3">
        <v>48.52</v>
      </c>
      <c r="H74" s="6">
        <v>3</v>
      </c>
      <c r="I74" s="3">
        <v>7.2779999999999996</v>
      </c>
      <c r="J74" s="3">
        <v>152.83799999999999</v>
      </c>
      <c r="K74" s="2">
        <v>43486</v>
      </c>
      <c r="L74" s="1">
        <v>0.76180555555555551</v>
      </c>
      <c r="M74" t="s">
        <v>20</v>
      </c>
      <c r="N74" s="3">
        <v>145.56</v>
      </c>
      <c r="O74" s="4">
        <v>4.7619047620000003</v>
      </c>
      <c r="P74" s="5">
        <v>7.2779999999999996</v>
      </c>
      <c r="Q74">
        <v>4</v>
      </c>
      <c r="R74" s="6">
        <f>DAY(SuperMarket_Analysis[[#This Row],[Date]])</f>
        <v>21</v>
      </c>
      <c r="S74" s="6" t="str">
        <f>TEXT(SuperMarket_Analysis[[#This Row],[Date]],"mmmm")</f>
        <v>January</v>
      </c>
      <c r="T74" s="6">
        <f>YEAR(SuperMarket_Analysis[[#This Row],[Date]])</f>
        <v>2019</v>
      </c>
    </row>
    <row r="75" spans="1:20" x14ac:dyDescent="0.3">
      <c r="A75" t="s">
        <v>105</v>
      </c>
      <c r="B75" t="s">
        <v>22</v>
      </c>
      <c r="C75" t="s">
        <v>23</v>
      </c>
      <c r="D75" t="s">
        <v>17</v>
      </c>
      <c r="E75" t="s">
        <v>18</v>
      </c>
      <c r="F75" t="s">
        <v>25</v>
      </c>
      <c r="G75" s="3">
        <v>75.91</v>
      </c>
      <c r="H75" s="6">
        <v>6</v>
      </c>
      <c r="I75" s="3">
        <v>22.773</v>
      </c>
      <c r="J75" s="3">
        <v>478.233</v>
      </c>
      <c r="K75" s="2">
        <v>43543</v>
      </c>
      <c r="L75" s="1">
        <v>0.76458333333333328</v>
      </c>
      <c r="M75" t="s">
        <v>26</v>
      </c>
      <c r="N75" s="3">
        <v>455.46</v>
      </c>
      <c r="O75" s="4">
        <v>4.7619047620000003</v>
      </c>
      <c r="P75" s="5">
        <v>22.773</v>
      </c>
      <c r="Q75">
        <v>8.6999999999999993</v>
      </c>
      <c r="R75" s="6">
        <f>DAY(SuperMarket_Analysis[[#This Row],[Date]])</f>
        <v>19</v>
      </c>
      <c r="S75" s="6" t="str">
        <f>TEXT(SuperMarket_Analysis[[#This Row],[Date]],"mmmm")</f>
        <v>March</v>
      </c>
      <c r="T75" s="6">
        <f>YEAR(SuperMarket_Analysis[[#This Row],[Date]])</f>
        <v>2019</v>
      </c>
    </row>
    <row r="76" spans="1:20" x14ac:dyDescent="0.3">
      <c r="A76" t="s">
        <v>106</v>
      </c>
      <c r="B76" t="s">
        <v>15</v>
      </c>
      <c r="C76" t="s">
        <v>16</v>
      </c>
      <c r="D76" t="s">
        <v>17</v>
      </c>
      <c r="E76" t="s">
        <v>18</v>
      </c>
      <c r="F76" t="s">
        <v>28</v>
      </c>
      <c r="G76" s="3">
        <v>74.67</v>
      </c>
      <c r="H76" s="6">
        <v>9</v>
      </c>
      <c r="I76" s="3">
        <v>33.601500000000001</v>
      </c>
      <c r="J76" s="3">
        <v>705.63149999999996</v>
      </c>
      <c r="K76" s="2">
        <v>43551</v>
      </c>
      <c r="L76" s="1">
        <v>0.4548611111111111</v>
      </c>
      <c r="M76" t="s">
        <v>20</v>
      </c>
      <c r="N76" s="3">
        <v>672.03</v>
      </c>
      <c r="O76" s="4">
        <v>4.7619047620000003</v>
      </c>
      <c r="P76" s="5">
        <v>33.601500000000001</v>
      </c>
      <c r="Q76">
        <v>9.4</v>
      </c>
      <c r="R76" s="6">
        <f>DAY(SuperMarket_Analysis[[#This Row],[Date]])</f>
        <v>27</v>
      </c>
      <c r="S76" s="6" t="str">
        <f>TEXT(SuperMarket_Analysis[[#This Row],[Date]],"mmmm")</f>
        <v>March</v>
      </c>
      <c r="T76" s="6">
        <f>YEAR(SuperMarket_Analysis[[#This Row],[Date]])</f>
        <v>2019</v>
      </c>
    </row>
    <row r="77" spans="1:20" x14ac:dyDescent="0.3">
      <c r="A77" t="s">
        <v>107</v>
      </c>
      <c r="B77" t="s">
        <v>22</v>
      </c>
      <c r="C77" t="s">
        <v>23</v>
      </c>
      <c r="D77" t="s">
        <v>17</v>
      </c>
      <c r="E77" t="s">
        <v>18</v>
      </c>
      <c r="F77" t="s">
        <v>25</v>
      </c>
      <c r="G77" s="3">
        <v>41.65</v>
      </c>
      <c r="H77" s="6">
        <v>10</v>
      </c>
      <c r="I77" s="3">
        <v>20.824999999999999</v>
      </c>
      <c r="J77" s="3">
        <v>437.32499999999999</v>
      </c>
      <c r="K77" s="2">
        <v>43547</v>
      </c>
      <c r="L77" s="1">
        <v>0.71111111111111114</v>
      </c>
      <c r="M77" t="s">
        <v>29</v>
      </c>
      <c r="N77" s="3">
        <v>416.5</v>
      </c>
      <c r="O77" s="4">
        <v>4.7619047620000003</v>
      </c>
      <c r="P77" s="5">
        <v>20.824999999999999</v>
      </c>
      <c r="Q77">
        <v>5.4</v>
      </c>
      <c r="R77" s="6">
        <f>DAY(SuperMarket_Analysis[[#This Row],[Date]])</f>
        <v>23</v>
      </c>
      <c r="S77" s="6" t="str">
        <f>TEXT(SuperMarket_Analysis[[#This Row],[Date]],"mmmm")</f>
        <v>March</v>
      </c>
      <c r="T77" s="6">
        <f>YEAR(SuperMarket_Analysis[[#This Row],[Date]])</f>
        <v>2019</v>
      </c>
    </row>
    <row r="78" spans="1:20" x14ac:dyDescent="0.3">
      <c r="A78" t="s">
        <v>108</v>
      </c>
      <c r="B78" t="s">
        <v>22</v>
      </c>
      <c r="C78" t="s">
        <v>23</v>
      </c>
      <c r="D78" t="s">
        <v>17</v>
      </c>
      <c r="E78" t="s">
        <v>18</v>
      </c>
      <c r="F78" t="s">
        <v>42</v>
      </c>
      <c r="G78" s="3">
        <v>49.04</v>
      </c>
      <c r="H78" s="6">
        <v>9</v>
      </c>
      <c r="I78" s="3">
        <v>22.068000000000001</v>
      </c>
      <c r="J78" s="3">
        <v>463.428</v>
      </c>
      <c r="K78" s="2">
        <v>43494</v>
      </c>
      <c r="L78" s="1">
        <v>0.59722222222222221</v>
      </c>
      <c r="M78" t="s">
        <v>29</v>
      </c>
      <c r="N78" s="3">
        <v>441.36</v>
      </c>
      <c r="O78" s="4">
        <v>4.7619047620000003</v>
      </c>
      <c r="P78" s="5">
        <v>22.068000000000001</v>
      </c>
      <c r="Q78">
        <v>8.6</v>
      </c>
      <c r="R78" s="6">
        <f>DAY(SuperMarket_Analysis[[#This Row],[Date]])</f>
        <v>29</v>
      </c>
      <c r="S78" s="6" t="str">
        <f>TEXT(SuperMarket_Analysis[[#This Row],[Date]],"mmmm")</f>
        <v>January</v>
      </c>
      <c r="T78" s="6">
        <f>YEAR(SuperMarket_Analysis[[#This Row],[Date]])</f>
        <v>2019</v>
      </c>
    </row>
    <row r="79" spans="1:20" x14ac:dyDescent="0.3">
      <c r="A79" t="s">
        <v>109</v>
      </c>
      <c r="B79" t="s">
        <v>15</v>
      </c>
      <c r="C79" t="s">
        <v>16</v>
      </c>
      <c r="D79" t="s">
        <v>17</v>
      </c>
      <c r="E79" t="s">
        <v>18</v>
      </c>
      <c r="F79" t="s">
        <v>42</v>
      </c>
      <c r="G79" s="3">
        <v>20.010000000000002</v>
      </c>
      <c r="H79" s="6">
        <v>9</v>
      </c>
      <c r="I79" s="3">
        <v>9.0045000000000002</v>
      </c>
      <c r="J79" s="3">
        <v>189.09450000000001</v>
      </c>
      <c r="K79" s="2">
        <v>43493</v>
      </c>
      <c r="L79" s="1">
        <v>0.65833333333333333</v>
      </c>
      <c r="M79" t="s">
        <v>29</v>
      </c>
      <c r="N79" s="3">
        <v>180.09</v>
      </c>
      <c r="O79" s="4">
        <v>4.7619047620000003</v>
      </c>
      <c r="P79" s="5">
        <v>9.0045000000000002</v>
      </c>
      <c r="Q79">
        <v>5.7</v>
      </c>
      <c r="R79" s="6">
        <f>DAY(SuperMarket_Analysis[[#This Row],[Date]])</f>
        <v>28</v>
      </c>
      <c r="S79" s="6" t="str">
        <f>TEXT(SuperMarket_Analysis[[#This Row],[Date]],"mmmm")</f>
        <v>January</v>
      </c>
      <c r="T79" s="6">
        <f>YEAR(SuperMarket_Analysis[[#This Row],[Date]])</f>
        <v>2019</v>
      </c>
    </row>
    <row r="80" spans="1:20" x14ac:dyDescent="0.3">
      <c r="A80" t="s">
        <v>110</v>
      </c>
      <c r="B80" t="s">
        <v>22</v>
      </c>
      <c r="C80" t="s">
        <v>23</v>
      </c>
      <c r="D80" t="s">
        <v>17</v>
      </c>
      <c r="E80" t="s">
        <v>18</v>
      </c>
      <c r="F80" t="s">
        <v>40</v>
      </c>
      <c r="G80" s="3">
        <v>78.31</v>
      </c>
      <c r="H80" s="6">
        <v>10</v>
      </c>
      <c r="I80" s="3">
        <v>39.155000000000001</v>
      </c>
      <c r="J80" s="3">
        <v>822.255</v>
      </c>
      <c r="K80" s="2">
        <v>43516</v>
      </c>
      <c r="L80" s="1">
        <v>0.68333333333333335</v>
      </c>
      <c r="M80" t="s">
        <v>20</v>
      </c>
      <c r="N80" s="3">
        <v>783.1</v>
      </c>
      <c r="O80" s="4">
        <v>4.7619047620000003</v>
      </c>
      <c r="P80" s="5">
        <v>39.155000000000001</v>
      </c>
      <c r="Q80">
        <v>6.6</v>
      </c>
      <c r="R80" s="6">
        <f>DAY(SuperMarket_Analysis[[#This Row],[Date]])</f>
        <v>20</v>
      </c>
      <c r="S80" s="6" t="str">
        <f>TEXT(SuperMarket_Analysis[[#This Row],[Date]],"mmmm")</f>
        <v>February</v>
      </c>
      <c r="T80" s="6">
        <f>YEAR(SuperMarket_Analysis[[#This Row],[Date]])</f>
        <v>2019</v>
      </c>
    </row>
    <row r="81" spans="1:20" x14ac:dyDescent="0.3">
      <c r="A81" t="s">
        <v>111</v>
      </c>
      <c r="B81" t="s">
        <v>22</v>
      </c>
      <c r="C81" t="s">
        <v>23</v>
      </c>
      <c r="D81" t="s">
        <v>17</v>
      </c>
      <c r="E81" t="s">
        <v>18</v>
      </c>
      <c r="F81" t="s">
        <v>19</v>
      </c>
      <c r="G81" s="3">
        <v>20.38</v>
      </c>
      <c r="H81" s="6">
        <v>5</v>
      </c>
      <c r="I81" s="3">
        <v>5.0949999999999998</v>
      </c>
      <c r="J81" s="3">
        <v>106.995</v>
      </c>
      <c r="K81" s="2">
        <v>43554</v>
      </c>
      <c r="L81" s="1">
        <v>0.78888888888888886</v>
      </c>
      <c r="M81" t="s">
        <v>26</v>
      </c>
      <c r="N81" s="3">
        <v>101.9</v>
      </c>
      <c r="O81" s="4">
        <v>4.7619047620000003</v>
      </c>
      <c r="P81" s="5">
        <v>5.0949999999999998</v>
      </c>
      <c r="Q81">
        <v>6</v>
      </c>
      <c r="R81" s="6">
        <f>DAY(SuperMarket_Analysis[[#This Row],[Date]])</f>
        <v>30</v>
      </c>
      <c r="S81" s="6" t="str">
        <f>TEXT(SuperMarket_Analysis[[#This Row],[Date]],"mmmm")</f>
        <v>March</v>
      </c>
      <c r="T81" s="6">
        <f>YEAR(SuperMarket_Analysis[[#This Row],[Date]])</f>
        <v>2019</v>
      </c>
    </row>
    <row r="82" spans="1:20" x14ac:dyDescent="0.3">
      <c r="A82" t="s">
        <v>112</v>
      </c>
      <c r="B82" t="s">
        <v>22</v>
      </c>
      <c r="C82" t="s">
        <v>23</v>
      </c>
      <c r="D82" t="s">
        <v>17</v>
      </c>
      <c r="E82" t="s">
        <v>18</v>
      </c>
      <c r="F82" t="s">
        <v>19</v>
      </c>
      <c r="G82" s="3">
        <v>99.19</v>
      </c>
      <c r="H82" s="6">
        <v>6</v>
      </c>
      <c r="I82" s="3">
        <v>29.757000000000001</v>
      </c>
      <c r="J82" s="3">
        <v>624.89700000000005</v>
      </c>
      <c r="K82" s="2">
        <v>43551</v>
      </c>
      <c r="L82" s="1">
        <v>0.61250000000000004</v>
      </c>
      <c r="M82" t="s">
        <v>29</v>
      </c>
      <c r="N82" s="3">
        <v>595.14</v>
      </c>
      <c r="O82" s="4">
        <v>4.7619047620000003</v>
      </c>
      <c r="P82" s="5">
        <v>29.757000000000001</v>
      </c>
      <c r="Q82">
        <v>5.5</v>
      </c>
      <c r="R82" s="6">
        <f>DAY(SuperMarket_Analysis[[#This Row],[Date]])</f>
        <v>27</v>
      </c>
      <c r="S82" s="6" t="str">
        <f>TEXT(SuperMarket_Analysis[[#This Row],[Date]],"mmmm")</f>
        <v>March</v>
      </c>
      <c r="T82" s="6">
        <f>YEAR(SuperMarket_Analysis[[#This Row],[Date]])</f>
        <v>2019</v>
      </c>
    </row>
    <row r="83" spans="1:20" x14ac:dyDescent="0.3">
      <c r="A83" t="s">
        <v>113</v>
      </c>
      <c r="B83" t="s">
        <v>38</v>
      </c>
      <c r="C83" t="s">
        <v>39</v>
      </c>
      <c r="D83" t="s">
        <v>17</v>
      </c>
      <c r="E83" t="s">
        <v>18</v>
      </c>
      <c r="F83" t="s">
        <v>40</v>
      </c>
      <c r="G83" s="3">
        <v>96.68</v>
      </c>
      <c r="H83" s="6">
        <v>3</v>
      </c>
      <c r="I83" s="3">
        <v>14.502000000000001</v>
      </c>
      <c r="J83" s="3">
        <v>304.54199999999997</v>
      </c>
      <c r="K83" s="2">
        <v>43484</v>
      </c>
      <c r="L83" s="1">
        <v>0.8305555555555556</v>
      </c>
      <c r="M83" t="s">
        <v>20</v>
      </c>
      <c r="N83" s="3">
        <v>290.04000000000002</v>
      </c>
      <c r="O83" s="4">
        <v>4.7619047620000003</v>
      </c>
      <c r="P83" s="5">
        <v>14.502000000000001</v>
      </c>
      <c r="Q83">
        <v>6.4</v>
      </c>
      <c r="R83" s="6">
        <f>DAY(SuperMarket_Analysis[[#This Row],[Date]])</f>
        <v>19</v>
      </c>
      <c r="S83" s="6" t="str">
        <f>TEXT(SuperMarket_Analysis[[#This Row],[Date]],"mmmm")</f>
        <v>January</v>
      </c>
      <c r="T83" s="6">
        <f>YEAR(SuperMarket_Analysis[[#This Row],[Date]])</f>
        <v>2019</v>
      </c>
    </row>
    <row r="84" spans="1:20" x14ac:dyDescent="0.3">
      <c r="A84" t="s">
        <v>114</v>
      </c>
      <c r="B84" t="s">
        <v>22</v>
      </c>
      <c r="C84" t="s">
        <v>23</v>
      </c>
      <c r="D84" t="s">
        <v>17</v>
      </c>
      <c r="E84" t="s">
        <v>18</v>
      </c>
      <c r="F84" t="s">
        <v>40</v>
      </c>
      <c r="G84" s="3">
        <v>19.25</v>
      </c>
      <c r="H84" s="6">
        <v>8</v>
      </c>
      <c r="I84" s="3">
        <v>7.7</v>
      </c>
      <c r="J84" s="3">
        <v>161.69999999999999</v>
      </c>
      <c r="K84" s="2">
        <v>43521</v>
      </c>
      <c r="L84" s="1">
        <v>0.77569444444444446</v>
      </c>
      <c r="M84" t="s">
        <v>20</v>
      </c>
      <c r="N84" s="3">
        <v>154</v>
      </c>
      <c r="O84" s="4">
        <v>4.7619047620000003</v>
      </c>
      <c r="P84" s="5">
        <v>7.7</v>
      </c>
      <c r="Q84">
        <v>6.6</v>
      </c>
      <c r="R84" s="6">
        <f>DAY(SuperMarket_Analysis[[#This Row],[Date]])</f>
        <v>25</v>
      </c>
      <c r="S84" s="6" t="str">
        <f>TEXT(SuperMarket_Analysis[[#This Row],[Date]],"mmmm")</f>
        <v>February</v>
      </c>
      <c r="T84" s="6">
        <f>YEAR(SuperMarket_Analysis[[#This Row],[Date]])</f>
        <v>2019</v>
      </c>
    </row>
    <row r="85" spans="1:20" x14ac:dyDescent="0.3">
      <c r="A85" t="s">
        <v>115</v>
      </c>
      <c r="B85" t="s">
        <v>22</v>
      </c>
      <c r="C85" t="s">
        <v>23</v>
      </c>
      <c r="D85" t="s">
        <v>17</v>
      </c>
      <c r="E85" t="s">
        <v>18</v>
      </c>
      <c r="F85" t="s">
        <v>40</v>
      </c>
      <c r="G85" s="3">
        <v>80.36</v>
      </c>
      <c r="H85" s="6">
        <v>4</v>
      </c>
      <c r="I85" s="3">
        <v>16.071999999999999</v>
      </c>
      <c r="J85" s="3">
        <v>337.512</v>
      </c>
      <c r="K85" s="2">
        <v>43537</v>
      </c>
      <c r="L85" s="1">
        <v>0.78125</v>
      </c>
      <c r="M85" t="s">
        <v>29</v>
      </c>
      <c r="N85" s="3">
        <v>321.44</v>
      </c>
      <c r="O85" s="4">
        <v>4.7619047620000003</v>
      </c>
      <c r="P85" s="5">
        <v>16.071999999999999</v>
      </c>
      <c r="Q85">
        <v>8.3000000000000007</v>
      </c>
      <c r="R85" s="6">
        <f>DAY(SuperMarket_Analysis[[#This Row],[Date]])</f>
        <v>13</v>
      </c>
      <c r="S85" s="6" t="str">
        <f>TEXT(SuperMarket_Analysis[[#This Row],[Date]],"mmmm")</f>
        <v>March</v>
      </c>
      <c r="T85" s="6">
        <f>YEAR(SuperMarket_Analysis[[#This Row],[Date]])</f>
        <v>2019</v>
      </c>
    </row>
    <row r="86" spans="1:20" x14ac:dyDescent="0.3">
      <c r="A86" t="s">
        <v>116</v>
      </c>
      <c r="B86" t="s">
        <v>22</v>
      </c>
      <c r="C86" t="s">
        <v>23</v>
      </c>
      <c r="D86" t="s">
        <v>17</v>
      </c>
      <c r="E86" t="s">
        <v>18</v>
      </c>
      <c r="F86" t="s">
        <v>32</v>
      </c>
      <c r="G86" s="3">
        <v>48.91</v>
      </c>
      <c r="H86" s="6">
        <v>5</v>
      </c>
      <c r="I86" s="3">
        <v>12.227499999999999</v>
      </c>
      <c r="J86" s="3">
        <v>256.77749999999997</v>
      </c>
      <c r="K86" s="2">
        <v>43495</v>
      </c>
      <c r="L86" s="1">
        <v>0.4284722222222222</v>
      </c>
      <c r="M86" t="s">
        <v>26</v>
      </c>
      <c r="N86" s="3">
        <v>244.55</v>
      </c>
      <c r="O86" s="4">
        <v>4.7619047620000003</v>
      </c>
      <c r="P86" s="5">
        <v>12.227499999999999</v>
      </c>
      <c r="Q86">
        <v>6.6</v>
      </c>
      <c r="R86" s="6">
        <f>DAY(SuperMarket_Analysis[[#This Row],[Date]])</f>
        <v>30</v>
      </c>
      <c r="S86" s="6" t="str">
        <f>TEXT(SuperMarket_Analysis[[#This Row],[Date]],"mmmm")</f>
        <v>January</v>
      </c>
      <c r="T86" s="6">
        <f>YEAR(SuperMarket_Analysis[[#This Row],[Date]])</f>
        <v>2019</v>
      </c>
    </row>
    <row r="87" spans="1:20" x14ac:dyDescent="0.3">
      <c r="A87" t="s">
        <v>117</v>
      </c>
      <c r="B87" t="s">
        <v>22</v>
      </c>
      <c r="C87" t="s">
        <v>23</v>
      </c>
      <c r="D87" t="s">
        <v>17</v>
      </c>
      <c r="E87" t="s">
        <v>18</v>
      </c>
      <c r="F87" t="s">
        <v>32</v>
      </c>
      <c r="G87" s="3">
        <v>83.06</v>
      </c>
      <c r="H87" s="6">
        <v>7</v>
      </c>
      <c r="I87" s="3">
        <v>29.071000000000002</v>
      </c>
      <c r="J87" s="3">
        <v>610.49099999999999</v>
      </c>
      <c r="K87" s="2">
        <v>43516</v>
      </c>
      <c r="L87" s="1">
        <v>0.60486111111111107</v>
      </c>
      <c r="M87" t="s">
        <v>20</v>
      </c>
      <c r="N87" s="3">
        <v>581.41999999999996</v>
      </c>
      <c r="O87" s="4">
        <v>4.7619047620000003</v>
      </c>
      <c r="P87" s="5">
        <v>29.071000000000002</v>
      </c>
      <c r="Q87">
        <v>4</v>
      </c>
      <c r="R87" s="6">
        <f>DAY(SuperMarket_Analysis[[#This Row],[Date]])</f>
        <v>20</v>
      </c>
      <c r="S87" s="6" t="str">
        <f>TEXT(SuperMarket_Analysis[[#This Row],[Date]],"mmmm")</f>
        <v>February</v>
      </c>
      <c r="T87" s="6">
        <f>YEAR(SuperMarket_Analysis[[#This Row],[Date]])</f>
        <v>2019</v>
      </c>
    </row>
    <row r="88" spans="1:20" x14ac:dyDescent="0.3">
      <c r="A88" t="s">
        <v>118</v>
      </c>
      <c r="B88" t="s">
        <v>22</v>
      </c>
      <c r="C88" t="s">
        <v>23</v>
      </c>
      <c r="D88" t="s">
        <v>17</v>
      </c>
      <c r="E88" t="s">
        <v>18</v>
      </c>
      <c r="F88" t="s">
        <v>42</v>
      </c>
      <c r="G88" s="3">
        <v>76.52</v>
      </c>
      <c r="H88" s="6">
        <v>5</v>
      </c>
      <c r="I88" s="3">
        <v>19.13</v>
      </c>
      <c r="J88" s="3">
        <v>401.73</v>
      </c>
      <c r="K88" s="2">
        <v>43521</v>
      </c>
      <c r="L88" s="1">
        <v>0.43263888888888891</v>
      </c>
      <c r="M88" t="s">
        <v>26</v>
      </c>
      <c r="N88" s="3">
        <v>382.6</v>
      </c>
      <c r="O88" s="4">
        <v>4.7619047620000003</v>
      </c>
      <c r="P88" s="5">
        <v>19.13</v>
      </c>
      <c r="Q88">
        <v>9.9</v>
      </c>
      <c r="R88" s="6">
        <f>DAY(SuperMarket_Analysis[[#This Row],[Date]])</f>
        <v>25</v>
      </c>
      <c r="S88" s="6" t="str">
        <f>TEXT(SuperMarket_Analysis[[#This Row],[Date]],"mmmm")</f>
        <v>February</v>
      </c>
      <c r="T88" s="6">
        <f>YEAR(SuperMarket_Analysis[[#This Row],[Date]])</f>
        <v>2019</v>
      </c>
    </row>
    <row r="89" spans="1:20" x14ac:dyDescent="0.3">
      <c r="A89" t="s">
        <v>119</v>
      </c>
      <c r="B89" t="s">
        <v>15</v>
      </c>
      <c r="C89" t="s">
        <v>16</v>
      </c>
      <c r="D89" t="s">
        <v>17</v>
      </c>
      <c r="E89" t="s">
        <v>18</v>
      </c>
      <c r="F89" t="s">
        <v>40</v>
      </c>
      <c r="G89" s="3">
        <v>49.38</v>
      </c>
      <c r="H89" s="6">
        <v>7</v>
      </c>
      <c r="I89" s="3">
        <v>17.283000000000001</v>
      </c>
      <c r="J89" s="3">
        <v>362.94299999999998</v>
      </c>
      <c r="K89" s="2">
        <v>43481</v>
      </c>
      <c r="L89" s="1">
        <v>0.85763888888888884</v>
      </c>
      <c r="M89" t="s">
        <v>29</v>
      </c>
      <c r="N89" s="3">
        <v>345.66</v>
      </c>
      <c r="O89" s="4">
        <v>4.7619047620000003</v>
      </c>
      <c r="P89" s="5">
        <v>17.283000000000001</v>
      </c>
      <c r="Q89">
        <v>7.3</v>
      </c>
      <c r="R89" s="6">
        <f>DAY(SuperMarket_Analysis[[#This Row],[Date]])</f>
        <v>16</v>
      </c>
      <c r="S89" s="6" t="str">
        <f>TEXT(SuperMarket_Analysis[[#This Row],[Date]],"mmmm")</f>
        <v>January</v>
      </c>
      <c r="T89" s="6">
        <f>YEAR(SuperMarket_Analysis[[#This Row],[Date]])</f>
        <v>2019</v>
      </c>
    </row>
    <row r="90" spans="1:20" x14ac:dyDescent="0.3">
      <c r="A90" t="s">
        <v>120</v>
      </c>
      <c r="B90" t="s">
        <v>15</v>
      </c>
      <c r="C90" t="s">
        <v>16</v>
      </c>
      <c r="D90" t="s">
        <v>17</v>
      </c>
      <c r="E90" t="s">
        <v>18</v>
      </c>
      <c r="F90" t="s">
        <v>32</v>
      </c>
      <c r="G90" s="3">
        <v>42.47</v>
      </c>
      <c r="H90" s="6">
        <v>1</v>
      </c>
      <c r="I90" s="3">
        <v>2.1234999999999999</v>
      </c>
      <c r="J90" s="3">
        <v>44.593499999999999</v>
      </c>
      <c r="K90" s="2">
        <v>43484</v>
      </c>
      <c r="L90" s="1">
        <v>0.70625000000000004</v>
      </c>
      <c r="M90" t="s">
        <v>26</v>
      </c>
      <c r="N90" s="3">
        <v>42.47</v>
      </c>
      <c r="O90" s="4">
        <v>4.7619047620000003</v>
      </c>
      <c r="P90" s="5">
        <v>2.1234999999999999</v>
      </c>
      <c r="Q90">
        <v>5.7</v>
      </c>
      <c r="R90" s="6">
        <f>DAY(SuperMarket_Analysis[[#This Row],[Date]])</f>
        <v>19</v>
      </c>
      <c r="S90" s="6" t="str">
        <f>TEXT(SuperMarket_Analysis[[#This Row],[Date]],"mmmm")</f>
        <v>January</v>
      </c>
      <c r="T90" s="6">
        <f>YEAR(SuperMarket_Analysis[[#This Row],[Date]])</f>
        <v>2019</v>
      </c>
    </row>
    <row r="91" spans="1:20" x14ac:dyDescent="0.3">
      <c r="A91" t="s">
        <v>121</v>
      </c>
      <c r="B91" t="s">
        <v>38</v>
      </c>
      <c r="C91" t="s">
        <v>39</v>
      </c>
      <c r="D91" t="s">
        <v>17</v>
      </c>
      <c r="E91" t="s">
        <v>18</v>
      </c>
      <c r="F91" t="s">
        <v>19</v>
      </c>
      <c r="G91" s="3">
        <v>76.989999999999995</v>
      </c>
      <c r="H91" s="6">
        <v>6</v>
      </c>
      <c r="I91" s="3">
        <v>23.097000000000001</v>
      </c>
      <c r="J91" s="3">
        <v>485.03699999999998</v>
      </c>
      <c r="K91" s="2">
        <v>43491</v>
      </c>
      <c r="L91" s="1">
        <v>0.74652777777777779</v>
      </c>
      <c r="M91" t="s">
        <v>26</v>
      </c>
      <c r="N91" s="3">
        <v>461.94</v>
      </c>
      <c r="O91" s="4">
        <v>4.7619047620000003</v>
      </c>
      <c r="P91" s="5">
        <v>23.097000000000001</v>
      </c>
      <c r="Q91">
        <v>6.1</v>
      </c>
      <c r="R91" s="6">
        <f>DAY(SuperMarket_Analysis[[#This Row],[Date]])</f>
        <v>26</v>
      </c>
      <c r="S91" s="6" t="str">
        <f>TEXT(SuperMarket_Analysis[[#This Row],[Date]],"mmmm")</f>
        <v>January</v>
      </c>
      <c r="T91" s="6">
        <f>YEAR(SuperMarket_Analysis[[#This Row],[Date]])</f>
        <v>2019</v>
      </c>
    </row>
    <row r="92" spans="1:20" x14ac:dyDescent="0.3">
      <c r="A92" t="s">
        <v>122</v>
      </c>
      <c r="B92" t="s">
        <v>22</v>
      </c>
      <c r="C92" t="s">
        <v>23</v>
      </c>
      <c r="D92" t="s">
        <v>17</v>
      </c>
      <c r="E92" t="s">
        <v>18</v>
      </c>
      <c r="F92" t="s">
        <v>28</v>
      </c>
      <c r="G92" s="3">
        <v>47.38</v>
      </c>
      <c r="H92" s="6">
        <v>4</v>
      </c>
      <c r="I92" s="3">
        <v>9.4760000000000009</v>
      </c>
      <c r="J92" s="3">
        <v>198.99600000000001</v>
      </c>
      <c r="K92" s="2">
        <v>43484</v>
      </c>
      <c r="L92" s="1">
        <v>0.43402777777777779</v>
      </c>
      <c r="M92" t="s">
        <v>26</v>
      </c>
      <c r="N92" s="3">
        <v>189.52</v>
      </c>
      <c r="O92" s="4">
        <v>4.7619047620000003</v>
      </c>
      <c r="P92" s="5">
        <v>9.4760000000000009</v>
      </c>
      <c r="Q92">
        <v>7.1</v>
      </c>
      <c r="R92" s="6">
        <f>DAY(SuperMarket_Analysis[[#This Row],[Date]])</f>
        <v>19</v>
      </c>
      <c r="S92" s="6" t="str">
        <f>TEXT(SuperMarket_Analysis[[#This Row],[Date]],"mmmm")</f>
        <v>January</v>
      </c>
      <c r="T92" s="6">
        <f>YEAR(SuperMarket_Analysis[[#This Row],[Date]])</f>
        <v>2019</v>
      </c>
    </row>
    <row r="93" spans="1:20" x14ac:dyDescent="0.3">
      <c r="A93" t="s">
        <v>123</v>
      </c>
      <c r="B93" t="s">
        <v>22</v>
      </c>
      <c r="C93" t="s">
        <v>23</v>
      </c>
      <c r="D93" t="s">
        <v>17</v>
      </c>
      <c r="E93" t="s">
        <v>18</v>
      </c>
      <c r="F93" t="s">
        <v>32</v>
      </c>
      <c r="G93" s="3">
        <v>44.86</v>
      </c>
      <c r="H93" s="6">
        <v>10</v>
      </c>
      <c r="I93" s="3">
        <v>22.43</v>
      </c>
      <c r="J93" s="3">
        <v>471.03</v>
      </c>
      <c r="K93" s="2">
        <v>43483</v>
      </c>
      <c r="L93" s="1">
        <v>0.82916666666666672</v>
      </c>
      <c r="M93" t="s">
        <v>20</v>
      </c>
      <c r="N93" s="3">
        <v>448.6</v>
      </c>
      <c r="O93" s="4">
        <v>4.7619047620000003</v>
      </c>
      <c r="P93" s="5">
        <v>22.43</v>
      </c>
      <c r="Q93">
        <v>8.1999999999999993</v>
      </c>
      <c r="R93" s="6">
        <f>DAY(SuperMarket_Analysis[[#This Row],[Date]])</f>
        <v>18</v>
      </c>
      <c r="S93" s="6" t="str">
        <f>TEXT(SuperMarket_Analysis[[#This Row],[Date]],"mmmm")</f>
        <v>January</v>
      </c>
      <c r="T93" s="6">
        <f>YEAR(SuperMarket_Analysis[[#This Row],[Date]])</f>
        <v>2019</v>
      </c>
    </row>
    <row r="94" spans="1:20" x14ac:dyDescent="0.3">
      <c r="A94" t="s">
        <v>124</v>
      </c>
      <c r="B94" t="s">
        <v>15</v>
      </c>
      <c r="C94" t="s">
        <v>16</v>
      </c>
      <c r="D94" t="s">
        <v>17</v>
      </c>
      <c r="E94" t="s">
        <v>18</v>
      </c>
      <c r="F94" t="s">
        <v>32</v>
      </c>
      <c r="G94" s="3">
        <v>21.98</v>
      </c>
      <c r="H94" s="6">
        <v>7</v>
      </c>
      <c r="I94" s="3">
        <v>7.6929999999999996</v>
      </c>
      <c r="J94" s="3">
        <v>161.553</v>
      </c>
      <c r="K94" s="2">
        <v>43545</v>
      </c>
      <c r="L94" s="1">
        <v>0.6958333333333333</v>
      </c>
      <c r="M94" t="s">
        <v>20</v>
      </c>
      <c r="N94" s="3">
        <v>153.86000000000001</v>
      </c>
      <c r="O94" s="4">
        <v>4.7619047620000003</v>
      </c>
      <c r="P94" s="5">
        <v>7.6929999999999996</v>
      </c>
      <c r="Q94">
        <v>5.0999999999999996</v>
      </c>
      <c r="R94" s="6">
        <f>DAY(SuperMarket_Analysis[[#This Row],[Date]])</f>
        <v>21</v>
      </c>
      <c r="S94" s="6" t="str">
        <f>TEXT(SuperMarket_Analysis[[#This Row],[Date]],"mmmm")</f>
        <v>March</v>
      </c>
      <c r="T94" s="6">
        <f>YEAR(SuperMarket_Analysis[[#This Row],[Date]])</f>
        <v>2019</v>
      </c>
    </row>
    <row r="95" spans="1:20" x14ac:dyDescent="0.3">
      <c r="A95" t="s">
        <v>125</v>
      </c>
      <c r="B95" t="s">
        <v>38</v>
      </c>
      <c r="C95" t="s">
        <v>39</v>
      </c>
      <c r="D95" t="s">
        <v>17</v>
      </c>
      <c r="E95" t="s">
        <v>18</v>
      </c>
      <c r="F95" t="s">
        <v>19</v>
      </c>
      <c r="G95" s="3">
        <v>64.36</v>
      </c>
      <c r="H95" s="6">
        <v>9</v>
      </c>
      <c r="I95" s="3">
        <v>28.962</v>
      </c>
      <c r="J95" s="3">
        <v>608.202</v>
      </c>
      <c r="K95" s="2">
        <v>43509</v>
      </c>
      <c r="L95" s="1">
        <v>0.50624999999999998</v>
      </c>
      <c r="M95" t="s">
        <v>29</v>
      </c>
      <c r="N95" s="3">
        <v>579.24</v>
      </c>
      <c r="O95" s="4">
        <v>4.7619047620000003</v>
      </c>
      <c r="P95" s="5">
        <v>28.962</v>
      </c>
      <c r="Q95">
        <v>8.6</v>
      </c>
      <c r="R95" s="6">
        <f>DAY(SuperMarket_Analysis[[#This Row],[Date]])</f>
        <v>13</v>
      </c>
      <c r="S95" s="6" t="str">
        <f>TEXT(SuperMarket_Analysis[[#This Row],[Date]],"mmmm")</f>
        <v>February</v>
      </c>
      <c r="T95" s="6">
        <f>YEAR(SuperMarket_Analysis[[#This Row],[Date]])</f>
        <v>2019</v>
      </c>
    </row>
    <row r="96" spans="1:20" x14ac:dyDescent="0.3">
      <c r="A96" t="s">
        <v>126</v>
      </c>
      <c r="B96" t="s">
        <v>22</v>
      </c>
      <c r="C96" t="s">
        <v>23</v>
      </c>
      <c r="D96" t="s">
        <v>17</v>
      </c>
      <c r="E96" t="s">
        <v>18</v>
      </c>
      <c r="F96" t="s">
        <v>19</v>
      </c>
      <c r="G96" s="3">
        <v>89.75</v>
      </c>
      <c r="H96" s="6">
        <v>1</v>
      </c>
      <c r="I96" s="3">
        <v>4.4874999999999998</v>
      </c>
      <c r="J96" s="3">
        <v>94.237499999999997</v>
      </c>
      <c r="K96" s="2">
        <v>43547</v>
      </c>
      <c r="L96" s="1">
        <v>0.83680555555555558</v>
      </c>
      <c r="M96" t="s">
        <v>29</v>
      </c>
      <c r="N96" s="3">
        <v>89.75</v>
      </c>
      <c r="O96" s="4">
        <v>4.7619047620000003</v>
      </c>
      <c r="P96" s="5">
        <v>4.4874999999999998</v>
      </c>
      <c r="Q96">
        <v>6.6</v>
      </c>
      <c r="R96" s="6">
        <f>DAY(SuperMarket_Analysis[[#This Row],[Date]])</f>
        <v>23</v>
      </c>
      <c r="S96" s="6" t="str">
        <f>TEXT(SuperMarket_Analysis[[#This Row],[Date]],"mmmm")</f>
        <v>March</v>
      </c>
      <c r="T96" s="6">
        <f>YEAR(SuperMarket_Analysis[[#This Row],[Date]])</f>
        <v>2019</v>
      </c>
    </row>
    <row r="97" spans="1:20" x14ac:dyDescent="0.3">
      <c r="A97" t="s">
        <v>127</v>
      </c>
      <c r="B97" t="s">
        <v>15</v>
      </c>
      <c r="C97" t="s">
        <v>16</v>
      </c>
      <c r="D97" t="s">
        <v>17</v>
      </c>
      <c r="E97" t="s">
        <v>18</v>
      </c>
      <c r="F97" t="s">
        <v>25</v>
      </c>
      <c r="G97" s="3">
        <v>97.16</v>
      </c>
      <c r="H97" s="6">
        <v>1</v>
      </c>
      <c r="I97" s="3">
        <v>4.8579999999999997</v>
      </c>
      <c r="J97" s="3">
        <v>102.018</v>
      </c>
      <c r="K97" s="2">
        <v>43493</v>
      </c>
      <c r="L97" s="1">
        <v>0.85972222222222228</v>
      </c>
      <c r="M97" t="s">
        <v>20</v>
      </c>
      <c r="N97" s="3">
        <v>97.16</v>
      </c>
      <c r="O97" s="4">
        <v>4.7619047620000003</v>
      </c>
      <c r="P97" s="5">
        <v>4.8579999999999997</v>
      </c>
      <c r="Q97">
        <v>7.2</v>
      </c>
      <c r="R97" s="6">
        <f>DAY(SuperMarket_Analysis[[#This Row],[Date]])</f>
        <v>28</v>
      </c>
      <c r="S97" s="6" t="str">
        <f>TEXT(SuperMarket_Analysis[[#This Row],[Date]],"mmmm")</f>
        <v>January</v>
      </c>
      <c r="T97" s="6">
        <f>YEAR(SuperMarket_Analysis[[#This Row],[Date]])</f>
        <v>2019</v>
      </c>
    </row>
    <row r="98" spans="1:20" x14ac:dyDescent="0.3">
      <c r="A98" t="s">
        <v>128</v>
      </c>
      <c r="B98" t="s">
        <v>38</v>
      </c>
      <c r="C98" t="s">
        <v>39</v>
      </c>
      <c r="D98" t="s">
        <v>17</v>
      </c>
      <c r="E98" t="s">
        <v>18</v>
      </c>
      <c r="F98" t="s">
        <v>19</v>
      </c>
      <c r="G98" s="3">
        <v>87.87</v>
      </c>
      <c r="H98" s="6">
        <v>10</v>
      </c>
      <c r="I98" s="3">
        <v>43.935000000000002</v>
      </c>
      <c r="J98" s="3">
        <v>922.63499999999999</v>
      </c>
      <c r="K98" s="2">
        <v>43488</v>
      </c>
      <c r="L98" s="1">
        <v>0.43402777777777779</v>
      </c>
      <c r="M98" t="s">
        <v>20</v>
      </c>
      <c r="N98" s="3">
        <v>878.7</v>
      </c>
      <c r="O98" s="4">
        <v>4.7619047620000003</v>
      </c>
      <c r="P98" s="5">
        <v>43.935000000000002</v>
      </c>
      <c r="Q98">
        <v>5.0999999999999996</v>
      </c>
      <c r="R98" s="6">
        <f>DAY(SuperMarket_Analysis[[#This Row],[Date]])</f>
        <v>23</v>
      </c>
      <c r="S98" s="6" t="str">
        <f>TEXT(SuperMarket_Analysis[[#This Row],[Date]],"mmmm")</f>
        <v>January</v>
      </c>
      <c r="T98" s="6">
        <f>YEAR(SuperMarket_Analysis[[#This Row],[Date]])</f>
        <v>2019</v>
      </c>
    </row>
    <row r="99" spans="1:20" x14ac:dyDescent="0.3">
      <c r="A99" t="s">
        <v>129</v>
      </c>
      <c r="B99" t="s">
        <v>22</v>
      </c>
      <c r="C99" t="s">
        <v>23</v>
      </c>
      <c r="D99" t="s">
        <v>17</v>
      </c>
      <c r="E99" t="s">
        <v>18</v>
      </c>
      <c r="F99" t="s">
        <v>25</v>
      </c>
      <c r="G99" s="3">
        <v>12.45</v>
      </c>
      <c r="H99" s="6">
        <v>6</v>
      </c>
      <c r="I99" s="3">
        <v>3.7349999999999999</v>
      </c>
      <c r="J99" s="3">
        <v>78.435000000000002</v>
      </c>
      <c r="K99" s="2">
        <v>43547</v>
      </c>
      <c r="L99" s="1">
        <v>0.5493055555555556</v>
      </c>
      <c r="M99" t="s">
        <v>26</v>
      </c>
      <c r="N99" s="3">
        <v>74.7</v>
      </c>
      <c r="O99" s="4">
        <v>4.7619047620000003</v>
      </c>
      <c r="P99" s="5">
        <v>3.7349999999999999</v>
      </c>
      <c r="Q99">
        <v>4.0999999999999996</v>
      </c>
      <c r="R99" s="6">
        <f>DAY(SuperMarket_Analysis[[#This Row],[Date]])</f>
        <v>23</v>
      </c>
      <c r="S99" s="6" t="str">
        <f>TEXT(SuperMarket_Analysis[[#This Row],[Date]],"mmmm")</f>
        <v>March</v>
      </c>
      <c r="T99" s="6">
        <f>YEAR(SuperMarket_Analysis[[#This Row],[Date]])</f>
        <v>2019</v>
      </c>
    </row>
    <row r="100" spans="1:20" x14ac:dyDescent="0.3">
      <c r="A100" t="s">
        <v>130</v>
      </c>
      <c r="B100" t="s">
        <v>15</v>
      </c>
      <c r="C100" t="s">
        <v>16</v>
      </c>
      <c r="D100" t="s">
        <v>17</v>
      </c>
      <c r="E100" t="s">
        <v>18</v>
      </c>
      <c r="F100" t="s">
        <v>40</v>
      </c>
      <c r="G100" s="3">
        <v>52.75</v>
      </c>
      <c r="H100" s="6">
        <v>3</v>
      </c>
      <c r="I100" s="3">
        <v>7.9124999999999996</v>
      </c>
      <c r="J100" s="3">
        <v>166.16249999999999</v>
      </c>
      <c r="K100" s="2">
        <v>43490</v>
      </c>
      <c r="L100" s="1">
        <v>0.42777777777777776</v>
      </c>
      <c r="M100" t="s">
        <v>20</v>
      </c>
      <c r="N100" s="3">
        <v>158.25</v>
      </c>
      <c r="O100" s="4">
        <v>4.7619047620000003</v>
      </c>
      <c r="P100" s="5">
        <v>7.9124999999999996</v>
      </c>
      <c r="Q100">
        <v>9.3000000000000007</v>
      </c>
      <c r="R100" s="6">
        <f>DAY(SuperMarket_Analysis[[#This Row],[Date]])</f>
        <v>25</v>
      </c>
      <c r="S100" s="6" t="str">
        <f>TEXT(SuperMarket_Analysis[[#This Row],[Date]],"mmmm")</f>
        <v>January</v>
      </c>
      <c r="T100" s="6">
        <f>YEAR(SuperMarket_Analysis[[#This Row],[Date]])</f>
        <v>2019</v>
      </c>
    </row>
    <row r="101" spans="1:20" x14ac:dyDescent="0.3">
      <c r="A101" t="s">
        <v>131</v>
      </c>
      <c r="B101" t="s">
        <v>38</v>
      </c>
      <c r="C101" t="s">
        <v>39</v>
      </c>
      <c r="D101" t="s">
        <v>17</v>
      </c>
      <c r="E101" t="s">
        <v>18</v>
      </c>
      <c r="F101" t="s">
        <v>28</v>
      </c>
      <c r="G101" s="3">
        <v>82.7</v>
      </c>
      <c r="H101" s="6">
        <v>6</v>
      </c>
      <c r="I101" s="3">
        <v>24.81</v>
      </c>
      <c r="J101" s="3">
        <v>521.01</v>
      </c>
      <c r="K101" s="2">
        <v>43493</v>
      </c>
      <c r="L101" s="1">
        <v>0.75972222222222219</v>
      </c>
      <c r="M101" t="s">
        <v>26</v>
      </c>
      <c r="N101" s="3">
        <v>496.2</v>
      </c>
      <c r="O101" s="4">
        <v>4.7619047620000003</v>
      </c>
      <c r="P101" s="5">
        <v>24.81</v>
      </c>
      <c r="Q101">
        <v>7.4</v>
      </c>
      <c r="R101" s="6">
        <f>DAY(SuperMarket_Analysis[[#This Row],[Date]])</f>
        <v>28</v>
      </c>
      <c r="S101" s="6" t="str">
        <f>TEXT(SuperMarket_Analysis[[#This Row],[Date]],"mmmm")</f>
        <v>January</v>
      </c>
      <c r="T101" s="6">
        <f>YEAR(SuperMarket_Analysis[[#This Row],[Date]])</f>
        <v>2019</v>
      </c>
    </row>
    <row r="102" spans="1:20" x14ac:dyDescent="0.3">
      <c r="A102" t="s">
        <v>132</v>
      </c>
      <c r="B102" t="s">
        <v>22</v>
      </c>
      <c r="C102" t="s">
        <v>23</v>
      </c>
      <c r="D102" t="s">
        <v>17</v>
      </c>
      <c r="E102" t="s">
        <v>18</v>
      </c>
      <c r="F102" t="s">
        <v>42</v>
      </c>
      <c r="G102" s="3">
        <v>48.71</v>
      </c>
      <c r="H102" s="6">
        <v>1</v>
      </c>
      <c r="I102" s="3">
        <v>2.4355000000000002</v>
      </c>
      <c r="J102" s="3">
        <v>51.145499999999998</v>
      </c>
      <c r="K102" s="2">
        <v>43480</v>
      </c>
      <c r="L102" s="1">
        <v>0.80555555555555558</v>
      </c>
      <c r="M102" t="s">
        <v>26</v>
      </c>
      <c r="N102" s="3">
        <v>48.71</v>
      </c>
      <c r="O102" s="4">
        <v>4.7619047620000003</v>
      </c>
      <c r="P102" s="5">
        <v>2.4355000000000002</v>
      </c>
      <c r="Q102">
        <v>4.0999999999999996</v>
      </c>
      <c r="R102" s="6">
        <f>DAY(SuperMarket_Analysis[[#This Row],[Date]])</f>
        <v>15</v>
      </c>
      <c r="S102" s="6" t="str">
        <f>TEXT(SuperMarket_Analysis[[#This Row],[Date]],"mmmm")</f>
        <v>January</v>
      </c>
      <c r="T102" s="6">
        <f>YEAR(SuperMarket_Analysis[[#This Row],[Date]])</f>
        <v>2019</v>
      </c>
    </row>
    <row r="103" spans="1:20" x14ac:dyDescent="0.3">
      <c r="A103" t="s">
        <v>133</v>
      </c>
      <c r="B103" t="s">
        <v>22</v>
      </c>
      <c r="C103" t="s">
        <v>23</v>
      </c>
      <c r="D103" t="s">
        <v>17</v>
      </c>
      <c r="E103" t="s">
        <v>18</v>
      </c>
      <c r="F103" t="s">
        <v>42</v>
      </c>
      <c r="G103" s="3">
        <v>78.55</v>
      </c>
      <c r="H103" s="6">
        <v>9</v>
      </c>
      <c r="I103" s="3">
        <v>35.347499999999997</v>
      </c>
      <c r="J103" s="3">
        <v>742.29750000000001</v>
      </c>
      <c r="K103" s="2">
        <v>43540</v>
      </c>
      <c r="L103" s="1">
        <v>0.55694444444444446</v>
      </c>
      <c r="M103" t="s">
        <v>26</v>
      </c>
      <c r="N103" s="3">
        <v>706.95</v>
      </c>
      <c r="O103" s="4">
        <v>4.7619047620000003</v>
      </c>
      <c r="P103" s="5">
        <v>35.347499999999997</v>
      </c>
      <c r="Q103">
        <v>7.2</v>
      </c>
      <c r="R103" s="6">
        <f>DAY(SuperMarket_Analysis[[#This Row],[Date]])</f>
        <v>16</v>
      </c>
      <c r="S103" s="6" t="str">
        <f>TEXT(SuperMarket_Analysis[[#This Row],[Date]],"mmmm")</f>
        <v>March</v>
      </c>
      <c r="T103" s="6">
        <f>YEAR(SuperMarket_Analysis[[#This Row],[Date]])</f>
        <v>2019</v>
      </c>
    </row>
    <row r="104" spans="1:20" x14ac:dyDescent="0.3">
      <c r="A104" t="s">
        <v>134</v>
      </c>
      <c r="B104" t="s">
        <v>22</v>
      </c>
      <c r="C104" t="s">
        <v>23</v>
      </c>
      <c r="D104" t="s">
        <v>17</v>
      </c>
      <c r="E104" t="s">
        <v>18</v>
      </c>
      <c r="F104" t="s">
        <v>25</v>
      </c>
      <c r="G104" s="3">
        <v>23.07</v>
      </c>
      <c r="H104" s="6">
        <v>9</v>
      </c>
      <c r="I104" s="3">
        <v>10.381500000000001</v>
      </c>
      <c r="J104" s="3">
        <v>218.01150000000001</v>
      </c>
      <c r="K104" s="2">
        <v>43491</v>
      </c>
      <c r="L104" s="1">
        <v>0.47708333333333336</v>
      </c>
      <c r="M104" t="s">
        <v>26</v>
      </c>
      <c r="N104" s="3">
        <v>207.63</v>
      </c>
      <c r="O104" s="4">
        <v>4.7619047620000003</v>
      </c>
      <c r="P104" s="5">
        <v>10.381500000000001</v>
      </c>
      <c r="Q104">
        <v>4.9000000000000004</v>
      </c>
      <c r="R104" s="6">
        <f>DAY(SuperMarket_Analysis[[#This Row],[Date]])</f>
        <v>26</v>
      </c>
      <c r="S104" s="6" t="str">
        <f>TEXT(SuperMarket_Analysis[[#This Row],[Date]],"mmmm")</f>
        <v>January</v>
      </c>
      <c r="T104" s="6">
        <f>YEAR(SuperMarket_Analysis[[#This Row],[Date]])</f>
        <v>2019</v>
      </c>
    </row>
    <row r="105" spans="1:20" x14ac:dyDescent="0.3">
      <c r="A105" t="s">
        <v>135</v>
      </c>
      <c r="B105" t="s">
        <v>15</v>
      </c>
      <c r="C105" t="s">
        <v>16</v>
      </c>
      <c r="D105" t="s">
        <v>17</v>
      </c>
      <c r="E105" t="s">
        <v>18</v>
      </c>
      <c r="F105" t="s">
        <v>40</v>
      </c>
      <c r="G105" s="3">
        <v>58.26</v>
      </c>
      <c r="H105" s="6">
        <v>6</v>
      </c>
      <c r="I105" s="3">
        <v>17.478000000000002</v>
      </c>
      <c r="J105" s="3">
        <v>367.03800000000001</v>
      </c>
      <c r="K105" s="2">
        <v>43543</v>
      </c>
      <c r="L105" s="1">
        <v>0.69722222222222219</v>
      </c>
      <c r="M105" t="s">
        <v>26</v>
      </c>
      <c r="N105" s="3">
        <v>349.56</v>
      </c>
      <c r="O105" s="4">
        <v>4.7619047620000003</v>
      </c>
      <c r="P105" s="5">
        <v>17.478000000000002</v>
      </c>
      <c r="Q105">
        <v>9.9</v>
      </c>
      <c r="R105" s="6">
        <f>DAY(SuperMarket_Analysis[[#This Row],[Date]])</f>
        <v>19</v>
      </c>
      <c r="S105" s="6" t="str">
        <f>TEXT(SuperMarket_Analysis[[#This Row],[Date]],"mmmm")</f>
        <v>March</v>
      </c>
      <c r="T105" s="6">
        <f>YEAR(SuperMarket_Analysis[[#This Row],[Date]])</f>
        <v>2019</v>
      </c>
    </row>
    <row r="106" spans="1:20" x14ac:dyDescent="0.3">
      <c r="A106" t="s">
        <v>136</v>
      </c>
      <c r="B106" t="s">
        <v>38</v>
      </c>
      <c r="C106" t="s">
        <v>39</v>
      </c>
      <c r="D106" t="s">
        <v>17</v>
      </c>
      <c r="E106" t="s">
        <v>18</v>
      </c>
      <c r="F106" t="s">
        <v>19</v>
      </c>
      <c r="G106" s="3">
        <v>30.35</v>
      </c>
      <c r="H106" s="6">
        <v>7</v>
      </c>
      <c r="I106" s="3">
        <v>10.6225</v>
      </c>
      <c r="J106" s="3">
        <v>223.07249999999999</v>
      </c>
      <c r="K106" s="2">
        <v>43478</v>
      </c>
      <c r="L106" s="1">
        <v>0.7631944444444444</v>
      </c>
      <c r="M106" t="s">
        <v>26</v>
      </c>
      <c r="N106" s="3">
        <v>212.45</v>
      </c>
      <c r="O106" s="4">
        <v>4.7619047620000003</v>
      </c>
      <c r="P106" s="5">
        <v>10.6225</v>
      </c>
      <c r="Q106">
        <v>8</v>
      </c>
      <c r="R106" s="6">
        <f>DAY(SuperMarket_Analysis[[#This Row],[Date]])</f>
        <v>13</v>
      </c>
      <c r="S106" s="6" t="str">
        <f>TEXT(SuperMarket_Analysis[[#This Row],[Date]],"mmmm")</f>
        <v>January</v>
      </c>
      <c r="T106" s="6">
        <f>YEAR(SuperMarket_Analysis[[#This Row],[Date]])</f>
        <v>2019</v>
      </c>
    </row>
    <row r="107" spans="1:20" x14ac:dyDescent="0.3">
      <c r="A107" t="s">
        <v>137</v>
      </c>
      <c r="B107" t="s">
        <v>15</v>
      </c>
      <c r="C107" t="s">
        <v>16</v>
      </c>
      <c r="D107" t="s">
        <v>17</v>
      </c>
      <c r="E107" t="s">
        <v>18</v>
      </c>
      <c r="F107" t="s">
        <v>25</v>
      </c>
      <c r="G107" s="3">
        <v>88.67</v>
      </c>
      <c r="H107" s="6">
        <v>10</v>
      </c>
      <c r="I107" s="3">
        <v>44.335000000000001</v>
      </c>
      <c r="J107" s="3">
        <v>931.03499999999997</v>
      </c>
      <c r="K107" s="2">
        <v>43550</v>
      </c>
      <c r="L107" s="1">
        <v>0.61805555555555558</v>
      </c>
      <c r="M107" t="s">
        <v>20</v>
      </c>
      <c r="N107" s="3">
        <v>886.7</v>
      </c>
      <c r="O107" s="4">
        <v>4.7619047620000003</v>
      </c>
      <c r="P107" s="5">
        <v>44.335000000000001</v>
      </c>
      <c r="Q107">
        <v>7.3</v>
      </c>
      <c r="R107" s="6">
        <f>DAY(SuperMarket_Analysis[[#This Row],[Date]])</f>
        <v>26</v>
      </c>
      <c r="S107" s="6" t="str">
        <f>TEXT(SuperMarket_Analysis[[#This Row],[Date]],"mmmm")</f>
        <v>March</v>
      </c>
      <c r="T107" s="6">
        <f>YEAR(SuperMarket_Analysis[[#This Row],[Date]])</f>
        <v>2019</v>
      </c>
    </row>
    <row r="108" spans="1:20" x14ac:dyDescent="0.3">
      <c r="A108" t="s">
        <v>138</v>
      </c>
      <c r="B108" t="s">
        <v>22</v>
      </c>
      <c r="C108" t="s">
        <v>23</v>
      </c>
      <c r="D108" t="s">
        <v>17</v>
      </c>
      <c r="E108" t="s">
        <v>18</v>
      </c>
      <c r="F108" t="s">
        <v>42</v>
      </c>
      <c r="G108" s="3">
        <v>27.38</v>
      </c>
      <c r="H108" s="6">
        <v>6</v>
      </c>
      <c r="I108" s="3">
        <v>8.2140000000000004</v>
      </c>
      <c r="J108" s="3">
        <v>172.494</v>
      </c>
      <c r="K108" s="2">
        <v>43547</v>
      </c>
      <c r="L108" s="1">
        <v>0.87083333333333335</v>
      </c>
      <c r="M108" t="s">
        <v>29</v>
      </c>
      <c r="N108" s="3">
        <v>164.28</v>
      </c>
      <c r="O108" s="4">
        <v>4.7619047620000003</v>
      </c>
      <c r="P108" s="5">
        <v>8.2140000000000004</v>
      </c>
      <c r="Q108">
        <v>7.9</v>
      </c>
      <c r="R108" s="6">
        <f>DAY(SuperMarket_Analysis[[#This Row],[Date]])</f>
        <v>23</v>
      </c>
      <c r="S108" s="6" t="str">
        <f>TEXT(SuperMarket_Analysis[[#This Row],[Date]],"mmmm")</f>
        <v>March</v>
      </c>
      <c r="T108" s="6">
        <f>YEAR(SuperMarket_Analysis[[#This Row],[Date]])</f>
        <v>2019</v>
      </c>
    </row>
    <row r="109" spans="1:20" x14ac:dyDescent="0.3">
      <c r="A109" t="s">
        <v>139</v>
      </c>
      <c r="B109" t="s">
        <v>15</v>
      </c>
      <c r="C109" t="s">
        <v>16</v>
      </c>
      <c r="D109" t="s">
        <v>17</v>
      </c>
      <c r="E109" t="s">
        <v>18</v>
      </c>
      <c r="F109" t="s">
        <v>32</v>
      </c>
      <c r="G109" s="3">
        <v>62.13</v>
      </c>
      <c r="H109" s="6">
        <v>6</v>
      </c>
      <c r="I109" s="3">
        <v>18.638999999999999</v>
      </c>
      <c r="J109" s="3">
        <v>391.41899999999998</v>
      </c>
      <c r="K109" s="2">
        <v>43513</v>
      </c>
      <c r="L109" s="1">
        <v>0.84652777777777777</v>
      </c>
      <c r="M109" t="s">
        <v>26</v>
      </c>
      <c r="N109" s="3">
        <v>372.78</v>
      </c>
      <c r="O109" s="4">
        <v>4.7619047620000003</v>
      </c>
      <c r="P109" s="5">
        <v>18.638999999999999</v>
      </c>
      <c r="Q109">
        <v>7.4</v>
      </c>
      <c r="R109" s="6">
        <f>DAY(SuperMarket_Analysis[[#This Row],[Date]])</f>
        <v>17</v>
      </c>
      <c r="S109" s="6" t="str">
        <f>TEXT(SuperMarket_Analysis[[#This Row],[Date]],"mmmm")</f>
        <v>February</v>
      </c>
      <c r="T109" s="6">
        <f>YEAR(SuperMarket_Analysis[[#This Row],[Date]])</f>
        <v>2019</v>
      </c>
    </row>
    <row r="110" spans="1:20" x14ac:dyDescent="0.3">
      <c r="A110" t="s">
        <v>140</v>
      </c>
      <c r="B110" t="s">
        <v>22</v>
      </c>
      <c r="C110" t="s">
        <v>23</v>
      </c>
      <c r="D110" t="s">
        <v>17</v>
      </c>
      <c r="E110" t="s">
        <v>18</v>
      </c>
      <c r="F110" t="s">
        <v>40</v>
      </c>
      <c r="G110" s="3">
        <v>33.979999999999997</v>
      </c>
      <c r="H110" s="6">
        <v>9</v>
      </c>
      <c r="I110" s="3">
        <v>15.291</v>
      </c>
      <c r="J110" s="3">
        <v>321.11099999999999</v>
      </c>
      <c r="K110" s="2">
        <v>43494</v>
      </c>
      <c r="L110" s="1">
        <v>0.4465277777777778</v>
      </c>
      <c r="M110" t="s">
        <v>26</v>
      </c>
      <c r="N110" s="3">
        <v>305.82</v>
      </c>
      <c r="O110" s="4">
        <v>4.7619047620000003</v>
      </c>
      <c r="P110" s="5">
        <v>15.291</v>
      </c>
      <c r="Q110">
        <v>4.2</v>
      </c>
      <c r="R110" s="6">
        <f>DAY(SuperMarket_Analysis[[#This Row],[Date]])</f>
        <v>29</v>
      </c>
      <c r="S110" s="6" t="str">
        <f>TEXT(SuperMarket_Analysis[[#This Row],[Date]],"mmmm")</f>
        <v>January</v>
      </c>
      <c r="T110" s="6">
        <f>YEAR(SuperMarket_Analysis[[#This Row],[Date]])</f>
        <v>2019</v>
      </c>
    </row>
    <row r="111" spans="1:20" x14ac:dyDescent="0.3">
      <c r="A111" t="s">
        <v>141</v>
      </c>
      <c r="B111" t="s">
        <v>22</v>
      </c>
      <c r="C111" t="s">
        <v>23</v>
      </c>
      <c r="D111" t="s">
        <v>17</v>
      </c>
      <c r="E111" t="s">
        <v>18</v>
      </c>
      <c r="F111" t="s">
        <v>25</v>
      </c>
      <c r="G111" s="3">
        <v>81.97</v>
      </c>
      <c r="H111" s="6">
        <v>10</v>
      </c>
      <c r="I111" s="3">
        <v>40.984999999999999</v>
      </c>
      <c r="J111" s="3">
        <v>860.68499999999995</v>
      </c>
      <c r="K111" s="2">
        <v>43539</v>
      </c>
      <c r="L111" s="1">
        <v>0.60416666666666663</v>
      </c>
      <c r="M111" t="s">
        <v>26</v>
      </c>
      <c r="N111" s="3">
        <v>819.7</v>
      </c>
      <c r="O111" s="4">
        <v>4.7619047620000003</v>
      </c>
      <c r="P111" s="5">
        <v>40.984999999999999</v>
      </c>
      <c r="Q111">
        <v>9.1999999999999993</v>
      </c>
      <c r="R111" s="6">
        <f>DAY(SuperMarket_Analysis[[#This Row],[Date]])</f>
        <v>15</v>
      </c>
      <c r="S111" s="6" t="str">
        <f>TEXT(SuperMarket_Analysis[[#This Row],[Date]],"mmmm")</f>
        <v>March</v>
      </c>
      <c r="T111" s="6">
        <f>YEAR(SuperMarket_Analysis[[#This Row],[Date]])</f>
        <v>2019</v>
      </c>
    </row>
    <row r="112" spans="1:20" x14ac:dyDescent="0.3">
      <c r="A112" t="s">
        <v>142</v>
      </c>
      <c r="B112" t="s">
        <v>38</v>
      </c>
      <c r="C112" t="s">
        <v>39</v>
      </c>
      <c r="D112" t="s">
        <v>17</v>
      </c>
      <c r="E112" t="s">
        <v>18</v>
      </c>
      <c r="F112" t="s">
        <v>32</v>
      </c>
      <c r="G112" s="3">
        <v>16.489999999999998</v>
      </c>
      <c r="H112" s="6">
        <v>2</v>
      </c>
      <c r="I112" s="3">
        <v>1.649</v>
      </c>
      <c r="J112" s="3">
        <v>34.628999999999998</v>
      </c>
      <c r="K112" s="2">
        <v>43479</v>
      </c>
      <c r="L112" s="1">
        <v>0.48055555555555557</v>
      </c>
      <c r="M112" t="s">
        <v>20</v>
      </c>
      <c r="N112" s="3">
        <v>32.979999999999997</v>
      </c>
      <c r="O112" s="4">
        <v>4.7619047620000003</v>
      </c>
      <c r="P112" s="5">
        <v>1.649</v>
      </c>
      <c r="Q112">
        <v>4.5999999999999996</v>
      </c>
      <c r="R112" s="6">
        <f>DAY(SuperMarket_Analysis[[#This Row],[Date]])</f>
        <v>14</v>
      </c>
      <c r="S112" s="6" t="str">
        <f>TEXT(SuperMarket_Analysis[[#This Row],[Date]],"mmmm")</f>
        <v>January</v>
      </c>
      <c r="T112" s="6">
        <f>YEAR(SuperMarket_Analysis[[#This Row],[Date]])</f>
        <v>2019</v>
      </c>
    </row>
    <row r="113" spans="1:20" x14ac:dyDescent="0.3">
      <c r="A113" t="s">
        <v>143</v>
      </c>
      <c r="B113" t="s">
        <v>22</v>
      </c>
      <c r="C113" t="s">
        <v>23</v>
      </c>
      <c r="D113" t="s">
        <v>17</v>
      </c>
      <c r="E113" t="s">
        <v>18</v>
      </c>
      <c r="F113" t="s">
        <v>19</v>
      </c>
      <c r="G113" s="3">
        <v>98.21</v>
      </c>
      <c r="H113" s="6">
        <v>3</v>
      </c>
      <c r="I113" s="3">
        <v>14.7315</v>
      </c>
      <c r="J113" s="3">
        <v>309.36149999999998</v>
      </c>
      <c r="K113" s="2">
        <v>43511</v>
      </c>
      <c r="L113" s="1">
        <v>0.44513888888888886</v>
      </c>
      <c r="M113" t="s">
        <v>29</v>
      </c>
      <c r="N113" s="3">
        <v>294.63</v>
      </c>
      <c r="O113" s="4">
        <v>4.7619047620000003</v>
      </c>
      <c r="P113" s="5">
        <v>14.7315</v>
      </c>
      <c r="Q113">
        <v>7.8</v>
      </c>
      <c r="R113" s="6">
        <f>DAY(SuperMarket_Analysis[[#This Row],[Date]])</f>
        <v>15</v>
      </c>
      <c r="S113" s="6" t="str">
        <f>TEXT(SuperMarket_Analysis[[#This Row],[Date]],"mmmm")</f>
        <v>February</v>
      </c>
      <c r="T113" s="6">
        <f>YEAR(SuperMarket_Analysis[[#This Row],[Date]])</f>
        <v>2019</v>
      </c>
    </row>
    <row r="114" spans="1:20" x14ac:dyDescent="0.3">
      <c r="A114" t="s">
        <v>144</v>
      </c>
      <c r="B114" t="s">
        <v>38</v>
      </c>
      <c r="C114" t="s">
        <v>39</v>
      </c>
      <c r="D114" t="s">
        <v>17</v>
      </c>
      <c r="E114" t="s">
        <v>18</v>
      </c>
      <c r="F114" t="s">
        <v>42</v>
      </c>
      <c r="G114" s="3">
        <v>72.84</v>
      </c>
      <c r="H114" s="6">
        <v>7</v>
      </c>
      <c r="I114" s="3">
        <v>25.494</v>
      </c>
      <c r="J114" s="3">
        <v>535.37400000000002</v>
      </c>
      <c r="K114" s="2">
        <v>43542</v>
      </c>
      <c r="L114" s="1">
        <v>0.53055555555555556</v>
      </c>
      <c r="M114" t="s">
        <v>26</v>
      </c>
      <c r="N114" s="3">
        <v>509.88</v>
      </c>
      <c r="O114" s="4">
        <v>4.7619047620000003</v>
      </c>
      <c r="P114" s="5">
        <v>25.494</v>
      </c>
      <c r="Q114">
        <v>8.4</v>
      </c>
      <c r="R114" s="6">
        <f>DAY(SuperMarket_Analysis[[#This Row],[Date]])</f>
        <v>18</v>
      </c>
      <c r="S114" s="6" t="str">
        <f>TEXT(SuperMarket_Analysis[[#This Row],[Date]],"mmmm")</f>
        <v>March</v>
      </c>
      <c r="T114" s="6">
        <f>YEAR(SuperMarket_Analysis[[#This Row],[Date]])</f>
        <v>2019</v>
      </c>
    </row>
    <row r="115" spans="1:20" x14ac:dyDescent="0.3">
      <c r="A115" t="s">
        <v>145</v>
      </c>
      <c r="B115" t="s">
        <v>15</v>
      </c>
      <c r="C115" t="s">
        <v>16</v>
      </c>
      <c r="D115" t="s">
        <v>17</v>
      </c>
      <c r="E115" t="s">
        <v>18</v>
      </c>
      <c r="F115" t="s">
        <v>28</v>
      </c>
      <c r="G115" s="3">
        <v>58.07</v>
      </c>
      <c r="H115" s="6">
        <v>9</v>
      </c>
      <c r="I115" s="3">
        <v>26.131499999999999</v>
      </c>
      <c r="J115" s="3">
        <v>548.76149999999996</v>
      </c>
      <c r="K115" s="2">
        <v>43552</v>
      </c>
      <c r="L115" s="1">
        <v>0.83819444444444446</v>
      </c>
      <c r="M115" t="s">
        <v>20</v>
      </c>
      <c r="N115" s="3">
        <v>522.63</v>
      </c>
      <c r="O115" s="4">
        <v>4.7619047620000003</v>
      </c>
      <c r="P115" s="5">
        <v>26.131499999999999</v>
      </c>
      <c r="Q115">
        <v>4.3</v>
      </c>
      <c r="R115" s="6">
        <f>DAY(SuperMarket_Analysis[[#This Row],[Date]])</f>
        <v>28</v>
      </c>
      <c r="S115" s="6" t="str">
        <f>TEXT(SuperMarket_Analysis[[#This Row],[Date]],"mmmm")</f>
        <v>March</v>
      </c>
      <c r="T115" s="6">
        <f>YEAR(SuperMarket_Analysis[[#This Row],[Date]])</f>
        <v>2019</v>
      </c>
    </row>
    <row r="116" spans="1:20" x14ac:dyDescent="0.3">
      <c r="A116" t="s">
        <v>146</v>
      </c>
      <c r="B116" t="s">
        <v>22</v>
      </c>
      <c r="C116" t="s">
        <v>23</v>
      </c>
      <c r="D116" t="s">
        <v>17</v>
      </c>
      <c r="E116" t="s">
        <v>18</v>
      </c>
      <c r="F116" t="s">
        <v>28</v>
      </c>
      <c r="G116" s="3">
        <v>80.790000000000006</v>
      </c>
      <c r="H116" s="6">
        <v>9</v>
      </c>
      <c r="I116" s="3">
        <v>36.355499999999999</v>
      </c>
      <c r="J116" s="3">
        <v>763.46550000000002</v>
      </c>
      <c r="K116" s="2">
        <v>43490</v>
      </c>
      <c r="L116" s="1">
        <v>0.85486111111111107</v>
      </c>
      <c r="M116" t="s">
        <v>29</v>
      </c>
      <c r="N116" s="3">
        <v>727.11</v>
      </c>
      <c r="O116" s="4">
        <v>4.7619047620000003</v>
      </c>
      <c r="P116" s="5">
        <v>36.355499999999999</v>
      </c>
      <c r="Q116">
        <v>9.5</v>
      </c>
      <c r="R116" s="6">
        <f>DAY(SuperMarket_Analysis[[#This Row],[Date]])</f>
        <v>25</v>
      </c>
      <c r="S116" s="6" t="str">
        <f>TEXT(SuperMarket_Analysis[[#This Row],[Date]],"mmmm")</f>
        <v>January</v>
      </c>
      <c r="T116" s="6">
        <f>YEAR(SuperMarket_Analysis[[#This Row],[Date]])</f>
        <v>2019</v>
      </c>
    </row>
    <row r="117" spans="1:20" x14ac:dyDescent="0.3">
      <c r="A117" t="s">
        <v>147</v>
      </c>
      <c r="B117" t="s">
        <v>22</v>
      </c>
      <c r="C117" t="s">
        <v>23</v>
      </c>
      <c r="D117" t="s">
        <v>17</v>
      </c>
      <c r="E117" t="s">
        <v>18</v>
      </c>
      <c r="F117" t="s">
        <v>42</v>
      </c>
      <c r="G117" s="3">
        <v>27.02</v>
      </c>
      <c r="H117" s="6">
        <v>3</v>
      </c>
      <c r="I117" s="3">
        <v>4.0529999999999999</v>
      </c>
      <c r="J117" s="3">
        <v>85.113</v>
      </c>
      <c r="K117" s="2">
        <v>43481</v>
      </c>
      <c r="L117" s="1">
        <v>0.54236111111111107</v>
      </c>
      <c r="M117" t="s">
        <v>29</v>
      </c>
      <c r="N117" s="3">
        <v>81.06</v>
      </c>
      <c r="O117" s="4">
        <v>4.7619047620000003</v>
      </c>
      <c r="P117" s="5">
        <v>4.0529999999999999</v>
      </c>
      <c r="Q117">
        <v>7.1</v>
      </c>
      <c r="R117" s="6">
        <f>DAY(SuperMarket_Analysis[[#This Row],[Date]])</f>
        <v>16</v>
      </c>
      <c r="S117" s="6" t="str">
        <f>TEXT(SuperMarket_Analysis[[#This Row],[Date]],"mmmm")</f>
        <v>January</v>
      </c>
      <c r="T117" s="6">
        <f>YEAR(SuperMarket_Analysis[[#This Row],[Date]])</f>
        <v>2019</v>
      </c>
    </row>
    <row r="118" spans="1:20" x14ac:dyDescent="0.3">
      <c r="A118" t="s">
        <v>148</v>
      </c>
      <c r="B118" t="s">
        <v>38</v>
      </c>
      <c r="C118" t="s">
        <v>39</v>
      </c>
      <c r="D118" t="s">
        <v>17</v>
      </c>
      <c r="E118" t="s">
        <v>18</v>
      </c>
      <c r="F118" t="s">
        <v>42</v>
      </c>
      <c r="G118" s="3">
        <v>21.94</v>
      </c>
      <c r="H118" s="6">
        <v>5</v>
      </c>
      <c r="I118" s="3">
        <v>5.4850000000000003</v>
      </c>
      <c r="J118" s="3">
        <v>115.185</v>
      </c>
      <c r="K118" s="2">
        <v>43544</v>
      </c>
      <c r="L118" s="1">
        <v>0.52013888888888893</v>
      </c>
      <c r="M118" t="s">
        <v>20</v>
      </c>
      <c r="N118" s="3">
        <v>109.7</v>
      </c>
      <c r="O118" s="4">
        <v>4.7619047620000003</v>
      </c>
      <c r="P118" s="5">
        <v>5.4850000000000003</v>
      </c>
      <c r="Q118">
        <v>5.3</v>
      </c>
      <c r="R118" s="6">
        <f>DAY(SuperMarket_Analysis[[#This Row],[Date]])</f>
        <v>20</v>
      </c>
      <c r="S118" s="6" t="str">
        <f>TEXT(SuperMarket_Analysis[[#This Row],[Date]],"mmmm")</f>
        <v>March</v>
      </c>
      <c r="T118" s="6">
        <f>YEAR(SuperMarket_Analysis[[#This Row],[Date]])</f>
        <v>2019</v>
      </c>
    </row>
    <row r="119" spans="1:20" x14ac:dyDescent="0.3">
      <c r="A119" t="s">
        <v>149</v>
      </c>
      <c r="B119" t="s">
        <v>38</v>
      </c>
      <c r="C119" t="s">
        <v>39</v>
      </c>
      <c r="D119" t="s">
        <v>17</v>
      </c>
      <c r="E119" t="s">
        <v>18</v>
      </c>
      <c r="F119" t="s">
        <v>42</v>
      </c>
      <c r="G119" s="3">
        <v>51.36</v>
      </c>
      <c r="H119" s="6">
        <v>1</v>
      </c>
      <c r="I119" s="3">
        <v>2.5680000000000001</v>
      </c>
      <c r="J119" s="3">
        <v>53.927999999999997</v>
      </c>
      <c r="K119" s="2">
        <v>43546</v>
      </c>
      <c r="L119" s="1">
        <v>0.6430555555555556</v>
      </c>
      <c r="M119" t="s">
        <v>20</v>
      </c>
      <c r="N119" s="3">
        <v>51.36</v>
      </c>
      <c r="O119" s="4">
        <v>4.7619047620000003</v>
      </c>
      <c r="P119" s="5">
        <v>2.5680000000000001</v>
      </c>
      <c r="Q119">
        <v>5.2</v>
      </c>
      <c r="R119" s="6">
        <f>DAY(SuperMarket_Analysis[[#This Row],[Date]])</f>
        <v>22</v>
      </c>
      <c r="S119" s="6" t="str">
        <f>TEXT(SuperMarket_Analysis[[#This Row],[Date]],"mmmm")</f>
        <v>March</v>
      </c>
      <c r="T119" s="6">
        <f>YEAR(SuperMarket_Analysis[[#This Row],[Date]])</f>
        <v>2019</v>
      </c>
    </row>
    <row r="120" spans="1:20" x14ac:dyDescent="0.3">
      <c r="A120" t="s">
        <v>150</v>
      </c>
      <c r="B120" t="s">
        <v>15</v>
      </c>
      <c r="C120" t="s">
        <v>16</v>
      </c>
      <c r="D120" t="s">
        <v>17</v>
      </c>
      <c r="E120" t="s">
        <v>18</v>
      </c>
      <c r="F120" t="s">
        <v>40</v>
      </c>
      <c r="G120" s="3">
        <v>10.96</v>
      </c>
      <c r="H120" s="6">
        <v>10</v>
      </c>
      <c r="I120" s="3">
        <v>5.48</v>
      </c>
      <c r="J120" s="3">
        <v>115.08</v>
      </c>
      <c r="K120" s="2">
        <v>43548</v>
      </c>
      <c r="L120" s="1">
        <v>0.8666666666666667</v>
      </c>
      <c r="M120" t="s">
        <v>20</v>
      </c>
      <c r="N120" s="3">
        <v>109.6</v>
      </c>
      <c r="O120" s="4">
        <v>4.7619047620000003</v>
      </c>
      <c r="P120" s="5">
        <v>5.48</v>
      </c>
      <c r="Q120">
        <v>6</v>
      </c>
      <c r="R120" s="6">
        <f>DAY(SuperMarket_Analysis[[#This Row],[Date]])</f>
        <v>24</v>
      </c>
      <c r="S120" s="6" t="str">
        <f>TEXT(SuperMarket_Analysis[[#This Row],[Date]],"mmmm")</f>
        <v>March</v>
      </c>
      <c r="T120" s="6">
        <f>YEAR(SuperMarket_Analysis[[#This Row],[Date]])</f>
        <v>2019</v>
      </c>
    </row>
    <row r="121" spans="1:20" x14ac:dyDescent="0.3">
      <c r="A121" t="s">
        <v>151</v>
      </c>
      <c r="B121" t="s">
        <v>38</v>
      </c>
      <c r="C121" t="s">
        <v>39</v>
      </c>
      <c r="D121" t="s">
        <v>17</v>
      </c>
      <c r="E121" t="s">
        <v>18</v>
      </c>
      <c r="F121" t="s">
        <v>28</v>
      </c>
      <c r="G121" s="3">
        <v>53.44</v>
      </c>
      <c r="H121" s="6">
        <v>2</v>
      </c>
      <c r="I121" s="3">
        <v>5.3440000000000003</v>
      </c>
      <c r="J121" s="3">
        <v>112.224</v>
      </c>
      <c r="K121" s="2">
        <v>43517</v>
      </c>
      <c r="L121" s="1">
        <v>0.85972222222222228</v>
      </c>
      <c r="M121" t="s">
        <v>20</v>
      </c>
      <c r="N121" s="3">
        <v>106.88</v>
      </c>
      <c r="O121" s="4">
        <v>4.7619047620000003</v>
      </c>
      <c r="P121" s="5">
        <v>5.3440000000000003</v>
      </c>
      <c r="Q121">
        <v>4.0999999999999996</v>
      </c>
      <c r="R121" s="6">
        <f>DAY(SuperMarket_Analysis[[#This Row],[Date]])</f>
        <v>21</v>
      </c>
      <c r="S121" s="6" t="str">
        <f>TEXT(SuperMarket_Analysis[[#This Row],[Date]],"mmmm")</f>
        <v>February</v>
      </c>
      <c r="T121" s="6">
        <f>YEAR(SuperMarket_Analysis[[#This Row],[Date]])</f>
        <v>2019</v>
      </c>
    </row>
    <row r="122" spans="1:20" x14ac:dyDescent="0.3">
      <c r="A122" t="s">
        <v>152</v>
      </c>
      <c r="B122" t="s">
        <v>15</v>
      </c>
      <c r="C122" t="s">
        <v>16</v>
      </c>
      <c r="D122" t="s">
        <v>17</v>
      </c>
      <c r="E122" t="s">
        <v>18</v>
      </c>
      <c r="F122" t="s">
        <v>25</v>
      </c>
      <c r="G122" s="3">
        <v>99.56</v>
      </c>
      <c r="H122" s="6">
        <v>8</v>
      </c>
      <c r="I122" s="3">
        <v>39.823999999999998</v>
      </c>
      <c r="J122" s="3">
        <v>836.30399999999997</v>
      </c>
      <c r="K122" s="2">
        <v>43496</v>
      </c>
      <c r="L122" s="1">
        <v>0.7104166666666667</v>
      </c>
      <c r="M122" t="s">
        <v>29</v>
      </c>
      <c r="N122" s="3">
        <v>796.48</v>
      </c>
      <c r="O122" s="4">
        <v>4.7619047620000003</v>
      </c>
      <c r="P122" s="5">
        <v>39.823999999999998</v>
      </c>
      <c r="Q122">
        <v>5.2</v>
      </c>
      <c r="R122" s="6">
        <f>DAY(SuperMarket_Analysis[[#This Row],[Date]])</f>
        <v>31</v>
      </c>
      <c r="S122" s="6" t="str">
        <f>TEXT(SuperMarket_Analysis[[#This Row],[Date]],"mmmm")</f>
        <v>January</v>
      </c>
      <c r="T122" s="6">
        <f>YEAR(SuperMarket_Analysis[[#This Row],[Date]])</f>
        <v>2019</v>
      </c>
    </row>
    <row r="123" spans="1:20" x14ac:dyDescent="0.3">
      <c r="A123" t="s">
        <v>153</v>
      </c>
      <c r="B123" t="s">
        <v>22</v>
      </c>
      <c r="C123" t="s">
        <v>23</v>
      </c>
      <c r="D123" t="s">
        <v>17</v>
      </c>
      <c r="E123" t="s">
        <v>18</v>
      </c>
      <c r="F123" t="s">
        <v>32</v>
      </c>
      <c r="G123" s="3">
        <v>57.12</v>
      </c>
      <c r="H123" s="6">
        <v>7</v>
      </c>
      <c r="I123" s="3">
        <v>19.992000000000001</v>
      </c>
      <c r="J123" s="3">
        <v>419.83199999999999</v>
      </c>
      <c r="K123" s="2">
        <v>43513</v>
      </c>
      <c r="L123" s="1">
        <v>0.50138888888888888</v>
      </c>
      <c r="M123" t="s">
        <v>29</v>
      </c>
      <c r="N123" s="3">
        <v>399.84</v>
      </c>
      <c r="O123" s="4">
        <v>4.7619047620000003</v>
      </c>
      <c r="P123" s="5">
        <v>19.992000000000001</v>
      </c>
      <c r="Q123">
        <v>6.5</v>
      </c>
      <c r="R123" s="6">
        <f>DAY(SuperMarket_Analysis[[#This Row],[Date]])</f>
        <v>17</v>
      </c>
      <c r="S123" s="6" t="str">
        <f>TEXT(SuperMarket_Analysis[[#This Row],[Date]],"mmmm")</f>
        <v>February</v>
      </c>
      <c r="T123" s="6">
        <f>YEAR(SuperMarket_Analysis[[#This Row],[Date]])</f>
        <v>2019</v>
      </c>
    </row>
    <row r="124" spans="1:20" x14ac:dyDescent="0.3">
      <c r="A124" t="s">
        <v>154</v>
      </c>
      <c r="B124" t="s">
        <v>38</v>
      </c>
      <c r="C124" t="s">
        <v>39</v>
      </c>
      <c r="D124" t="s">
        <v>17</v>
      </c>
      <c r="E124" t="s">
        <v>18</v>
      </c>
      <c r="F124" t="s">
        <v>32</v>
      </c>
      <c r="G124" s="3">
        <v>99.96</v>
      </c>
      <c r="H124" s="6">
        <v>9</v>
      </c>
      <c r="I124" s="3">
        <v>44.981999999999999</v>
      </c>
      <c r="J124" s="3">
        <v>944.62199999999996</v>
      </c>
      <c r="K124" s="2">
        <v>43517</v>
      </c>
      <c r="L124" s="1">
        <v>0.72638888888888886</v>
      </c>
      <c r="M124" t="s">
        <v>29</v>
      </c>
      <c r="N124" s="3">
        <v>899.64</v>
      </c>
      <c r="O124" s="4">
        <v>4.7619047620000003</v>
      </c>
      <c r="P124" s="5">
        <v>44.981999999999999</v>
      </c>
      <c r="Q124">
        <v>4.2</v>
      </c>
      <c r="R124" s="6">
        <f>DAY(SuperMarket_Analysis[[#This Row],[Date]])</f>
        <v>21</v>
      </c>
      <c r="S124" s="6" t="str">
        <f>TEXT(SuperMarket_Analysis[[#This Row],[Date]],"mmmm")</f>
        <v>February</v>
      </c>
      <c r="T124" s="6">
        <f>YEAR(SuperMarket_Analysis[[#This Row],[Date]])</f>
        <v>2019</v>
      </c>
    </row>
    <row r="125" spans="1:20" x14ac:dyDescent="0.3">
      <c r="A125" t="s">
        <v>155</v>
      </c>
      <c r="B125" t="s">
        <v>22</v>
      </c>
      <c r="C125" t="s">
        <v>23</v>
      </c>
      <c r="D125" t="s">
        <v>17</v>
      </c>
      <c r="E125" t="s">
        <v>18</v>
      </c>
      <c r="F125" t="s">
        <v>28</v>
      </c>
      <c r="G125" s="3">
        <v>63.91</v>
      </c>
      <c r="H125" s="6">
        <v>8</v>
      </c>
      <c r="I125" s="3">
        <v>25.564</v>
      </c>
      <c r="J125" s="3">
        <v>536.84400000000005</v>
      </c>
      <c r="K125" s="2">
        <v>43544</v>
      </c>
      <c r="L125" s="1">
        <v>0.82777777777777772</v>
      </c>
      <c r="M125" t="s">
        <v>29</v>
      </c>
      <c r="N125" s="3">
        <v>511.28</v>
      </c>
      <c r="O125" s="4">
        <v>4.7619047620000003</v>
      </c>
      <c r="P125" s="5">
        <v>25.564</v>
      </c>
      <c r="Q125">
        <v>4.5999999999999996</v>
      </c>
      <c r="R125" s="6">
        <f>DAY(SuperMarket_Analysis[[#This Row],[Date]])</f>
        <v>20</v>
      </c>
      <c r="S125" s="6" t="str">
        <f>TEXT(SuperMarket_Analysis[[#This Row],[Date]],"mmmm")</f>
        <v>March</v>
      </c>
      <c r="T125" s="6">
        <f>YEAR(SuperMarket_Analysis[[#This Row],[Date]])</f>
        <v>2019</v>
      </c>
    </row>
    <row r="126" spans="1:20" x14ac:dyDescent="0.3">
      <c r="A126" t="s">
        <v>156</v>
      </c>
      <c r="B126" t="s">
        <v>38</v>
      </c>
      <c r="C126" t="s">
        <v>39</v>
      </c>
      <c r="D126" t="s">
        <v>17</v>
      </c>
      <c r="E126" t="s">
        <v>18</v>
      </c>
      <c r="F126" t="s">
        <v>42</v>
      </c>
      <c r="G126" s="3">
        <v>56.47</v>
      </c>
      <c r="H126" s="6">
        <v>8</v>
      </c>
      <c r="I126" s="3">
        <v>22.588000000000001</v>
      </c>
      <c r="J126" s="3">
        <v>474.34800000000001</v>
      </c>
      <c r="K126" s="2">
        <v>43491</v>
      </c>
      <c r="L126" s="1">
        <v>0.62291666666666667</v>
      </c>
      <c r="M126" t="s">
        <v>20</v>
      </c>
      <c r="N126" s="3">
        <v>451.76</v>
      </c>
      <c r="O126" s="4">
        <v>4.7619047620000003</v>
      </c>
      <c r="P126" s="5">
        <v>22.588000000000001</v>
      </c>
      <c r="Q126">
        <v>7.3</v>
      </c>
      <c r="R126" s="6">
        <f>DAY(SuperMarket_Analysis[[#This Row],[Date]])</f>
        <v>26</v>
      </c>
      <c r="S126" s="6" t="str">
        <f>TEXT(SuperMarket_Analysis[[#This Row],[Date]],"mmmm")</f>
        <v>January</v>
      </c>
      <c r="T126" s="6">
        <f>YEAR(SuperMarket_Analysis[[#This Row],[Date]])</f>
        <v>2019</v>
      </c>
    </row>
    <row r="127" spans="1:20" x14ac:dyDescent="0.3">
      <c r="A127" t="s">
        <v>157</v>
      </c>
      <c r="B127" t="s">
        <v>15</v>
      </c>
      <c r="C127" t="s">
        <v>16</v>
      </c>
      <c r="D127" t="s">
        <v>17</v>
      </c>
      <c r="E127" t="s">
        <v>18</v>
      </c>
      <c r="F127" t="s">
        <v>28</v>
      </c>
      <c r="G127" s="3">
        <v>93.69</v>
      </c>
      <c r="H127" s="6">
        <v>7</v>
      </c>
      <c r="I127" s="3">
        <v>32.791499999999999</v>
      </c>
      <c r="J127" s="3">
        <v>688.62149999999997</v>
      </c>
      <c r="K127" s="2">
        <v>43496</v>
      </c>
      <c r="L127" s="1">
        <v>0.78055555555555556</v>
      </c>
      <c r="M127" t="s">
        <v>29</v>
      </c>
      <c r="N127" s="3">
        <v>655.83</v>
      </c>
      <c r="O127" s="4">
        <v>4.7619047620000003</v>
      </c>
      <c r="P127" s="5">
        <v>32.791499999999999</v>
      </c>
      <c r="Q127">
        <v>4.5</v>
      </c>
      <c r="R127" s="6">
        <f>DAY(SuperMarket_Analysis[[#This Row],[Date]])</f>
        <v>31</v>
      </c>
      <c r="S127" s="6" t="str">
        <f>TEXT(SuperMarket_Analysis[[#This Row],[Date]],"mmmm")</f>
        <v>January</v>
      </c>
      <c r="T127" s="6">
        <f>YEAR(SuperMarket_Analysis[[#This Row],[Date]])</f>
        <v>2019</v>
      </c>
    </row>
    <row r="128" spans="1:20" x14ac:dyDescent="0.3">
      <c r="A128" t="s">
        <v>158</v>
      </c>
      <c r="B128" t="s">
        <v>15</v>
      </c>
      <c r="C128" t="s">
        <v>16</v>
      </c>
      <c r="D128" t="s">
        <v>17</v>
      </c>
      <c r="E128" t="s">
        <v>18</v>
      </c>
      <c r="F128" t="s">
        <v>32</v>
      </c>
      <c r="G128" s="3">
        <v>32.25</v>
      </c>
      <c r="H128" s="6">
        <v>5</v>
      </c>
      <c r="I128" s="3">
        <v>8.0625</v>
      </c>
      <c r="J128" s="3">
        <v>169.3125</v>
      </c>
      <c r="K128" s="2">
        <v>43522</v>
      </c>
      <c r="L128" s="1">
        <v>0.55972222222222223</v>
      </c>
      <c r="M128" t="s">
        <v>26</v>
      </c>
      <c r="N128" s="3">
        <v>161.25</v>
      </c>
      <c r="O128" s="4">
        <v>4.7619047620000003</v>
      </c>
      <c r="P128" s="5">
        <v>8.0625</v>
      </c>
      <c r="Q128">
        <v>9</v>
      </c>
      <c r="R128" s="6">
        <f>DAY(SuperMarket_Analysis[[#This Row],[Date]])</f>
        <v>26</v>
      </c>
      <c r="S128" s="6" t="str">
        <f>TEXT(SuperMarket_Analysis[[#This Row],[Date]],"mmmm")</f>
        <v>February</v>
      </c>
      <c r="T128" s="6">
        <f>YEAR(SuperMarket_Analysis[[#This Row],[Date]])</f>
        <v>2019</v>
      </c>
    </row>
    <row r="129" spans="1:20" x14ac:dyDescent="0.3">
      <c r="A129" t="s">
        <v>159</v>
      </c>
      <c r="B129" t="s">
        <v>22</v>
      </c>
      <c r="C129" t="s">
        <v>23</v>
      </c>
      <c r="D129" t="s">
        <v>17</v>
      </c>
      <c r="E129" t="s">
        <v>18</v>
      </c>
      <c r="F129" t="s">
        <v>42</v>
      </c>
      <c r="G129" s="3">
        <v>31.73</v>
      </c>
      <c r="H129" s="6">
        <v>9</v>
      </c>
      <c r="I129" s="3">
        <v>14.278499999999999</v>
      </c>
      <c r="J129" s="3">
        <v>299.8485</v>
      </c>
      <c r="K129" s="2">
        <v>43491</v>
      </c>
      <c r="L129" s="1">
        <v>0.67847222222222225</v>
      </c>
      <c r="M129" t="s">
        <v>29</v>
      </c>
      <c r="N129" s="3">
        <v>285.57</v>
      </c>
      <c r="O129" s="4">
        <v>4.7619047620000003</v>
      </c>
      <c r="P129" s="5">
        <v>14.278499999999999</v>
      </c>
      <c r="Q129">
        <v>5.9</v>
      </c>
      <c r="R129" s="6">
        <f>DAY(SuperMarket_Analysis[[#This Row],[Date]])</f>
        <v>26</v>
      </c>
      <c r="S129" s="6" t="str">
        <f>TEXT(SuperMarket_Analysis[[#This Row],[Date]],"mmmm")</f>
        <v>January</v>
      </c>
      <c r="T129" s="6">
        <f>YEAR(SuperMarket_Analysis[[#This Row],[Date]])</f>
        <v>2019</v>
      </c>
    </row>
    <row r="130" spans="1:20" x14ac:dyDescent="0.3">
      <c r="A130" t="s">
        <v>160</v>
      </c>
      <c r="B130" t="s">
        <v>22</v>
      </c>
      <c r="C130" t="s">
        <v>23</v>
      </c>
      <c r="D130" t="s">
        <v>17</v>
      </c>
      <c r="E130" t="s">
        <v>18</v>
      </c>
      <c r="F130" t="s">
        <v>40</v>
      </c>
      <c r="G130" s="3">
        <v>68.540000000000006</v>
      </c>
      <c r="H130" s="6">
        <v>8</v>
      </c>
      <c r="I130" s="3">
        <v>27.416</v>
      </c>
      <c r="J130" s="3">
        <v>575.73599999999999</v>
      </c>
      <c r="K130" s="2">
        <v>43517</v>
      </c>
      <c r="L130" s="1">
        <v>0.6645833333333333</v>
      </c>
      <c r="M130" t="s">
        <v>20</v>
      </c>
      <c r="N130" s="3">
        <v>548.32000000000005</v>
      </c>
      <c r="O130" s="4">
        <v>4.7619047620000003</v>
      </c>
      <c r="P130" s="5">
        <v>27.416</v>
      </c>
      <c r="Q130">
        <v>8.5</v>
      </c>
      <c r="R130" s="6">
        <f>DAY(SuperMarket_Analysis[[#This Row],[Date]])</f>
        <v>21</v>
      </c>
      <c r="S130" s="6" t="str">
        <f>TEXT(SuperMarket_Analysis[[#This Row],[Date]],"mmmm")</f>
        <v>February</v>
      </c>
      <c r="T130" s="6">
        <f>YEAR(SuperMarket_Analysis[[#This Row],[Date]])</f>
        <v>2019</v>
      </c>
    </row>
    <row r="131" spans="1:20" x14ac:dyDescent="0.3">
      <c r="A131" t="s">
        <v>161</v>
      </c>
      <c r="B131" t="s">
        <v>38</v>
      </c>
      <c r="C131" t="s">
        <v>39</v>
      </c>
      <c r="D131" t="s">
        <v>17</v>
      </c>
      <c r="E131" t="s">
        <v>18</v>
      </c>
      <c r="F131" t="s">
        <v>32</v>
      </c>
      <c r="G131" s="3">
        <v>90.28</v>
      </c>
      <c r="H131" s="6">
        <v>9</v>
      </c>
      <c r="I131" s="3">
        <v>40.625999999999998</v>
      </c>
      <c r="J131" s="3">
        <v>853.14599999999996</v>
      </c>
      <c r="K131" s="2">
        <v>43485</v>
      </c>
      <c r="L131" s="1">
        <v>0.46875</v>
      </c>
      <c r="M131" t="s">
        <v>20</v>
      </c>
      <c r="N131" s="3">
        <v>812.52</v>
      </c>
      <c r="O131" s="4">
        <v>4.7619047620000003</v>
      </c>
      <c r="P131" s="5">
        <v>40.625999999999998</v>
      </c>
      <c r="Q131">
        <v>7.2</v>
      </c>
      <c r="R131" s="6">
        <f>DAY(SuperMarket_Analysis[[#This Row],[Date]])</f>
        <v>20</v>
      </c>
      <c r="S131" s="6" t="str">
        <f>TEXT(SuperMarket_Analysis[[#This Row],[Date]],"mmmm")</f>
        <v>January</v>
      </c>
      <c r="T131" s="6">
        <f>YEAR(SuperMarket_Analysis[[#This Row],[Date]])</f>
        <v>2019</v>
      </c>
    </row>
    <row r="132" spans="1:20" x14ac:dyDescent="0.3">
      <c r="A132" t="s">
        <v>162</v>
      </c>
      <c r="B132" t="s">
        <v>38</v>
      </c>
      <c r="C132" t="s">
        <v>39</v>
      </c>
      <c r="D132" t="s">
        <v>24</v>
      </c>
      <c r="E132" t="s">
        <v>18</v>
      </c>
      <c r="F132" t="s">
        <v>42</v>
      </c>
      <c r="G132" s="3">
        <v>39.619999999999997</v>
      </c>
      <c r="H132" s="6">
        <v>7</v>
      </c>
      <c r="I132" s="3">
        <v>13.867000000000001</v>
      </c>
      <c r="J132" s="3">
        <v>291.20699999999999</v>
      </c>
      <c r="K132" s="2">
        <v>43493</v>
      </c>
      <c r="L132" s="1">
        <v>0.5541666666666667</v>
      </c>
      <c r="M132" t="s">
        <v>26</v>
      </c>
      <c r="N132" s="3">
        <v>277.33999999999997</v>
      </c>
      <c r="O132" s="4">
        <v>4.7619047620000003</v>
      </c>
      <c r="P132" s="5">
        <v>13.867000000000001</v>
      </c>
      <c r="Q132">
        <v>7.5</v>
      </c>
      <c r="R132" s="6">
        <f>DAY(SuperMarket_Analysis[[#This Row],[Date]])</f>
        <v>28</v>
      </c>
      <c r="S132" s="6" t="str">
        <f>TEXT(SuperMarket_Analysis[[#This Row],[Date]],"mmmm")</f>
        <v>January</v>
      </c>
      <c r="T132" s="6">
        <f>YEAR(SuperMarket_Analysis[[#This Row],[Date]])</f>
        <v>2019</v>
      </c>
    </row>
    <row r="133" spans="1:20" x14ac:dyDescent="0.3">
      <c r="A133" t="s">
        <v>163</v>
      </c>
      <c r="B133" t="s">
        <v>15</v>
      </c>
      <c r="C133" t="s">
        <v>16</v>
      </c>
      <c r="D133" t="s">
        <v>17</v>
      </c>
      <c r="E133" t="s">
        <v>18</v>
      </c>
      <c r="F133" t="s">
        <v>32</v>
      </c>
      <c r="G133" s="3">
        <v>92.13</v>
      </c>
      <c r="H133" s="6">
        <v>6</v>
      </c>
      <c r="I133" s="3">
        <v>27.638999999999999</v>
      </c>
      <c r="J133" s="3">
        <v>580.41899999999998</v>
      </c>
      <c r="K133" s="2">
        <v>43524</v>
      </c>
      <c r="L133" s="1">
        <v>0.8569444444444444</v>
      </c>
      <c r="M133" t="s">
        <v>26</v>
      </c>
      <c r="N133" s="3">
        <v>552.78</v>
      </c>
      <c r="O133" s="4">
        <v>4.7619047620000003</v>
      </c>
      <c r="P133" s="5">
        <v>27.638999999999999</v>
      </c>
      <c r="Q133">
        <v>8.3000000000000007</v>
      </c>
      <c r="R133" s="6">
        <f>DAY(SuperMarket_Analysis[[#This Row],[Date]])</f>
        <v>28</v>
      </c>
      <c r="S133" s="6" t="str">
        <f>TEXT(SuperMarket_Analysis[[#This Row],[Date]],"mmmm")</f>
        <v>February</v>
      </c>
      <c r="T133" s="6">
        <f>YEAR(SuperMarket_Analysis[[#This Row],[Date]])</f>
        <v>2019</v>
      </c>
    </row>
    <row r="134" spans="1:20" x14ac:dyDescent="0.3">
      <c r="A134" t="s">
        <v>164</v>
      </c>
      <c r="B134" t="s">
        <v>38</v>
      </c>
      <c r="C134" t="s">
        <v>39</v>
      </c>
      <c r="D134" t="s">
        <v>24</v>
      </c>
      <c r="E134" t="s">
        <v>18</v>
      </c>
      <c r="F134" t="s">
        <v>32</v>
      </c>
      <c r="G134" s="3">
        <v>34.840000000000003</v>
      </c>
      <c r="H134" s="6">
        <v>4</v>
      </c>
      <c r="I134" s="3">
        <v>6.968</v>
      </c>
      <c r="J134" s="3">
        <v>146.328</v>
      </c>
      <c r="K134" s="2">
        <v>43488</v>
      </c>
      <c r="L134" s="1">
        <v>0.77500000000000002</v>
      </c>
      <c r="M134" t="s">
        <v>26</v>
      </c>
      <c r="N134" s="3">
        <v>139.36000000000001</v>
      </c>
      <c r="O134" s="4">
        <v>4.7619047620000003</v>
      </c>
      <c r="P134" s="5">
        <v>6.968</v>
      </c>
      <c r="Q134">
        <v>7.4</v>
      </c>
      <c r="R134" s="6">
        <f>DAY(SuperMarket_Analysis[[#This Row],[Date]])</f>
        <v>23</v>
      </c>
      <c r="S134" s="6" t="str">
        <f>TEXT(SuperMarket_Analysis[[#This Row],[Date]],"mmmm")</f>
        <v>January</v>
      </c>
      <c r="T134" s="6">
        <f>YEAR(SuperMarket_Analysis[[#This Row],[Date]])</f>
        <v>2019</v>
      </c>
    </row>
    <row r="135" spans="1:20" x14ac:dyDescent="0.3">
      <c r="A135" t="s">
        <v>165</v>
      </c>
      <c r="B135" t="s">
        <v>38</v>
      </c>
      <c r="C135" t="s">
        <v>39</v>
      </c>
      <c r="D135" t="s">
        <v>17</v>
      </c>
      <c r="E135" t="s">
        <v>18</v>
      </c>
      <c r="F135" t="s">
        <v>25</v>
      </c>
      <c r="G135" s="3">
        <v>87.45</v>
      </c>
      <c r="H135" s="6">
        <v>6</v>
      </c>
      <c r="I135" s="3">
        <v>26.234999999999999</v>
      </c>
      <c r="J135" s="3">
        <v>550.93499999999995</v>
      </c>
      <c r="K135" s="2">
        <v>43479</v>
      </c>
      <c r="L135" s="1">
        <v>0.61111111111111116</v>
      </c>
      <c r="M135" t="s">
        <v>29</v>
      </c>
      <c r="N135" s="3">
        <v>524.70000000000005</v>
      </c>
      <c r="O135" s="4">
        <v>4.7619047620000003</v>
      </c>
      <c r="P135" s="5">
        <v>26.234999999999999</v>
      </c>
      <c r="Q135">
        <v>8.8000000000000007</v>
      </c>
      <c r="R135" s="6">
        <f>DAY(SuperMarket_Analysis[[#This Row],[Date]])</f>
        <v>14</v>
      </c>
      <c r="S135" s="6" t="str">
        <f>TEXT(SuperMarket_Analysis[[#This Row],[Date]],"mmmm")</f>
        <v>January</v>
      </c>
      <c r="T135" s="6">
        <f>YEAR(SuperMarket_Analysis[[#This Row],[Date]])</f>
        <v>2019</v>
      </c>
    </row>
    <row r="136" spans="1:20" x14ac:dyDescent="0.3">
      <c r="A136" t="s">
        <v>166</v>
      </c>
      <c r="B136" t="s">
        <v>22</v>
      </c>
      <c r="C136" t="s">
        <v>23</v>
      </c>
      <c r="D136" t="s">
        <v>24</v>
      </c>
      <c r="E136" t="s">
        <v>18</v>
      </c>
      <c r="F136" t="s">
        <v>19</v>
      </c>
      <c r="G136" s="3">
        <v>81.3</v>
      </c>
      <c r="H136" s="6">
        <v>6</v>
      </c>
      <c r="I136" s="3">
        <v>24.39</v>
      </c>
      <c r="J136" s="3">
        <v>512.19000000000005</v>
      </c>
      <c r="K136" s="2">
        <v>43541</v>
      </c>
      <c r="L136" s="1">
        <v>0.69652777777777775</v>
      </c>
      <c r="M136" t="s">
        <v>20</v>
      </c>
      <c r="N136" s="3">
        <v>487.8</v>
      </c>
      <c r="O136" s="4">
        <v>4.7619047620000003</v>
      </c>
      <c r="P136" s="5">
        <v>24.39</v>
      </c>
      <c r="Q136">
        <v>5.3</v>
      </c>
      <c r="R136" s="6">
        <f>DAY(SuperMarket_Analysis[[#This Row],[Date]])</f>
        <v>17</v>
      </c>
      <c r="S136" s="6" t="str">
        <f>TEXT(SuperMarket_Analysis[[#This Row],[Date]],"mmmm")</f>
        <v>March</v>
      </c>
      <c r="T136" s="6">
        <f>YEAR(SuperMarket_Analysis[[#This Row],[Date]])</f>
        <v>2019</v>
      </c>
    </row>
    <row r="137" spans="1:20" x14ac:dyDescent="0.3">
      <c r="A137" t="s">
        <v>167</v>
      </c>
      <c r="B137" t="s">
        <v>22</v>
      </c>
      <c r="C137" t="s">
        <v>23</v>
      </c>
      <c r="D137" t="s">
        <v>24</v>
      </c>
      <c r="E137" t="s">
        <v>18</v>
      </c>
      <c r="F137" t="s">
        <v>42</v>
      </c>
      <c r="G137" s="3">
        <v>90.22</v>
      </c>
      <c r="H137" s="6">
        <v>3</v>
      </c>
      <c r="I137" s="3">
        <v>13.532999999999999</v>
      </c>
      <c r="J137" s="3">
        <v>284.19299999999998</v>
      </c>
      <c r="K137" s="2">
        <v>43540</v>
      </c>
      <c r="L137" s="1">
        <v>0.81874999999999998</v>
      </c>
      <c r="M137" t="s">
        <v>26</v>
      </c>
      <c r="N137" s="3">
        <v>270.66000000000003</v>
      </c>
      <c r="O137" s="4">
        <v>4.7619047620000003</v>
      </c>
      <c r="P137" s="5">
        <v>13.532999999999999</v>
      </c>
      <c r="Q137">
        <v>6.2</v>
      </c>
      <c r="R137" s="6">
        <f>DAY(SuperMarket_Analysis[[#This Row],[Date]])</f>
        <v>16</v>
      </c>
      <c r="S137" s="6" t="str">
        <f>TEXT(SuperMarket_Analysis[[#This Row],[Date]],"mmmm")</f>
        <v>March</v>
      </c>
      <c r="T137" s="6">
        <f>YEAR(SuperMarket_Analysis[[#This Row],[Date]])</f>
        <v>2019</v>
      </c>
    </row>
    <row r="138" spans="1:20" x14ac:dyDescent="0.3">
      <c r="A138" t="s">
        <v>168</v>
      </c>
      <c r="B138" t="s">
        <v>15</v>
      </c>
      <c r="C138" t="s">
        <v>16</v>
      </c>
      <c r="D138" t="s">
        <v>24</v>
      </c>
      <c r="E138" t="s">
        <v>18</v>
      </c>
      <c r="F138" t="s">
        <v>25</v>
      </c>
      <c r="G138" s="3">
        <v>26.31</v>
      </c>
      <c r="H138" s="6">
        <v>5</v>
      </c>
      <c r="I138" s="3">
        <v>6.5774999999999997</v>
      </c>
      <c r="J138" s="3">
        <v>138.1275</v>
      </c>
      <c r="K138" s="2">
        <v>43494</v>
      </c>
      <c r="L138" s="1">
        <v>0.87430555555555556</v>
      </c>
      <c r="M138" t="s">
        <v>29</v>
      </c>
      <c r="N138" s="3">
        <v>131.55000000000001</v>
      </c>
      <c r="O138" s="4">
        <v>4.7619047620000003</v>
      </c>
      <c r="P138" s="5">
        <v>6.5774999999999997</v>
      </c>
      <c r="Q138">
        <v>8.8000000000000007</v>
      </c>
      <c r="R138" s="6">
        <f>DAY(SuperMarket_Analysis[[#This Row],[Date]])</f>
        <v>29</v>
      </c>
      <c r="S138" s="6" t="str">
        <f>TEXT(SuperMarket_Analysis[[#This Row],[Date]],"mmmm")</f>
        <v>January</v>
      </c>
      <c r="T138" s="6">
        <f>YEAR(SuperMarket_Analysis[[#This Row],[Date]])</f>
        <v>2019</v>
      </c>
    </row>
    <row r="139" spans="1:20" x14ac:dyDescent="0.3">
      <c r="A139" t="s">
        <v>169</v>
      </c>
      <c r="B139" t="s">
        <v>15</v>
      </c>
      <c r="C139" t="s">
        <v>16</v>
      </c>
      <c r="D139" t="s">
        <v>17</v>
      </c>
      <c r="E139" t="s">
        <v>18</v>
      </c>
      <c r="F139" t="s">
        <v>28</v>
      </c>
      <c r="G139" s="3">
        <v>34.42</v>
      </c>
      <c r="H139" s="6">
        <v>6</v>
      </c>
      <c r="I139" s="3">
        <v>10.326000000000001</v>
      </c>
      <c r="J139" s="3">
        <v>216.846</v>
      </c>
      <c r="K139" s="2">
        <v>43496</v>
      </c>
      <c r="L139" s="1">
        <v>0.65208333333333335</v>
      </c>
      <c r="M139" t="s">
        <v>26</v>
      </c>
      <c r="N139" s="3">
        <v>206.52</v>
      </c>
      <c r="O139" s="4">
        <v>4.7619047620000003</v>
      </c>
      <c r="P139" s="5">
        <v>10.326000000000001</v>
      </c>
      <c r="Q139">
        <v>9.8000000000000007</v>
      </c>
      <c r="R139" s="6">
        <f>DAY(SuperMarket_Analysis[[#This Row],[Date]])</f>
        <v>31</v>
      </c>
      <c r="S139" s="6" t="str">
        <f>TEXT(SuperMarket_Analysis[[#This Row],[Date]],"mmmm")</f>
        <v>January</v>
      </c>
      <c r="T139" s="6">
        <f>YEAR(SuperMarket_Analysis[[#This Row],[Date]])</f>
        <v>2019</v>
      </c>
    </row>
    <row r="140" spans="1:20" x14ac:dyDescent="0.3">
      <c r="A140" t="s">
        <v>170</v>
      </c>
      <c r="B140" t="s">
        <v>38</v>
      </c>
      <c r="C140" t="s">
        <v>39</v>
      </c>
      <c r="D140" t="s">
        <v>24</v>
      </c>
      <c r="E140" t="s">
        <v>18</v>
      </c>
      <c r="F140" t="s">
        <v>32</v>
      </c>
      <c r="G140" s="3">
        <v>51.91</v>
      </c>
      <c r="H140" s="6">
        <v>10</v>
      </c>
      <c r="I140" s="3">
        <v>25.954999999999998</v>
      </c>
      <c r="J140" s="3">
        <v>545.05499999999995</v>
      </c>
      <c r="K140" s="2">
        <v>43509</v>
      </c>
      <c r="L140" s="1">
        <v>0.51458333333333328</v>
      </c>
      <c r="M140" t="s">
        <v>26</v>
      </c>
      <c r="N140" s="3">
        <v>519.1</v>
      </c>
      <c r="O140" s="4">
        <v>4.7619047620000003</v>
      </c>
      <c r="P140" s="5">
        <v>25.954999999999998</v>
      </c>
      <c r="Q140">
        <v>8.1999999999999993</v>
      </c>
      <c r="R140" s="6">
        <f>DAY(SuperMarket_Analysis[[#This Row],[Date]])</f>
        <v>13</v>
      </c>
      <c r="S140" s="6" t="str">
        <f>TEXT(SuperMarket_Analysis[[#This Row],[Date]],"mmmm")</f>
        <v>February</v>
      </c>
      <c r="T140" s="6">
        <f>YEAR(SuperMarket_Analysis[[#This Row],[Date]])</f>
        <v>2019</v>
      </c>
    </row>
    <row r="141" spans="1:20" x14ac:dyDescent="0.3">
      <c r="A141" t="s">
        <v>171</v>
      </c>
      <c r="B141" t="s">
        <v>15</v>
      </c>
      <c r="C141" t="s">
        <v>16</v>
      </c>
      <c r="D141" t="s">
        <v>24</v>
      </c>
      <c r="E141" t="s">
        <v>18</v>
      </c>
      <c r="F141" t="s">
        <v>32</v>
      </c>
      <c r="G141" s="3">
        <v>72.5</v>
      </c>
      <c r="H141" s="6">
        <v>8</v>
      </c>
      <c r="I141" s="3">
        <v>29</v>
      </c>
      <c r="J141" s="3">
        <v>609</v>
      </c>
      <c r="K141" s="2">
        <v>43543</v>
      </c>
      <c r="L141" s="1">
        <v>0.80902777777777779</v>
      </c>
      <c r="M141" t="s">
        <v>20</v>
      </c>
      <c r="N141" s="3">
        <v>580</v>
      </c>
      <c r="O141" s="4">
        <v>4.7619047620000003</v>
      </c>
      <c r="P141" s="5">
        <v>29</v>
      </c>
      <c r="Q141">
        <v>9.1999999999999993</v>
      </c>
      <c r="R141" s="6">
        <f>DAY(SuperMarket_Analysis[[#This Row],[Date]])</f>
        <v>19</v>
      </c>
      <c r="S141" s="6" t="str">
        <f>TEXT(SuperMarket_Analysis[[#This Row],[Date]],"mmmm")</f>
        <v>March</v>
      </c>
      <c r="T141" s="6">
        <f>YEAR(SuperMarket_Analysis[[#This Row],[Date]])</f>
        <v>2019</v>
      </c>
    </row>
    <row r="142" spans="1:20" x14ac:dyDescent="0.3">
      <c r="A142" t="s">
        <v>172</v>
      </c>
      <c r="B142" t="s">
        <v>22</v>
      </c>
      <c r="C142" t="s">
        <v>23</v>
      </c>
      <c r="D142" t="s">
        <v>17</v>
      </c>
      <c r="E142" t="s">
        <v>18</v>
      </c>
      <c r="F142" t="s">
        <v>32</v>
      </c>
      <c r="G142" s="3">
        <v>89.8</v>
      </c>
      <c r="H142" s="6">
        <v>10</v>
      </c>
      <c r="I142" s="3">
        <v>44.9</v>
      </c>
      <c r="J142" s="3">
        <v>942.9</v>
      </c>
      <c r="K142" s="2">
        <v>43537</v>
      </c>
      <c r="L142" s="1">
        <v>0.54166666666666663</v>
      </c>
      <c r="M142" t="s">
        <v>29</v>
      </c>
      <c r="N142" s="3">
        <v>898</v>
      </c>
      <c r="O142" s="4">
        <v>4.7619047620000003</v>
      </c>
      <c r="P142" s="5">
        <v>44.9</v>
      </c>
      <c r="Q142">
        <v>5.4</v>
      </c>
      <c r="R142" s="6">
        <f>DAY(SuperMarket_Analysis[[#This Row],[Date]])</f>
        <v>13</v>
      </c>
      <c r="S142" s="6" t="str">
        <f>TEXT(SuperMarket_Analysis[[#This Row],[Date]],"mmmm")</f>
        <v>March</v>
      </c>
      <c r="T142" s="6">
        <f>YEAR(SuperMarket_Analysis[[#This Row],[Date]])</f>
        <v>2019</v>
      </c>
    </row>
    <row r="143" spans="1:20" x14ac:dyDescent="0.3">
      <c r="A143" t="s">
        <v>173</v>
      </c>
      <c r="B143" t="s">
        <v>22</v>
      </c>
      <c r="C143" t="s">
        <v>23</v>
      </c>
      <c r="D143" t="s">
        <v>17</v>
      </c>
      <c r="E143" t="s">
        <v>174</v>
      </c>
      <c r="F143" t="s">
        <v>19</v>
      </c>
      <c r="G143" s="3">
        <v>90.5</v>
      </c>
      <c r="H143" s="6">
        <v>10</v>
      </c>
      <c r="I143" s="3">
        <v>45.25</v>
      </c>
      <c r="J143" s="3">
        <v>950.25</v>
      </c>
      <c r="K143" s="2">
        <v>43522</v>
      </c>
      <c r="L143" s="1">
        <v>0.57499999999999996</v>
      </c>
      <c r="M143" t="s">
        <v>26</v>
      </c>
      <c r="N143" s="3">
        <v>905</v>
      </c>
      <c r="O143" s="4">
        <v>4.7619047620000003</v>
      </c>
      <c r="P143" s="5">
        <v>45.25</v>
      </c>
      <c r="Q143">
        <v>8.1</v>
      </c>
      <c r="R143" s="6">
        <f>DAY(SuperMarket_Analysis[[#This Row],[Date]])</f>
        <v>26</v>
      </c>
      <c r="S143" s="6" t="str">
        <f>TEXT(SuperMarket_Analysis[[#This Row],[Date]],"mmmm")</f>
        <v>February</v>
      </c>
      <c r="T143" s="6">
        <f>YEAR(SuperMarket_Analysis[[#This Row],[Date]])</f>
        <v>2019</v>
      </c>
    </row>
    <row r="144" spans="1:20" x14ac:dyDescent="0.3">
      <c r="A144" t="s">
        <v>175</v>
      </c>
      <c r="B144" t="s">
        <v>22</v>
      </c>
      <c r="C144" t="s">
        <v>23</v>
      </c>
      <c r="D144" t="s">
        <v>17</v>
      </c>
      <c r="E144" t="s">
        <v>18</v>
      </c>
      <c r="F144" t="s">
        <v>19</v>
      </c>
      <c r="G144" s="3">
        <v>68.599999999999994</v>
      </c>
      <c r="H144" s="6">
        <v>10</v>
      </c>
      <c r="I144" s="3">
        <v>34.299999999999997</v>
      </c>
      <c r="J144" s="3">
        <v>720.3</v>
      </c>
      <c r="K144" s="2">
        <v>43538</v>
      </c>
      <c r="L144" s="1">
        <v>0.83125000000000004</v>
      </c>
      <c r="M144" t="s">
        <v>26</v>
      </c>
      <c r="N144" s="3">
        <v>686</v>
      </c>
      <c r="O144" s="4">
        <v>4.7619047620000003</v>
      </c>
      <c r="P144" s="5">
        <v>34.299999999999997</v>
      </c>
      <c r="Q144">
        <v>9.1</v>
      </c>
      <c r="R144" s="6">
        <f>DAY(SuperMarket_Analysis[[#This Row],[Date]])</f>
        <v>14</v>
      </c>
      <c r="S144" s="6" t="str">
        <f>TEXT(SuperMarket_Analysis[[#This Row],[Date]],"mmmm")</f>
        <v>March</v>
      </c>
      <c r="T144" s="6">
        <f>YEAR(SuperMarket_Analysis[[#This Row],[Date]])</f>
        <v>2019</v>
      </c>
    </row>
    <row r="145" spans="1:20" x14ac:dyDescent="0.3">
      <c r="A145" t="s">
        <v>176</v>
      </c>
      <c r="B145" t="s">
        <v>22</v>
      </c>
      <c r="C145" t="s">
        <v>23</v>
      </c>
      <c r="D145" t="s">
        <v>17</v>
      </c>
      <c r="E145" t="s">
        <v>18</v>
      </c>
      <c r="F145" t="s">
        <v>40</v>
      </c>
      <c r="G145" s="3">
        <v>30.41</v>
      </c>
      <c r="H145" s="6">
        <v>1</v>
      </c>
      <c r="I145" s="3">
        <v>1.5205</v>
      </c>
      <c r="J145" s="3">
        <v>31.930499999999999</v>
      </c>
      <c r="K145" s="2">
        <v>43492</v>
      </c>
      <c r="L145" s="1">
        <v>0.44166666666666665</v>
      </c>
      <c r="M145" t="s">
        <v>29</v>
      </c>
      <c r="N145" s="3">
        <v>30.41</v>
      </c>
      <c r="O145" s="4">
        <v>4.7619047620000003</v>
      </c>
      <c r="P145" s="5">
        <v>1.5205</v>
      </c>
      <c r="Q145">
        <v>8.4</v>
      </c>
      <c r="R145" s="6">
        <f>DAY(SuperMarket_Analysis[[#This Row],[Date]])</f>
        <v>27</v>
      </c>
      <c r="S145" s="6" t="str">
        <f>TEXT(SuperMarket_Analysis[[#This Row],[Date]],"mmmm")</f>
        <v>January</v>
      </c>
      <c r="T145" s="6">
        <f>YEAR(SuperMarket_Analysis[[#This Row],[Date]])</f>
        <v>2019</v>
      </c>
    </row>
    <row r="146" spans="1:20" x14ac:dyDescent="0.3">
      <c r="A146" t="s">
        <v>177</v>
      </c>
      <c r="B146" t="s">
        <v>15</v>
      </c>
      <c r="C146" t="s">
        <v>16</v>
      </c>
      <c r="D146" t="s">
        <v>24</v>
      </c>
      <c r="E146" t="s">
        <v>18</v>
      </c>
      <c r="F146" t="s">
        <v>28</v>
      </c>
      <c r="G146" s="3">
        <v>77.95</v>
      </c>
      <c r="H146" s="6">
        <v>6</v>
      </c>
      <c r="I146" s="3">
        <v>23.385000000000002</v>
      </c>
      <c r="J146" s="3">
        <v>491.08499999999998</v>
      </c>
      <c r="K146" s="2">
        <v>43522</v>
      </c>
      <c r="L146" s="1">
        <v>0.69236111111111109</v>
      </c>
      <c r="M146" t="s">
        <v>20</v>
      </c>
      <c r="N146" s="3">
        <v>467.7</v>
      </c>
      <c r="O146" s="4">
        <v>4.7619047620000003</v>
      </c>
      <c r="P146" s="5">
        <v>23.385000000000002</v>
      </c>
      <c r="Q146">
        <v>8</v>
      </c>
      <c r="R146" s="6">
        <f>DAY(SuperMarket_Analysis[[#This Row],[Date]])</f>
        <v>26</v>
      </c>
      <c r="S146" s="6" t="str">
        <f>TEXT(SuperMarket_Analysis[[#This Row],[Date]],"mmmm")</f>
        <v>February</v>
      </c>
      <c r="T146" s="6">
        <f>YEAR(SuperMarket_Analysis[[#This Row],[Date]])</f>
        <v>2019</v>
      </c>
    </row>
    <row r="147" spans="1:20" x14ac:dyDescent="0.3">
      <c r="A147" t="s">
        <v>178</v>
      </c>
      <c r="B147" t="s">
        <v>22</v>
      </c>
      <c r="C147" t="s">
        <v>23</v>
      </c>
      <c r="D147" t="s">
        <v>24</v>
      </c>
      <c r="E147" t="s">
        <v>18</v>
      </c>
      <c r="F147" t="s">
        <v>19</v>
      </c>
      <c r="G147" s="3">
        <v>46.26</v>
      </c>
      <c r="H147" s="6">
        <v>6</v>
      </c>
      <c r="I147" s="3">
        <v>13.878</v>
      </c>
      <c r="J147" s="3">
        <v>291.43799999999999</v>
      </c>
      <c r="K147" s="2">
        <v>43544</v>
      </c>
      <c r="L147" s="1">
        <v>0.71597222222222223</v>
      </c>
      <c r="M147" t="s">
        <v>29</v>
      </c>
      <c r="N147" s="3">
        <v>277.56</v>
      </c>
      <c r="O147" s="4">
        <v>4.7619047620000003</v>
      </c>
      <c r="P147" s="5">
        <v>13.878</v>
      </c>
      <c r="Q147">
        <v>9.5</v>
      </c>
      <c r="R147" s="6">
        <f>DAY(SuperMarket_Analysis[[#This Row],[Date]])</f>
        <v>20</v>
      </c>
      <c r="S147" s="6" t="str">
        <f>TEXT(SuperMarket_Analysis[[#This Row],[Date]],"mmmm")</f>
        <v>March</v>
      </c>
      <c r="T147" s="6">
        <f>YEAR(SuperMarket_Analysis[[#This Row],[Date]])</f>
        <v>2019</v>
      </c>
    </row>
    <row r="148" spans="1:20" x14ac:dyDescent="0.3">
      <c r="A148" t="s">
        <v>179</v>
      </c>
      <c r="B148" t="s">
        <v>15</v>
      </c>
      <c r="C148" t="s">
        <v>16</v>
      </c>
      <c r="D148" t="s">
        <v>17</v>
      </c>
      <c r="E148" t="s">
        <v>18</v>
      </c>
      <c r="F148" t="s">
        <v>42</v>
      </c>
      <c r="G148" s="3">
        <v>30.14</v>
      </c>
      <c r="H148" s="6">
        <v>10</v>
      </c>
      <c r="I148" s="3">
        <v>15.07</v>
      </c>
      <c r="J148" s="3">
        <v>316.47000000000003</v>
      </c>
      <c r="K148" s="2">
        <v>43544</v>
      </c>
      <c r="L148" s="1">
        <v>0.51944444444444449</v>
      </c>
      <c r="M148" t="s">
        <v>20</v>
      </c>
      <c r="N148" s="3">
        <v>301.39999999999998</v>
      </c>
      <c r="O148" s="4">
        <v>4.7619047620000003</v>
      </c>
      <c r="P148" s="5">
        <v>15.07</v>
      </c>
      <c r="Q148">
        <v>9.1999999999999993</v>
      </c>
      <c r="R148" s="6">
        <f>DAY(SuperMarket_Analysis[[#This Row],[Date]])</f>
        <v>20</v>
      </c>
      <c r="S148" s="6" t="str">
        <f>TEXT(SuperMarket_Analysis[[#This Row],[Date]],"mmmm")</f>
        <v>March</v>
      </c>
      <c r="T148" s="6">
        <f>YEAR(SuperMarket_Analysis[[#This Row],[Date]])</f>
        <v>2019</v>
      </c>
    </row>
    <row r="149" spans="1:20" x14ac:dyDescent="0.3">
      <c r="A149" t="s">
        <v>180</v>
      </c>
      <c r="B149" t="s">
        <v>22</v>
      </c>
      <c r="C149" t="s">
        <v>23</v>
      </c>
      <c r="D149" t="s">
        <v>24</v>
      </c>
      <c r="E149" t="s">
        <v>174</v>
      </c>
      <c r="F149" t="s">
        <v>19</v>
      </c>
      <c r="G149" s="3">
        <v>66.14</v>
      </c>
      <c r="H149" s="6">
        <v>4</v>
      </c>
      <c r="I149" s="3">
        <v>13.228</v>
      </c>
      <c r="J149" s="3">
        <v>277.78800000000001</v>
      </c>
      <c r="K149" s="2">
        <v>43511</v>
      </c>
      <c r="L149" s="1">
        <v>0.53194444444444444</v>
      </c>
      <c r="M149" t="s">
        <v>29</v>
      </c>
      <c r="N149" s="3">
        <v>264.56</v>
      </c>
      <c r="O149" s="4">
        <v>4.7619047620000003</v>
      </c>
      <c r="P149" s="5">
        <v>13.228</v>
      </c>
      <c r="Q149">
        <v>5.6</v>
      </c>
      <c r="R149" s="6">
        <f>DAY(SuperMarket_Analysis[[#This Row],[Date]])</f>
        <v>15</v>
      </c>
      <c r="S149" s="6" t="str">
        <f>TEXT(SuperMarket_Analysis[[#This Row],[Date]],"mmmm")</f>
        <v>February</v>
      </c>
      <c r="T149" s="6">
        <f>YEAR(SuperMarket_Analysis[[#This Row],[Date]])</f>
        <v>2019</v>
      </c>
    </row>
    <row r="150" spans="1:20" x14ac:dyDescent="0.3">
      <c r="A150" t="s">
        <v>181</v>
      </c>
      <c r="B150" t="s">
        <v>38</v>
      </c>
      <c r="C150" t="s">
        <v>39</v>
      </c>
      <c r="D150" t="s">
        <v>17</v>
      </c>
      <c r="E150" t="s">
        <v>174</v>
      </c>
      <c r="F150" t="s">
        <v>28</v>
      </c>
      <c r="G150" s="3">
        <v>71.86</v>
      </c>
      <c r="H150" s="6">
        <v>8</v>
      </c>
      <c r="I150" s="3">
        <v>28.744</v>
      </c>
      <c r="J150" s="3">
        <v>603.62400000000002</v>
      </c>
      <c r="K150" s="2">
        <v>43516</v>
      </c>
      <c r="L150" s="1">
        <v>0.62986111111111109</v>
      </c>
      <c r="M150" t="s">
        <v>29</v>
      </c>
      <c r="N150" s="3">
        <v>574.88</v>
      </c>
      <c r="O150" s="4">
        <v>4.7619047620000003</v>
      </c>
      <c r="P150" s="5">
        <v>28.744</v>
      </c>
      <c r="Q150">
        <v>6.2</v>
      </c>
      <c r="R150" s="6">
        <f>DAY(SuperMarket_Analysis[[#This Row],[Date]])</f>
        <v>20</v>
      </c>
      <c r="S150" s="6" t="str">
        <f>TEXT(SuperMarket_Analysis[[#This Row],[Date]],"mmmm")</f>
        <v>February</v>
      </c>
      <c r="T150" s="6">
        <f>YEAR(SuperMarket_Analysis[[#This Row],[Date]])</f>
        <v>2019</v>
      </c>
    </row>
    <row r="151" spans="1:20" x14ac:dyDescent="0.3">
      <c r="A151" t="s">
        <v>182</v>
      </c>
      <c r="B151" t="s">
        <v>15</v>
      </c>
      <c r="C151" t="s">
        <v>16</v>
      </c>
      <c r="D151" t="s">
        <v>24</v>
      </c>
      <c r="E151" t="s">
        <v>174</v>
      </c>
      <c r="F151" t="s">
        <v>19</v>
      </c>
      <c r="G151" s="3">
        <v>32.46</v>
      </c>
      <c r="H151" s="6">
        <v>8</v>
      </c>
      <c r="I151" s="3">
        <v>12.984</v>
      </c>
      <c r="J151" s="3">
        <v>272.66399999999999</v>
      </c>
      <c r="K151" s="2">
        <v>43548</v>
      </c>
      <c r="L151" s="1">
        <v>0.57499999999999996</v>
      </c>
      <c r="M151" t="s">
        <v>29</v>
      </c>
      <c r="N151" s="3">
        <v>259.68</v>
      </c>
      <c r="O151" s="4">
        <v>4.7619047620000003</v>
      </c>
      <c r="P151" s="5">
        <v>12.984</v>
      </c>
      <c r="Q151">
        <v>4.9000000000000004</v>
      </c>
      <c r="R151" s="6">
        <f>DAY(SuperMarket_Analysis[[#This Row],[Date]])</f>
        <v>24</v>
      </c>
      <c r="S151" s="6" t="str">
        <f>TEXT(SuperMarket_Analysis[[#This Row],[Date]],"mmmm")</f>
        <v>March</v>
      </c>
      <c r="T151" s="6">
        <f>YEAR(SuperMarket_Analysis[[#This Row],[Date]])</f>
        <v>2019</v>
      </c>
    </row>
    <row r="152" spans="1:20" x14ac:dyDescent="0.3">
      <c r="A152" t="s">
        <v>183</v>
      </c>
      <c r="B152" t="s">
        <v>38</v>
      </c>
      <c r="C152" t="s">
        <v>39</v>
      </c>
      <c r="D152" t="s">
        <v>17</v>
      </c>
      <c r="E152" t="s">
        <v>18</v>
      </c>
      <c r="F152" t="s">
        <v>42</v>
      </c>
      <c r="G152" s="3">
        <v>91.54</v>
      </c>
      <c r="H152" s="6">
        <v>4</v>
      </c>
      <c r="I152" s="3">
        <v>18.308</v>
      </c>
      <c r="J152" s="3">
        <v>384.46800000000002</v>
      </c>
      <c r="K152" s="2">
        <v>43496</v>
      </c>
      <c r="L152" s="1">
        <v>0.80555555555555558</v>
      </c>
      <c r="M152" t="s">
        <v>29</v>
      </c>
      <c r="N152" s="3">
        <v>366.16</v>
      </c>
      <c r="O152" s="4">
        <v>4.7619047620000003</v>
      </c>
      <c r="P152" s="5">
        <v>18.308</v>
      </c>
      <c r="Q152">
        <v>4.8</v>
      </c>
      <c r="R152" s="6">
        <f>DAY(SuperMarket_Analysis[[#This Row],[Date]])</f>
        <v>31</v>
      </c>
      <c r="S152" s="6" t="str">
        <f>TEXT(SuperMarket_Analysis[[#This Row],[Date]],"mmmm")</f>
        <v>January</v>
      </c>
      <c r="T152" s="6">
        <f>YEAR(SuperMarket_Analysis[[#This Row],[Date]])</f>
        <v>2019</v>
      </c>
    </row>
    <row r="153" spans="1:20" x14ac:dyDescent="0.3">
      <c r="A153" t="s">
        <v>184</v>
      </c>
      <c r="B153" t="s">
        <v>22</v>
      </c>
      <c r="C153" t="s">
        <v>23</v>
      </c>
      <c r="D153" t="s">
        <v>17</v>
      </c>
      <c r="E153" t="s">
        <v>174</v>
      </c>
      <c r="F153" t="s">
        <v>32</v>
      </c>
      <c r="G153" s="3">
        <v>34.56</v>
      </c>
      <c r="H153" s="6">
        <v>7</v>
      </c>
      <c r="I153" s="3">
        <v>12.096</v>
      </c>
      <c r="J153" s="3">
        <v>254.01599999999999</v>
      </c>
      <c r="K153" s="2">
        <v>43490</v>
      </c>
      <c r="L153" s="1">
        <v>0.67152777777777772</v>
      </c>
      <c r="M153" t="s">
        <v>29</v>
      </c>
      <c r="N153" s="3">
        <v>241.92</v>
      </c>
      <c r="O153" s="4">
        <v>4.7619047620000003</v>
      </c>
      <c r="P153" s="5">
        <v>12.096</v>
      </c>
      <c r="Q153">
        <v>7.3</v>
      </c>
      <c r="R153" s="6">
        <f>DAY(SuperMarket_Analysis[[#This Row],[Date]])</f>
        <v>25</v>
      </c>
      <c r="S153" s="6" t="str">
        <f>TEXT(SuperMarket_Analysis[[#This Row],[Date]],"mmmm")</f>
        <v>January</v>
      </c>
      <c r="T153" s="6">
        <f>YEAR(SuperMarket_Analysis[[#This Row],[Date]])</f>
        <v>2019</v>
      </c>
    </row>
    <row r="154" spans="1:20" x14ac:dyDescent="0.3">
      <c r="A154" t="s">
        <v>185</v>
      </c>
      <c r="B154" t="s">
        <v>15</v>
      </c>
      <c r="C154" t="s">
        <v>16</v>
      </c>
      <c r="D154" t="s">
        <v>24</v>
      </c>
      <c r="E154" t="s">
        <v>174</v>
      </c>
      <c r="F154" t="s">
        <v>42</v>
      </c>
      <c r="G154" s="3">
        <v>83.24</v>
      </c>
      <c r="H154" s="6">
        <v>9</v>
      </c>
      <c r="I154" s="3">
        <v>37.457999999999998</v>
      </c>
      <c r="J154" s="3">
        <v>786.61800000000005</v>
      </c>
      <c r="K154" s="2">
        <v>43489</v>
      </c>
      <c r="L154" s="1">
        <v>0.49722222222222223</v>
      </c>
      <c r="M154" t="s">
        <v>29</v>
      </c>
      <c r="N154" s="3">
        <v>749.16</v>
      </c>
      <c r="O154" s="4">
        <v>4.7619047620000003</v>
      </c>
      <c r="P154" s="5">
        <v>37.457999999999998</v>
      </c>
      <c r="Q154">
        <v>7.4</v>
      </c>
      <c r="R154" s="6">
        <f>DAY(SuperMarket_Analysis[[#This Row],[Date]])</f>
        <v>24</v>
      </c>
      <c r="S154" s="6" t="str">
        <f>TEXT(SuperMarket_Analysis[[#This Row],[Date]],"mmmm")</f>
        <v>January</v>
      </c>
      <c r="T154" s="6">
        <f>YEAR(SuperMarket_Analysis[[#This Row],[Date]])</f>
        <v>2019</v>
      </c>
    </row>
    <row r="155" spans="1:20" x14ac:dyDescent="0.3">
      <c r="A155" t="s">
        <v>186</v>
      </c>
      <c r="B155" t="s">
        <v>22</v>
      </c>
      <c r="C155" t="s">
        <v>23</v>
      </c>
      <c r="D155" t="s">
        <v>24</v>
      </c>
      <c r="E155" t="s">
        <v>18</v>
      </c>
      <c r="F155" t="s">
        <v>40</v>
      </c>
      <c r="G155" s="3">
        <v>16.48</v>
      </c>
      <c r="H155" s="6">
        <v>6</v>
      </c>
      <c r="I155" s="3">
        <v>4.944</v>
      </c>
      <c r="J155" s="3">
        <v>103.824</v>
      </c>
      <c r="K155" s="2">
        <v>43538</v>
      </c>
      <c r="L155" s="1">
        <v>0.76597222222222228</v>
      </c>
      <c r="M155" t="s">
        <v>20</v>
      </c>
      <c r="N155" s="3">
        <v>98.88</v>
      </c>
      <c r="O155" s="4">
        <v>4.7619047620000003</v>
      </c>
      <c r="P155" s="5">
        <v>4.944</v>
      </c>
      <c r="Q155">
        <v>9.9</v>
      </c>
      <c r="R155" s="6">
        <f>DAY(SuperMarket_Analysis[[#This Row],[Date]])</f>
        <v>14</v>
      </c>
      <c r="S155" s="6" t="str">
        <f>TEXT(SuperMarket_Analysis[[#This Row],[Date]],"mmmm")</f>
        <v>March</v>
      </c>
      <c r="T155" s="6">
        <f>YEAR(SuperMarket_Analysis[[#This Row],[Date]])</f>
        <v>2019</v>
      </c>
    </row>
    <row r="156" spans="1:20" x14ac:dyDescent="0.3">
      <c r="A156" t="s">
        <v>187</v>
      </c>
      <c r="B156" t="s">
        <v>22</v>
      </c>
      <c r="C156" t="s">
        <v>23</v>
      </c>
      <c r="D156" t="s">
        <v>24</v>
      </c>
      <c r="E156" t="s">
        <v>18</v>
      </c>
      <c r="F156" t="s">
        <v>32</v>
      </c>
      <c r="G156" s="3">
        <v>80.97</v>
      </c>
      <c r="H156" s="6">
        <v>8</v>
      </c>
      <c r="I156" s="3">
        <v>32.387999999999998</v>
      </c>
      <c r="J156" s="3">
        <v>680.14800000000002</v>
      </c>
      <c r="K156" s="2">
        <v>43514</v>
      </c>
      <c r="L156" s="1">
        <v>0.54513888888888884</v>
      </c>
      <c r="M156" t="s">
        <v>26</v>
      </c>
      <c r="N156" s="3">
        <v>647.76</v>
      </c>
      <c r="O156" s="4">
        <v>4.7619047620000003</v>
      </c>
      <c r="P156" s="5">
        <v>32.387999999999998</v>
      </c>
      <c r="Q156">
        <v>9.3000000000000007</v>
      </c>
      <c r="R156" s="6">
        <f>DAY(SuperMarket_Analysis[[#This Row],[Date]])</f>
        <v>18</v>
      </c>
      <c r="S156" s="6" t="str">
        <f>TEXT(SuperMarket_Analysis[[#This Row],[Date]],"mmmm")</f>
        <v>February</v>
      </c>
      <c r="T156" s="6">
        <f>YEAR(SuperMarket_Analysis[[#This Row],[Date]])</f>
        <v>2019</v>
      </c>
    </row>
    <row r="157" spans="1:20" x14ac:dyDescent="0.3">
      <c r="A157" t="s">
        <v>188</v>
      </c>
      <c r="B157" t="s">
        <v>15</v>
      </c>
      <c r="C157" t="s">
        <v>16</v>
      </c>
      <c r="D157" t="s">
        <v>17</v>
      </c>
      <c r="E157" t="s">
        <v>174</v>
      </c>
      <c r="F157" t="s">
        <v>40</v>
      </c>
      <c r="G157" s="3">
        <v>92.29</v>
      </c>
      <c r="H157" s="6">
        <v>5</v>
      </c>
      <c r="I157" s="3">
        <v>23.072500000000002</v>
      </c>
      <c r="J157" s="3">
        <v>484.52249999999998</v>
      </c>
      <c r="K157" s="2">
        <v>43486</v>
      </c>
      <c r="L157" s="1">
        <v>0.66319444444444442</v>
      </c>
      <c r="M157" t="s">
        <v>29</v>
      </c>
      <c r="N157" s="3">
        <v>461.45</v>
      </c>
      <c r="O157" s="4">
        <v>4.7619047620000003</v>
      </c>
      <c r="P157" s="5">
        <v>23.072500000000002</v>
      </c>
      <c r="Q157">
        <v>9</v>
      </c>
      <c r="R157" s="6">
        <f>DAY(SuperMarket_Analysis[[#This Row],[Date]])</f>
        <v>21</v>
      </c>
      <c r="S157" s="6" t="str">
        <f>TEXT(SuperMarket_Analysis[[#This Row],[Date]],"mmmm")</f>
        <v>January</v>
      </c>
      <c r="T157" s="6">
        <f>YEAR(SuperMarket_Analysis[[#This Row],[Date]])</f>
        <v>2019</v>
      </c>
    </row>
    <row r="158" spans="1:20" x14ac:dyDescent="0.3">
      <c r="A158" t="s">
        <v>189</v>
      </c>
      <c r="B158" t="s">
        <v>38</v>
      </c>
      <c r="C158" t="s">
        <v>39</v>
      </c>
      <c r="D158" t="s">
        <v>17</v>
      </c>
      <c r="E158" t="s">
        <v>174</v>
      </c>
      <c r="F158" t="s">
        <v>25</v>
      </c>
      <c r="G158" s="3">
        <v>72.17</v>
      </c>
      <c r="H158" s="6">
        <v>1</v>
      </c>
      <c r="I158" s="3">
        <v>3.6084999999999998</v>
      </c>
      <c r="J158" s="3">
        <v>75.778499999999994</v>
      </c>
      <c r="K158" s="2">
        <v>43537</v>
      </c>
      <c r="L158" s="1">
        <v>0.81944444444444442</v>
      </c>
      <c r="M158" t="s">
        <v>26</v>
      </c>
      <c r="N158" s="3">
        <v>72.17</v>
      </c>
      <c r="O158" s="4">
        <v>4.7619047620000003</v>
      </c>
      <c r="P158" s="5">
        <v>3.6084999999999998</v>
      </c>
      <c r="Q158">
        <v>6.1</v>
      </c>
      <c r="R158" s="6">
        <f>DAY(SuperMarket_Analysis[[#This Row],[Date]])</f>
        <v>13</v>
      </c>
      <c r="S158" s="6" t="str">
        <f>TEXT(SuperMarket_Analysis[[#This Row],[Date]],"mmmm")</f>
        <v>March</v>
      </c>
      <c r="T158" s="6">
        <f>YEAR(SuperMarket_Analysis[[#This Row],[Date]])</f>
        <v>2019</v>
      </c>
    </row>
    <row r="159" spans="1:20" x14ac:dyDescent="0.3">
      <c r="A159" t="s">
        <v>190</v>
      </c>
      <c r="B159" t="s">
        <v>38</v>
      </c>
      <c r="C159" t="s">
        <v>39</v>
      </c>
      <c r="D159" t="s">
        <v>24</v>
      </c>
      <c r="E159" t="s">
        <v>174</v>
      </c>
      <c r="F159" t="s">
        <v>28</v>
      </c>
      <c r="G159" s="3">
        <v>50.28</v>
      </c>
      <c r="H159" s="6">
        <v>5</v>
      </c>
      <c r="I159" s="3">
        <v>12.57</v>
      </c>
      <c r="J159" s="3">
        <v>263.97000000000003</v>
      </c>
      <c r="K159" s="2">
        <v>43553</v>
      </c>
      <c r="L159" s="1">
        <v>0.58194444444444449</v>
      </c>
      <c r="M159" t="s">
        <v>20</v>
      </c>
      <c r="N159" s="3">
        <v>251.4</v>
      </c>
      <c r="O159" s="4">
        <v>4.7619047620000003</v>
      </c>
      <c r="P159" s="5">
        <v>12.57</v>
      </c>
      <c r="Q159">
        <v>9.6999999999999993</v>
      </c>
      <c r="R159" s="6">
        <f>DAY(SuperMarket_Analysis[[#This Row],[Date]])</f>
        <v>29</v>
      </c>
      <c r="S159" s="6" t="str">
        <f>TEXT(SuperMarket_Analysis[[#This Row],[Date]],"mmmm")</f>
        <v>March</v>
      </c>
      <c r="T159" s="6">
        <f>YEAR(SuperMarket_Analysis[[#This Row],[Date]])</f>
        <v>2019</v>
      </c>
    </row>
    <row r="160" spans="1:20" x14ac:dyDescent="0.3">
      <c r="A160" t="s">
        <v>191</v>
      </c>
      <c r="B160" t="s">
        <v>38</v>
      </c>
      <c r="C160" t="s">
        <v>39</v>
      </c>
      <c r="D160" t="s">
        <v>17</v>
      </c>
      <c r="E160" t="s">
        <v>174</v>
      </c>
      <c r="F160" t="s">
        <v>19</v>
      </c>
      <c r="G160" s="3">
        <v>97.22</v>
      </c>
      <c r="H160" s="6">
        <v>9</v>
      </c>
      <c r="I160" s="3">
        <v>43.749000000000002</v>
      </c>
      <c r="J160" s="3">
        <v>918.72900000000004</v>
      </c>
      <c r="K160" s="2">
        <v>43490</v>
      </c>
      <c r="L160" s="1">
        <v>0.61319444444444449</v>
      </c>
      <c r="M160" t="s">
        <v>20</v>
      </c>
      <c r="N160" s="3">
        <v>874.98</v>
      </c>
      <c r="O160" s="4">
        <v>4.7619047620000003</v>
      </c>
      <c r="P160" s="5">
        <v>43.749000000000002</v>
      </c>
      <c r="Q160">
        <v>6</v>
      </c>
      <c r="R160" s="6">
        <f>DAY(SuperMarket_Analysis[[#This Row],[Date]])</f>
        <v>25</v>
      </c>
      <c r="S160" s="6" t="str">
        <f>TEXT(SuperMarket_Analysis[[#This Row],[Date]],"mmmm")</f>
        <v>January</v>
      </c>
      <c r="T160" s="6">
        <f>YEAR(SuperMarket_Analysis[[#This Row],[Date]])</f>
        <v>2019</v>
      </c>
    </row>
    <row r="161" spans="1:20" x14ac:dyDescent="0.3">
      <c r="A161" t="s">
        <v>192</v>
      </c>
      <c r="B161" t="s">
        <v>38</v>
      </c>
      <c r="C161" t="s">
        <v>39</v>
      </c>
      <c r="D161" t="s">
        <v>24</v>
      </c>
      <c r="E161" t="s">
        <v>174</v>
      </c>
      <c r="F161" t="s">
        <v>32</v>
      </c>
      <c r="G161" s="3">
        <v>93.39</v>
      </c>
      <c r="H161" s="6">
        <v>6</v>
      </c>
      <c r="I161" s="3">
        <v>28.016999999999999</v>
      </c>
      <c r="J161" s="3">
        <v>588.35699999999997</v>
      </c>
      <c r="K161" s="2">
        <v>43484</v>
      </c>
      <c r="L161" s="1">
        <v>0.8041666666666667</v>
      </c>
      <c r="M161" t="s">
        <v>20</v>
      </c>
      <c r="N161" s="3">
        <v>560.34</v>
      </c>
      <c r="O161" s="4">
        <v>4.7619047620000003</v>
      </c>
      <c r="P161" s="5">
        <v>28.016999999999999</v>
      </c>
      <c r="Q161">
        <v>10</v>
      </c>
      <c r="R161" s="6">
        <f>DAY(SuperMarket_Analysis[[#This Row],[Date]])</f>
        <v>19</v>
      </c>
      <c r="S161" s="6" t="str">
        <f>TEXT(SuperMarket_Analysis[[#This Row],[Date]],"mmmm")</f>
        <v>January</v>
      </c>
      <c r="T161" s="6">
        <f>YEAR(SuperMarket_Analysis[[#This Row],[Date]])</f>
        <v>2019</v>
      </c>
    </row>
    <row r="162" spans="1:20" x14ac:dyDescent="0.3">
      <c r="A162" t="s">
        <v>193</v>
      </c>
      <c r="B162" t="s">
        <v>22</v>
      </c>
      <c r="C162" t="s">
        <v>23</v>
      </c>
      <c r="D162" t="s">
        <v>24</v>
      </c>
      <c r="E162" t="s">
        <v>18</v>
      </c>
      <c r="F162" t="s">
        <v>40</v>
      </c>
      <c r="G162" s="3">
        <v>43.18</v>
      </c>
      <c r="H162" s="6">
        <v>8</v>
      </c>
      <c r="I162" s="3">
        <v>17.271999999999998</v>
      </c>
      <c r="J162" s="3">
        <v>362.71199999999999</v>
      </c>
      <c r="K162" s="2">
        <v>43521</v>
      </c>
      <c r="L162" s="1">
        <v>0.81874999999999998</v>
      </c>
      <c r="M162" t="s">
        <v>29</v>
      </c>
      <c r="N162" s="3">
        <v>345.44</v>
      </c>
      <c r="O162" s="4">
        <v>4.7619047620000003</v>
      </c>
      <c r="P162" s="5">
        <v>17.271999999999998</v>
      </c>
      <c r="Q162">
        <v>8.3000000000000007</v>
      </c>
      <c r="R162" s="6">
        <f>DAY(SuperMarket_Analysis[[#This Row],[Date]])</f>
        <v>25</v>
      </c>
      <c r="S162" s="6" t="str">
        <f>TEXT(SuperMarket_Analysis[[#This Row],[Date]],"mmmm")</f>
        <v>February</v>
      </c>
      <c r="T162" s="6">
        <f>YEAR(SuperMarket_Analysis[[#This Row],[Date]])</f>
        <v>2019</v>
      </c>
    </row>
    <row r="163" spans="1:20" x14ac:dyDescent="0.3">
      <c r="A163" t="s">
        <v>194</v>
      </c>
      <c r="B163" t="s">
        <v>15</v>
      </c>
      <c r="C163" t="s">
        <v>16</v>
      </c>
      <c r="D163" t="s">
        <v>24</v>
      </c>
      <c r="E163" t="s">
        <v>174</v>
      </c>
      <c r="F163" t="s">
        <v>32</v>
      </c>
      <c r="G163" s="3">
        <v>63.69</v>
      </c>
      <c r="H163" s="6">
        <v>1</v>
      </c>
      <c r="I163" s="3">
        <v>3.1844999999999999</v>
      </c>
      <c r="J163" s="3">
        <v>66.874499999999998</v>
      </c>
      <c r="K163" s="2">
        <v>43542</v>
      </c>
      <c r="L163" s="1">
        <v>0.68125000000000002</v>
      </c>
      <c r="M163" t="s">
        <v>26</v>
      </c>
      <c r="N163" s="3">
        <v>63.69</v>
      </c>
      <c r="O163" s="4">
        <v>4.7619047620000003</v>
      </c>
      <c r="P163" s="5">
        <v>3.1844999999999999</v>
      </c>
      <c r="Q163">
        <v>6</v>
      </c>
      <c r="R163" s="6">
        <f>DAY(SuperMarket_Analysis[[#This Row],[Date]])</f>
        <v>18</v>
      </c>
      <c r="S163" s="6" t="str">
        <f>TEXT(SuperMarket_Analysis[[#This Row],[Date]],"mmmm")</f>
        <v>March</v>
      </c>
      <c r="T163" s="6">
        <f>YEAR(SuperMarket_Analysis[[#This Row],[Date]])</f>
        <v>2019</v>
      </c>
    </row>
    <row r="164" spans="1:20" x14ac:dyDescent="0.3">
      <c r="A164" t="s">
        <v>195</v>
      </c>
      <c r="B164" t="s">
        <v>15</v>
      </c>
      <c r="C164" t="s">
        <v>16</v>
      </c>
      <c r="D164" t="s">
        <v>24</v>
      </c>
      <c r="E164" t="s">
        <v>174</v>
      </c>
      <c r="F164" t="s">
        <v>40</v>
      </c>
      <c r="G164" s="3">
        <v>45.79</v>
      </c>
      <c r="H164" s="6">
        <v>7</v>
      </c>
      <c r="I164" s="3">
        <v>16.026499999999999</v>
      </c>
      <c r="J164" s="3">
        <v>336.55650000000003</v>
      </c>
      <c r="K164" s="2">
        <v>43519</v>
      </c>
      <c r="L164" s="1">
        <v>0.82222222222222219</v>
      </c>
      <c r="M164" t="s">
        <v>29</v>
      </c>
      <c r="N164" s="3">
        <v>320.52999999999997</v>
      </c>
      <c r="O164" s="4">
        <v>4.7619047620000003</v>
      </c>
      <c r="P164" s="5">
        <v>16.026499999999999</v>
      </c>
      <c r="Q164">
        <v>7</v>
      </c>
      <c r="R164" s="6">
        <f>DAY(SuperMarket_Analysis[[#This Row],[Date]])</f>
        <v>23</v>
      </c>
      <c r="S164" s="6" t="str">
        <f>TEXT(SuperMarket_Analysis[[#This Row],[Date]],"mmmm")</f>
        <v>February</v>
      </c>
      <c r="T164" s="6">
        <f>YEAR(SuperMarket_Analysis[[#This Row],[Date]])</f>
        <v>2019</v>
      </c>
    </row>
    <row r="165" spans="1:20" x14ac:dyDescent="0.3">
      <c r="A165" t="s">
        <v>196</v>
      </c>
      <c r="B165" t="s">
        <v>22</v>
      </c>
      <c r="C165" t="s">
        <v>23</v>
      </c>
      <c r="D165" t="s">
        <v>24</v>
      </c>
      <c r="E165" t="s">
        <v>174</v>
      </c>
      <c r="F165" t="s">
        <v>32</v>
      </c>
      <c r="G165" s="3">
        <v>76.400000000000006</v>
      </c>
      <c r="H165" s="6">
        <v>2</v>
      </c>
      <c r="I165" s="3">
        <v>7.64</v>
      </c>
      <c r="J165" s="3">
        <v>160.44</v>
      </c>
      <c r="K165" s="2">
        <v>43550</v>
      </c>
      <c r="L165" s="1">
        <v>0.8208333333333333</v>
      </c>
      <c r="M165" t="s">
        <v>20</v>
      </c>
      <c r="N165" s="3">
        <v>152.80000000000001</v>
      </c>
      <c r="O165" s="4">
        <v>4.7619047620000003</v>
      </c>
      <c r="P165" s="5">
        <v>7.64</v>
      </c>
      <c r="Q165">
        <v>6.5</v>
      </c>
      <c r="R165" s="6">
        <f>DAY(SuperMarket_Analysis[[#This Row],[Date]])</f>
        <v>26</v>
      </c>
      <c r="S165" s="6" t="str">
        <f>TEXT(SuperMarket_Analysis[[#This Row],[Date]],"mmmm")</f>
        <v>March</v>
      </c>
      <c r="T165" s="6">
        <f>YEAR(SuperMarket_Analysis[[#This Row],[Date]])</f>
        <v>2019</v>
      </c>
    </row>
    <row r="166" spans="1:20" x14ac:dyDescent="0.3">
      <c r="A166" t="s">
        <v>197</v>
      </c>
      <c r="B166" t="s">
        <v>38</v>
      </c>
      <c r="C166" t="s">
        <v>39</v>
      </c>
      <c r="D166" t="s">
        <v>24</v>
      </c>
      <c r="E166" t="s">
        <v>174</v>
      </c>
      <c r="F166" t="s">
        <v>40</v>
      </c>
      <c r="G166" s="3">
        <v>39.9</v>
      </c>
      <c r="H166" s="6">
        <v>10</v>
      </c>
      <c r="I166" s="3">
        <v>19.95</v>
      </c>
      <c r="J166" s="3">
        <v>418.95</v>
      </c>
      <c r="K166" s="2">
        <v>43554</v>
      </c>
      <c r="L166" s="1">
        <v>0.64166666666666672</v>
      </c>
      <c r="M166" t="s">
        <v>29</v>
      </c>
      <c r="N166" s="3">
        <v>399</v>
      </c>
      <c r="O166" s="4">
        <v>4.7619047620000003</v>
      </c>
      <c r="P166" s="5">
        <v>19.95</v>
      </c>
      <c r="Q166">
        <v>5.9</v>
      </c>
      <c r="R166" s="6">
        <f>DAY(SuperMarket_Analysis[[#This Row],[Date]])</f>
        <v>30</v>
      </c>
      <c r="S166" s="6" t="str">
        <f>TEXT(SuperMarket_Analysis[[#This Row],[Date]],"mmmm")</f>
        <v>March</v>
      </c>
      <c r="T166" s="6">
        <f>YEAR(SuperMarket_Analysis[[#This Row],[Date]])</f>
        <v>2019</v>
      </c>
    </row>
    <row r="167" spans="1:20" x14ac:dyDescent="0.3">
      <c r="A167" t="s">
        <v>198</v>
      </c>
      <c r="B167" t="s">
        <v>38</v>
      </c>
      <c r="C167" t="s">
        <v>39</v>
      </c>
      <c r="D167" t="s">
        <v>17</v>
      </c>
      <c r="E167" t="s">
        <v>174</v>
      </c>
      <c r="F167" t="s">
        <v>19</v>
      </c>
      <c r="G167" s="3">
        <v>42.57</v>
      </c>
      <c r="H167" s="6">
        <v>8</v>
      </c>
      <c r="I167" s="3">
        <v>17.027999999999999</v>
      </c>
      <c r="J167" s="3">
        <v>357.58800000000002</v>
      </c>
      <c r="K167" s="2">
        <v>43513</v>
      </c>
      <c r="L167" s="1">
        <v>0.59166666666666667</v>
      </c>
      <c r="M167" t="s">
        <v>20</v>
      </c>
      <c r="N167" s="3">
        <v>340.56</v>
      </c>
      <c r="O167" s="4">
        <v>4.7619047620000003</v>
      </c>
      <c r="P167" s="5">
        <v>17.027999999999999</v>
      </c>
      <c r="Q167">
        <v>5.6</v>
      </c>
      <c r="R167" s="6">
        <f>DAY(SuperMarket_Analysis[[#This Row],[Date]])</f>
        <v>17</v>
      </c>
      <c r="S167" s="6" t="str">
        <f>TEXT(SuperMarket_Analysis[[#This Row],[Date]],"mmmm")</f>
        <v>February</v>
      </c>
      <c r="T167" s="6">
        <f>YEAR(SuperMarket_Analysis[[#This Row],[Date]])</f>
        <v>2019</v>
      </c>
    </row>
    <row r="168" spans="1:20" x14ac:dyDescent="0.3">
      <c r="A168" t="s">
        <v>199</v>
      </c>
      <c r="B168" t="s">
        <v>22</v>
      </c>
      <c r="C168" t="s">
        <v>23</v>
      </c>
      <c r="D168" t="s">
        <v>24</v>
      </c>
      <c r="E168" t="s">
        <v>174</v>
      </c>
      <c r="F168" t="s">
        <v>28</v>
      </c>
      <c r="G168" s="3">
        <v>95.58</v>
      </c>
      <c r="H168" s="6">
        <v>10</v>
      </c>
      <c r="I168" s="3">
        <v>47.79</v>
      </c>
      <c r="J168" s="3">
        <v>1003.59</v>
      </c>
      <c r="K168" s="2">
        <v>43545</v>
      </c>
      <c r="L168" s="1">
        <v>0.56388888888888888</v>
      </c>
      <c r="M168" t="s">
        <v>26</v>
      </c>
      <c r="N168" s="3">
        <v>955.8</v>
      </c>
      <c r="O168" s="4">
        <v>4.7619047620000003</v>
      </c>
      <c r="P168" s="5">
        <v>47.79</v>
      </c>
      <c r="Q168">
        <v>4.8</v>
      </c>
      <c r="R168" s="6">
        <f>DAY(SuperMarket_Analysis[[#This Row],[Date]])</f>
        <v>21</v>
      </c>
      <c r="S168" s="6" t="str">
        <f>TEXT(SuperMarket_Analysis[[#This Row],[Date]],"mmmm")</f>
        <v>March</v>
      </c>
      <c r="T168" s="6">
        <f>YEAR(SuperMarket_Analysis[[#This Row],[Date]])</f>
        <v>2019</v>
      </c>
    </row>
    <row r="169" spans="1:20" x14ac:dyDescent="0.3">
      <c r="A169" t="s">
        <v>200</v>
      </c>
      <c r="B169" t="s">
        <v>15</v>
      </c>
      <c r="C169" t="s">
        <v>16</v>
      </c>
      <c r="D169" t="s">
        <v>24</v>
      </c>
      <c r="E169" t="s">
        <v>174</v>
      </c>
      <c r="F169" t="s">
        <v>42</v>
      </c>
      <c r="G169" s="3">
        <v>98.98</v>
      </c>
      <c r="H169" s="6">
        <v>10</v>
      </c>
      <c r="I169" s="3">
        <v>49.49</v>
      </c>
      <c r="J169" s="3">
        <v>1039.29</v>
      </c>
      <c r="K169" s="2">
        <v>43496</v>
      </c>
      <c r="L169" s="1">
        <v>0.68055555555555558</v>
      </c>
      <c r="M169" t="s">
        <v>29</v>
      </c>
      <c r="N169" s="3">
        <v>989.8</v>
      </c>
      <c r="O169" s="4">
        <v>4.7619047620000003</v>
      </c>
      <c r="P169" s="5">
        <v>49.49</v>
      </c>
      <c r="Q169">
        <v>8.6999999999999993</v>
      </c>
      <c r="R169" s="6">
        <f>DAY(SuperMarket_Analysis[[#This Row],[Date]])</f>
        <v>31</v>
      </c>
      <c r="S169" s="6" t="str">
        <f>TEXT(SuperMarket_Analysis[[#This Row],[Date]],"mmmm")</f>
        <v>January</v>
      </c>
      <c r="T169" s="6">
        <f>YEAR(SuperMarket_Analysis[[#This Row],[Date]])</f>
        <v>2019</v>
      </c>
    </row>
    <row r="170" spans="1:20" x14ac:dyDescent="0.3">
      <c r="A170" t="s">
        <v>201</v>
      </c>
      <c r="B170" t="s">
        <v>15</v>
      </c>
      <c r="C170" t="s">
        <v>16</v>
      </c>
      <c r="D170" t="s">
        <v>24</v>
      </c>
      <c r="E170" t="s">
        <v>174</v>
      </c>
      <c r="F170" t="s">
        <v>40</v>
      </c>
      <c r="G170" s="3">
        <v>51.28</v>
      </c>
      <c r="H170" s="6">
        <v>6</v>
      </c>
      <c r="I170" s="3">
        <v>15.384</v>
      </c>
      <c r="J170" s="3">
        <v>323.06400000000002</v>
      </c>
      <c r="K170" s="2">
        <v>43510</v>
      </c>
      <c r="L170" s="1">
        <v>0.68819444444444444</v>
      </c>
      <c r="M170" t="s">
        <v>26</v>
      </c>
      <c r="N170" s="3">
        <v>307.68</v>
      </c>
      <c r="O170" s="4">
        <v>4.7619047620000003</v>
      </c>
      <c r="P170" s="5">
        <v>15.384</v>
      </c>
      <c r="Q170">
        <v>6.5</v>
      </c>
      <c r="R170" s="6">
        <f>DAY(SuperMarket_Analysis[[#This Row],[Date]])</f>
        <v>14</v>
      </c>
      <c r="S170" s="6" t="str">
        <f>TEXT(SuperMarket_Analysis[[#This Row],[Date]],"mmmm")</f>
        <v>February</v>
      </c>
      <c r="T170" s="6">
        <f>YEAR(SuperMarket_Analysis[[#This Row],[Date]])</f>
        <v>2019</v>
      </c>
    </row>
    <row r="171" spans="1:20" x14ac:dyDescent="0.3">
      <c r="A171" t="s">
        <v>202</v>
      </c>
      <c r="B171" t="s">
        <v>15</v>
      </c>
      <c r="C171" t="s">
        <v>16</v>
      </c>
      <c r="D171" t="s">
        <v>17</v>
      </c>
      <c r="E171" t="s">
        <v>174</v>
      </c>
      <c r="F171" t="s">
        <v>32</v>
      </c>
      <c r="G171" s="3">
        <v>69.52</v>
      </c>
      <c r="H171" s="6">
        <v>7</v>
      </c>
      <c r="I171" s="3">
        <v>24.332000000000001</v>
      </c>
      <c r="J171" s="3">
        <v>510.97199999999998</v>
      </c>
      <c r="K171" s="2">
        <v>43514</v>
      </c>
      <c r="L171" s="1">
        <v>0.63194444444444442</v>
      </c>
      <c r="M171" t="s">
        <v>29</v>
      </c>
      <c r="N171" s="3">
        <v>486.64</v>
      </c>
      <c r="O171" s="4">
        <v>4.7619047620000003</v>
      </c>
      <c r="P171" s="5">
        <v>24.332000000000001</v>
      </c>
      <c r="Q171">
        <v>8.5</v>
      </c>
      <c r="R171" s="6">
        <f>DAY(SuperMarket_Analysis[[#This Row],[Date]])</f>
        <v>18</v>
      </c>
      <c r="S171" s="6" t="str">
        <f>TEXT(SuperMarket_Analysis[[#This Row],[Date]],"mmmm")</f>
        <v>February</v>
      </c>
      <c r="T171" s="6">
        <f>YEAR(SuperMarket_Analysis[[#This Row],[Date]])</f>
        <v>2019</v>
      </c>
    </row>
    <row r="172" spans="1:20" x14ac:dyDescent="0.3">
      <c r="A172" t="s">
        <v>203</v>
      </c>
      <c r="B172" t="s">
        <v>15</v>
      </c>
      <c r="C172" t="s">
        <v>16</v>
      </c>
      <c r="D172" t="s">
        <v>24</v>
      </c>
      <c r="E172" t="s">
        <v>174</v>
      </c>
      <c r="F172" t="s">
        <v>19</v>
      </c>
      <c r="G172" s="3">
        <v>70.010000000000005</v>
      </c>
      <c r="H172" s="6">
        <v>5</v>
      </c>
      <c r="I172" s="3">
        <v>17.502500000000001</v>
      </c>
      <c r="J172" s="3">
        <v>367.55250000000001</v>
      </c>
      <c r="K172" s="2">
        <v>43522</v>
      </c>
      <c r="L172" s="1">
        <v>0.48333333333333334</v>
      </c>
      <c r="M172" t="s">
        <v>20</v>
      </c>
      <c r="N172" s="3">
        <v>350.05</v>
      </c>
      <c r="O172" s="4">
        <v>4.7619047620000003</v>
      </c>
      <c r="P172" s="5">
        <v>17.502500000000001</v>
      </c>
      <c r="Q172">
        <v>5.5</v>
      </c>
      <c r="R172" s="6">
        <f>DAY(SuperMarket_Analysis[[#This Row],[Date]])</f>
        <v>26</v>
      </c>
      <c r="S172" s="6" t="str">
        <f>TEXT(SuperMarket_Analysis[[#This Row],[Date]],"mmmm")</f>
        <v>February</v>
      </c>
      <c r="T172" s="6">
        <f>YEAR(SuperMarket_Analysis[[#This Row],[Date]])</f>
        <v>2019</v>
      </c>
    </row>
    <row r="173" spans="1:20" x14ac:dyDescent="0.3">
      <c r="A173" t="s">
        <v>204</v>
      </c>
      <c r="B173" t="s">
        <v>38</v>
      </c>
      <c r="C173" t="s">
        <v>39</v>
      </c>
      <c r="D173" t="s">
        <v>17</v>
      </c>
      <c r="E173" t="s">
        <v>174</v>
      </c>
      <c r="F173" t="s">
        <v>40</v>
      </c>
      <c r="G173" s="3">
        <v>80.05</v>
      </c>
      <c r="H173" s="6">
        <v>5</v>
      </c>
      <c r="I173" s="3">
        <v>20.012499999999999</v>
      </c>
      <c r="J173" s="3">
        <v>420.26249999999999</v>
      </c>
      <c r="K173" s="2">
        <v>43483</v>
      </c>
      <c r="L173" s="1">
        <v>0.53125</v>
      </c>
      <c r="M173" t="s">
        <v>29</v>
      </c>
      <c r="N173" s="3">
        <v>400.25</v>
      </c>
      <c r="O173" s="4">
        <v>4.7619047620000003</v>
      </c>
      <c r="P173" s="5">
        <v>20.012499999999999</v>
      </c>
      <c r="Q173">
        <v>9.4</v>
      </c>
      <c r="R173" s="6">
        <f>DAY(SuperMarket_Analysis[[#This Row],[Date]])</f>
        <v>18</v>
      </c>
      <c r="S173" s="6" t="str">
        <f>TEXT(SuperMarket_Analysis[[#This Row],[Date]],"mmmm")</f>
        <v>January</v>
      </c>
      <c r="T173" s="6">
        <f>YEAR(SuperMarket_Analysis[[#This Row],[Date]])</f>
        <v>2019</v>
      </c>
    </row>
    <row r="174" spans="1:20" x14ac:dyDescent="0.3">
      <c r="A174" t="s">
        <v>205</v>
      </c>
      <c r="B174" t="s">
        <v>22</v>
      </c>
      <c r="C174" t="s">
        <v>23</v>
      </c>
      <c r="D174" t="s">
        <v>24</v>
      </c>
      <c r="E174" t="s">
        <v>174</v>
      </c>
      <c r="F174" t="s">
        <v>25</v>
      </c>
      <c r="G174" s="3">
        <v>20.85</v>
      </c>
      <c r="H174" s="6">
        <v>8</v>
      </c>
      <c r="I174" s="3">
        <v>8.34</v>
      </c>
      <c r="J174" s="3">
        <v>175.14</v>
      </c>
      <c r="K174" s="2">
        <v>43511</v>
      </c>
      <c r="L174" s="1">
        <v>0.80347222222222225</v>
      </c>
      <c r="M174" t="s">
        <v>26</v>
      </c>
      <c r="N174" s="3">
        <v>166.8</v>
      </c>
      <c r="O174" s="4">
        <v>4.7619047620000003</v>
      </c>
      <c r="P174" s="5">
        <v>8.34</v>
      </c>
      <c r="Q174">
        <v>6.3</v>
      </c>
      <c r="R174" s="6">
        <f>DAY(SuperMarket_Analysis[[#This Row],[Date]])</f>
        <v>15</v>
      </c>
      <c r="S174" s="6" t="str">
        <f>TEXT(SuperMarket_Analysis[[#This Row],[Date]],"mmmm")</f>
        <v>February</v>
      </c>
      <c r="T174" s="6">
        <f>YEAR(SuperMarket_Analysis[[#This Row],[Date]])</f>
        <v>2019</v>
      </c>
    </row>
    <row r="175" spans="1:20" x14ac:dyDescent="0.3">
      <c r="A175" t="s">
        <v>206</v>
      </c>
      <c r="B175" t="s">
        <v>38</v>
      </c>
      <c r="C175" t="s">
        <v>39</v>
      </c>
      <c r="D175" t="s">
        <v>17</v>
      </c>
      <c r="E175" t="s">
        <v>174</v>
      </c>
      <c r="F175" t="s">
        <v>25</v>
      </c>
      <c r="G175" s="3">
        <v>52.89</v>
      </c>
      <c r="H175" s="6">
        <v>6</v>
      </c>
      <c r="I175" s="3">
        <v>15.867000000000001</v>
      </c>
      <c r="J175" s="3">
        <v>333.20699999999999</v>
      </c>
      <c r="K175" s="2">
        <v>43482</v>
      </c>
      <c r="L175" s="1">
        <v>0.7319444444444444</v>
      </c>
      <c r="M175" t="s">
        <v>29</v>
      </c>
      <c r="N175" s="3">
        <v>317.33999999999997</v>
      </c>
      <c r="O175" s="4">
        <v>4.7619047620000003</v>
      </c>
      <c r="P175" s="5">
        <v>15.867000000000001</v>
      </c>
      <c r="Q175">
        <v>9.8000000000000007</v>
      </c>
      <c r="R175" s="6">
        <f>DAY(SuperMarket_Analysis[[#This Row],[Date]])</f>
        <v>17</v>
      </c>
      <c r="S175" s="6" t="str">
        <f>TEXT(SuperMarket_Analysis[[#This Row],[Date]],"mmmm")</f>
        <v>January</v>
      </c>
      <c r="T175" s="6">
        <f>YEAR(SuperMarket_Analysis[[#This Row],[Date]])</f>
        <v>2019</v>
      </c>
    </row>
    <row r="176" spans="1:20" x14ac:dyDescent="0.3">
      <c r="A176" t="s">
        <v>207</v>
      </c>
      <c r="B176" t="s">
        <v>38</v>
      </c>
      <c r="C176" t="s">
        <v>39</v>
      </c>
      <c r="D176" t="s">
        <v>24</v>
      </c>
      <c r="E176" t="s">
        <v>174</v>
      </c>
      <c r="F176" t="s">
        <v>40</v>
      </c>
      <c r="G176" s="3">
        <v>19.79</v>
      </c>
      <c r="H176" s="6">
        <v>8</v>
      </c>
      <c r="I176" s="3">
        <v>7.9160000000000004</v>
      </c>
      <c r="J176" s="3">
        <v>166.23599999999999</v>
      </c>
      <c r="K176" s="2">
        <v>43490</v>
      </c>
      <c r="L176" s="1">
        <v>0.50277777777777777</v>
      </c>
      <c r="M176" t="s">
        <v>20</v>
      </c>
      <c r="N176" s="3">
        <v>158.32</v>
      </c>
      <c r="O176" s="4">
        <v>4.7619047620000003</v>
      </c>
      <c r="P176" s="5">
        <v>7.9160000000000004</v>
      </c>
      <c r="Q176">
        <v>8.6999999999999993</v>
      </c>
      <c r="R176" s="6">
        <f>DAY(SuperMarket_Analysis[[#This Row],[Date]])</f>
        <v>25</v>
      </c>
      <c r="S176" s="6" t="str">
        <f>TEXT(SuperMarket_Analysis[[#This Row],[Date]],"mmmm")</f>
        <v>January</v>
      </c>
      <c r="T176" s="6">
        <f>YEAR(SuperMarket_Analysis[[#This Row],[Date]])</f>
        <v>2019</v>
      </c>
    </row>
    <row r="177" spans="1:20" x14ac:dyDescent="0.3">
      <c r="A177" t="s">
        <v>208</v>
      </c>
      <c r="B177" t="s">
        <v>15</v>
      </c>
      <c r="C177" t="s">
        <v>16</v>
      </c>
      <c r="D177" t="s">
        <v>17</v>
      </c>
      <c r="E177" t="s">
        <v>174</v>
      </c>
      <c r="F177" t="s">
        <v>28</v>
      </c>
      <c r="G177" s="3">
        <v>33.840000000000003</v>
      </c>
      <c r="H177" s="6">
        <v>9</v>
      </c>
      <c r="I177" s="3">
        <v>15.228</v>
      </c>
      <c r="J177" s="3">
        <v>319.78800000000001</v>
      </c>
      <c r="K177" s="2">
        <v>43549</v>
      </c>
      <c r="L177" s="1">
        <v>0.68125000000000002</v>
      </c>
      <c r="M177" t="s">
        <v>20</v>
      </c>
      <c r="N177" s="3">
        <v>304.56</v>
      </c>
      <c r="O177" s="4">
        <v>4.7619047620000003</v>
      </c>
      <c r="P177" s="5">
        <v>15.228</v>
      </c>
      <c r="Q177">
        <v>8.8000000000000007</v>
      </c>
      <c r="R177" s="6">
        <f>DAY(SuperMarket_Analysis[[#This Row],[Date]])</f>
        <v>25</v>
      </c>
      <c r="S177" s="6" t="str">
        <f>TEXT(SuperMarket_Analysis[[#This Row],[Date]],"mmmm")</f>
        <v>March</v>
      </c>
      <c r="T177" s="6">
        <f>YEAR(SuperMarket_Analysis[[#This Row],[Date]])</f>
        <v>2019</v>
      </c>
    </row>
    <row r="178" spans="1:20" x14ac:dyDescent="0.3">
      <c r="A178" t="s">
        <v>209</v>
      </c>
      <c r="B178" t="s">
        <v>15</v>
      </c>
      <c r="C178" t="s">
        <v>16</v>
      </c>
      <c r="D178" t="s">
        <v>17</v>
      </c>
      <c r="E178" t="s">
        <v>174</v>
      </c>
      <c r="F178" t="s">
        <v>40</v>
      </c>
      <c r="G178" s="3">
        <v>22.17</v>
      </c>
      <c r="H178" s="6">
        <v>8</v>
      </c>
      <c r="I178" s="3">
        <v>8.8680000000000003</v>
      </c>
      <c r="J178" s="3">
        <v>186.22800000000001</v>
      </c>
      <c r="K178" s="2">
        <v>43513</v>
      </c>
      <c r="L178" s="1">
        <v>0.70902777777777781</v>
      </c>
      <c r="M178" t="s">
        <v>29</v>
      </c>
      <c r="N178" s="3">
        <v>177.36</v>
      </c>
      <c r="O178" s="4">
        <v>4.7619047620000003</v>
      </c>
      <c r="P178" s="5">
        <v>8.8680000000000003</v>
      </c>
      <c r="Q178">
        <v>9.6</v>
      </c>
      <c r="R178" s="6">
        <f>DAY(SuperMarket_Analysis[[#This Row],[Date]])</f>
        <v>17</v>
      </c>
      <c r="S178" s="6" t="str">
        <f>TEXT(SuperMarket_Analysis[[#This Row],[Date]],"mmmm")</f>
        <v>February</v>
      </c>
      <c r="T178" s="6">
        <f>YEAR(SuperMarket_Analysis[[#This Row],[Date]])</f>
        <v>2019</v>
      </c>
    </row>
    <row r="179" spans="1:20" x14ac:dyDescent="0.3">
      <c r="A179" t="s">
        <v>210</v>
      </c>
      <c r="B179" t="s">
        <v>22</v>
      </c>
      <c r="C179" t="s">
        <v>23</v>
      </c>
      <c r="D179" t="s">
        <v>24</v>
      </c>
      <c r="E179" t="s">
        <v>18</v>
      </c>
      <c r="F179" t="s">
        <v>42</v>
      </c>
      <c r="G179" s="3">
        <v>22.51</v>
      </c>
      <c r="H179" s="6">
        <v>7</v>
      </c>
      <c r="I179" s="3">
        <v>7.8784999999999998</v>
      </c>
      <c r="J179" s="3">
        <v>165.4485</v>
      </c>
      <c r="K179" s="2">
        <v>43538</v>
      </c>
      <c r="L179" s="1">
        <v>0.4513888888888889</v>
      </c>
      <c r="M179" t="s">
        <v>29</v>
      </c>
      <c r="N179" s="3">
        <v>157.57</v>
      </c>
      <c r="O179" s="4">
        <v>4.7619047620000003</v>
      </c>
      <c r="P179" s="5">
        <v>7.8784999999999998</v>
      </c>
      <c r="Q179">
        <v>4.8</v>
      </c>
      <c r="R179" s="6">
        <f>DAY(SuperMarket_Analysis[[#This Row],[Date]])</f>
        <v>14</v>
      </c>
      <c r="S179" s="6" t="str">
        <f>TEXT(SuperMarket_Analysis[[#This Row],[Date]],"mmmm")</f>
        <v>March</v>
      </c>
      <c r="T179" s="6">
        <f>YEAR(SuperMarket_Analysis[[#This Row],[Date]])</f>
        <v>2019</v>
      </c>
    </row>
    <row r="180" spans="1:20" x14ac:dyDescent="0.3">
      <c r="A180" t="s">
        <v>211</v>
      </c>
      <c r="B180" t="s">
        <v>15</v>
      </c>
      <c r="C180" t="s">
        <v>16</v>
      </c>
      <c r="D180" t="s">
        <v>24</v>
      </c>
      <c r="E180" t="s">
        <v>174</v>
      </c>
      <c r="F180" t="s">
        <v>40</v>
      </c>
      <c r="G180" s="3">
        <v>73.88</v>
      </c>
      <c r="H180" s="6">
        <v>6</v>
      </c>
      <c r="I180" s="3">
        <v>22.164000000000001</v>
      </c>
      <c r="J180" s="3">
        <v>465.44400000000002</v>
      </c>
      <c r="K180" s="2">
        <v>43548</v>
      </c>
      <c r="L180" s="1">
        <v>0.80277777777777781</v>
      </c>
      <c r="M180" t="s">
        <v>20</v>
      </c>
      <c r="N180" s="3">
        <v>443.28</v>
      </c>
      <c r="O180" s="4">
        <v>4.7619047620000003</v>
      </c>
      <c r="P180" s="5">
        <v>22.164000000000001</v>
      </c>
      <c r="Q180">
        <v>4.4000000000000004</v>
      </c>
      <c r="R180" s="6">
        <f>DAY(SuperMarket_Analysis[[#This Row],[Date]])</f>
        <v>24</v>
      </c>
      <c r="S180" s="6" t="str">
        <f>TEXT(SuperMarket_Analysis[[#This Row],[Date]],"mmmm")</f>
        <v>March</v>
      </c>
      <c r="T180" s="6">
        <f>YEAR(SuperMarket_Analysis[[#This Row],[Date]])</f>
        <v>2019</v>
      </c>
    </row>
    <row r="181" spans="1:20" x14ac:dyDescent="0.3">
      <c r="A181" t="s">
        <v>212</v>
      </c>
      <c r="B181" t="s">
        <v>22</v>
      </c>
      <c r="C181" t="s">
        <v>23</v>
      </c>
      <c r="D181" t="s">
        <v>17</v>
      </c>
      <c r="E181" t="s">
        <v>174</v>
      </c>
      <c r="F181" t="s">
        <v>19</v>
      </c>
      <c r="G181" s="3">
        <v>86.8</v>
      </c>
      <c r="H181" s="6">
        <v>3</v>
      </c>
      <c r="I181" s="3">
        <v>13.02</v>
      </c>
      <c r="J181" s="3">
        <v>273.42</v>
      </c>
      <c r="K181" s="2">
        <v>43545</v>
      </c>
      <c r="L181" s="1">
        <v>0.69930555555555551</v>
      </c>
      <c r="M181" t="s">
        <v>20</v>
      </c>
      <c r="N181" s="3">
        <v>260.39999999999998</v>
      </c>
      <c r="O181" s="4">
        <v>4.7619047620000003</v>
      </c>
      <c r="P181" s="5">
        <v>13.02</v>
      </c>
      <c r="Q181">
        <v>9.9</v>
      </c>
      <c r="R181" s="6">
        <f>DAY(SuperMarket_Analysis[[#This Row],[Date]])</f>
        <v>21</v>
      </c>
      <c r="S181" s="6" t="str">
        <f>TEXT(SuperMarket_Analysis[[#This Row],[Date]],"mmmm")</f>
        <v>March</v>
      </c>
      <c r="T181" s="6">
        <f>YEAR(SuperMarket_Analysis[[#This Row],[Date]])</f>
        <v>2019</v>
      </c>
    </row>
    <row r="182" spans="1:20" x14ac:dyDescent="0.3">
      <c r="A182" t="s">
        <v>213</v>
      </c>
      <c r="B182" t="s">
        <v>22</v>
      </c>
      <c r="C182" t="s">
        <v>23</v>
      </c>
      <c r="D182" t="s">
        <v>24</v>
      </c>
      <c r="E182" t="s">
        <v>174</v>
      </c>
      <c r="F182" t="s">
        <v>42</v>
      </c>
      <c r="G182" s="3">
        <v>64.260000000000005</v>
      </c>
      <c r="H182" s="6">
        <v>7</v>
      </c>
      <c r="I182" s="3">
        <v>22.491</v>
      </c>
      <c r="J182" s="3">
        <v>472.31099999999998</v>
      </c>
      <c r="K182" s="2">
        <v>43543</v>
      </c>
      <c r="L182" s="1">
        <v>0.41666666666666669</v>
      </c>
      <c r="M182" t="s">
        <v>26</v>
      </c>
      <c r="N182" s="3">
        <v>449.82</v>
      </c>
      <c r="O182" s="4">
        <v>4.7619047620000003</v>
      </c>
      <c r="P182" s="5">
        <v>22.491</v>
      </c>
      <c r="Q182">
        <v>5.7</v>
      </c>
      <c r="R182" s="6">
        <f>DAY(SuperMarket_Analysis[[#This Row],[Date]])</f>
        <v>19</v>
      </c>
      <c r="S182" s="6" t="str">
        <f>TEXT(SuperMarket_Analysis[[#This Row],[Date]],"mmmm")</f>
        <v>March</v>
      </c>
      <c r="T182" s="6">
        <f>YEAR(SuperMarket_Analysis[[#This Row],[Date]])</f>
        <v>2019</v>
      </c>
    </row>
    <row r="183" spans="1:20" x14ac:dyDescent="0.3">
      <c r="A183" t="s">
        <v>214</v>
      </c>
      <c r="B183" t="s">
        <v>22</v>
      </c>
      <c r="C183" t="s">
        <v>23</v>
      </c>
      <c r="D183" t="s">
        <v>17</v>
      </c>
      <c r="E183" t="s">
        <v>174</v>
      </c>
      <c r="F183" t="s">
        <v>40</v>
      </c>
      <c r="G183" s="3">
        <v>38.47</v>
      </c>
      <c r="H183" s="6">
        <v>8</v>
      </c>
      <c r="I183" s="3">
        <v>15.388</v>
      </c>
      <c r="J183" s="3">
        <v>323.14800000000002</v>
      </c>
      <c r="K183" s="2">
        <v>43520</v>
      </c>
      <c r="L183" s="1">
        <v>0.49375000000000002</v>
      </c>
      <c r="M183" t="s">
        <v>26</v>
      </c>
      <c r="N183" s="3">
        <v>307.76</v>
      </c>
      <c r="O183" s="4">
        <v>4.7619047620000003</v>
      </c>
      <c r="P183" s="5">
        <v>15.388</v>
      </c>
      <c r="Q183">
        <v>7.7</v>
      </c>
      <c r="R183" s="6">
        <f>DAY(SuperMarket_Analysis[[#This Row],[Date]])</f>
        <v>24</v>
      </c>
      <c r="S183" s="6" t="str">
        <f>TEXT(SuperMarket_Analysis[[#This Row],[Date]],"mmmm")</f>
        <v>February</v>
      </c>
      <c r="T183" s="6">
        <f>YEAR(SuperMarket_Analysis[[#This Row],[Date]])</f>
        <v>2019</v>
      </c>
    </row>
    <row r="184" spans="1:20" x14ac:dyDescent="0.3">
      <c r="A184" t="s">
        <v>215</v>
      </c>
      <c r="B184" t="s">
        <v>15</v>
      </c>
      <c r="C184" t="s">
        <v>16</v>
      </c>
      <c r="D184" t="s">
        <v>17</v>
      </c>
      <c r="E184" t="s">
        <v>174</v>
      </c>
      <c r="F184" t="s">
        <v>32</v>
      </c>
      <c r="G184" s="3">
        <v>15.5</v>
      </c>
      <c r="H184" s="6">
        <v>10</v>
      </c>
      <c r="I184" s="3">
        <v>7.75</v>
      </c>
      <c r="J184" s="3">
        <v>162.75</v>
      </c>
      <c r="K184" s="2">
        <v>43552</v>
      </c>
      <c r="L184" s="1">
        <v>0.4548611111111111</v>
      </c>
      <c r="M184" t="s">
        <v>20</v>
      </c>
      <c r="N184" s="3">
        <v>155</v>
      </c>
      <c r="O184" s="4">
        <v>4.7619047620000003</v>
      </c>
      <c r="P184" s="5">
        <v>7.75</v>
      </c>
      <c r="Q184">
        <v>8</v>
      </c>
      <c r="R184" s="6">
        <f>DAY(SuperMarket_Analysis[[#This Row],[Date]])</f>
        <v>28</v>
      </c>
      <c r="S184" s="6" t="str">
        <f>TEXT(SuperMarket_Analysis[[#This Row],[Date]],"mmmm")</f>
        <v>March</v>
      </c>
      <c r="T184" s="6">
        <f>YEAR(SuperMarket_Analysis[[#This Row],[Date]])</f>
        <v>2019</v>
      </c>
    </row>
    <row r="185" spans="1:20" x14ac:dyDescent="0.3">
      <c r="A185" t="s">
        <v>216</v>
      </c>
      <c r="B185" t="s">
        <v>22</v>
      </c>
      <c r="C185" t="s">
        <v>23</v>
      </c>
      <c r="D185" t="s">
        <v>24</v>
      </c>
      <c r="E185" t="s">
        <v>174</v>
      </c>
      <c r="F185" t="s">
        <v>19</v>
      </c>
      <c r="G185" s="3">
        <v>34.31</v>
      </c>
      <c r="H185" s="6">
        <v>8</v>
      </c>
      <c r="I185" s="3">
        <v>13.724</v>
      </c>
      <c r="J185" s="3">
        <v>288.20400000000001</v>
      </c>
      <c r="K185" s="2">
        <v>43511</v>
      </c>
      <c r="L185" s="1">
        <v>0.625</v>
      </c>
      <c r="M185" t="s">
        <v>20</v>
      </c>
      <c r="N185" s="3">
        <v>274.48</v>
      </c>
      <c r="O185" s="4">
        <v>4.7619047620000003</v>
      </c>
      <c r="P185" s="5">
        <v>13.724</v>
      </c>
      <c r="Q185">
        <v>5.7</v>
      </c>
      <c r="R185" s="6">
        <f>DAY(SuperMarket_Analysis[[#This Row],[Date]])</f>
        <v>15</v>
      </c>
      <c r="S185" s="6" t="str">
        <f>TEXT(SuperMarket_Analysis[[#This Row],[Date]],"mmmm")</f>
        <v>February</v>
      </c>
      <c r="T185" s="6">
        <f>YEAR(SuperMarket_Analysis[[#This Row],[Date]])</f>
        <v>2019</v>
      </c>
    </row>
    <row r="186" spans="1:20" x14ac:dyDescent="0.3">
      <c r="A186" t="s">
        <v>217</v>
      </c>
      <c r="B186" t="s">
        <v>15</v>
      </c>
      <c r="C186" t="s">
        <v>16</v>
      </c>
      <c r="D186" t="s">
        <v>24</v>
      </c>
      <c r="E186" t="s">
        <v>18</v>
      </c>
      <c r="F186" t="s">
        <v>32</v>
      </c>
      <c r="G186" s="3">
        <v>12.34</v>
      </c>
      <c r="H186" s="6">
        <v>7</v>
      </c>
      <c r="I186" s="3">
        <v>4.319</v>
      </c>
      <c r="J186" s="3">
        <v>90.698999999999998</v>
      </c>
      <c r="K186" s="2">
        <v>43495</v>
      </c>
      <c r="L186" s="1">
        <v>0.47152777777777777</v>
      </c>
      <c r="M186" t="s">
        <v>29</v>
      </c>
      <c r="N186" s="3">
        <v>86.38</v>
      </c>
      <c r="O186" s="4">
        <v>4.7619047620000003</v>
      </c>
      <c r="P186" s="5">
        <v>4.319</v>
      </c>
      <c r="Q186">
        <v>6.7</v>
      </c>
      <c r="R186" s="6">
        <f>DAY(SuperMarket_Analysis[[#This Row],[Date]])</f>
        <v>30</v>
      </c>
      <c r="S186" s="6" t="str">
        <f>TEXT(SuperMarket_Analysis[[#This Row],[Date]],"mmmm")</f>
        <v>January</v>
      </c>
      <c r="T186" s="6">
        <f>YEAR(SuperMarket_Analysis[[#This Row],[Date]])</f>
        <v>2019</v>
      </c>
    </row>
    <row r="187" spans="1:20" x14ac:dyDescent="0.3">
      <c r="A187" t="s">
        <v>218</v>
      </c>
      <c r="B187" t="s">
        <v>38</v>
      </c>
      <c r="C187" t="s">
        <v>39</v>
      </c>
      <c r="D187" t="s">
        <v>17</v>
      </c>
      <c r="E187" t="s">
        <v>174</v>
      </c>
      <c r="F187" t="s">
        <v>40</v>
      </c>
      <c r="G187" s="3">
        <v>18.079999999999998</v>
      </c>
      <c r="H187" s="6">
        <v>3</v>
      </c>
      <c r="I187" s="3">
        <v>2.7120000000000002</v>
      </c>
      <c r="J187" s="3">
        <v>56.951999999999998</v>
      </c>
      <c r="K187" s="2">
        <v>43510</v>
      </c>
      <c r="L187" s="1">
        <v>0.82361111111111107</v>
      </c>
      <c r="M187" t="s">
        <v>20</v>
      </c>
      <c r="N187" s="3">
        <v>54.24</v>
      </c>
      <c r="O187" s="4">
        <v>4.7619047620000003</v>
      </c>
      <c r="P187" s="5">
        <v>2.7120000000000002</v>
      </c>
      <c r="Q187">
        <v>8</v>
      </c>
      <c r="R187" s="6">
        <f>DAY(SuperMarket_Analysis[[#This Row],[Date]])</f>
        <v>14</v>
      </c>
      <c r="S187" s="6" t="str">
        <f>TEXT(SuperMarket_Analysis[[#This Row],[Date]],"mmmm")</f>
        <v>February</v>
      </c>
      <c r="T187" s="6">
        <f>YEAR(SuperMarket_Analysis[[#This Row],[Date]])</f>
        <v>2019</v>
      </c>
    </row>
    <row r="188" spans="1:20" x14ac:dyDescent="0.3">
      <c r="A188" t="s">
        <v>219</v>
      </c>
      <c r="B188" t="s">
        <v>38</v>
      </c>
      <c r="C188" t="s">
        <v>39</v>
      </c>
      <c r="D188" t="s">
        <v>17</v>
      </c>
      <c r="E188" t="s">
        <v>18</v>
      </c>
      <c r="F188" t="s">
        <v>28</v>
      </c>
      <c r="G188" s="3">
        <v>94.49</v>
      </c>
      <c r="H188" s="6">
        <v>8</v>
      </c>
      <c r="I188" s="3">
        <v>37.795999999999999</v>
      </c>
      <c r="J188" s="3">
        <v>793.71600000000001</v>
      </c>
      <c r="K188" s="2">
        <v>43523</v>
      </c>
      <c r="L188" s="1">
        <v>0.79166666666666663</v>
      </c>
      <c r="M188" t="s">
        <v>20</v>
      </c>
      <c r="N188" s="3">
        <v>755.92</v>
      </c>
      <c r="O188" s="4">
        <v>4.7619047620000003</v>
      </c>
      <c r="P188" s="5">
        <v>37.795999999999999</v>
      </c>
      <c r="Q188">
        <v>7.5</v>
      </c>
      <c r="R188" s="6">
        <f>DAY(SuperMarket_Analysis[[#This Row],[Date]])</f>
        <v>27</v>
      </c>
      <c r="S188" s="6" t="str">
        <f>TEXT(SuperMarket_Analysis[[#This Row],[Date]],"mmmm")</f>
        <v>February</v>
      </c>
      <c r="T188" s="6">
        <f>YEAR(SuperMarket_Analysis[[#This Row],[Date]])</f>
        <v>2019</v>
      </c>
    </row>
    <row r="189" spans="1:20" x14ac:dyDescent="0.3">
      <c r="A189" t="s">
        <v>220</v>
      </c>
      <c r="B189" t="s">
        <v>38</v>
      </c>
      <c r="C189" t="s">
        <v>39</v>
      </c>
      <c r="D189" t="s">
        <v>17</v>
      </c>
      <c r="E189" t="s">
        <v>174</v>
      </c>
      <c r="F189" t="s">
        <v>28</v>
      </c>
      <c r="G189" s="3">
        <v>46.47</v>
      </c>
      <c r="H189" s="6">
        <v>4</v>
      </c>
      <c r="I189" s="3">
        <v>9.2940000000000005</v>
      </c>
      <c r="J189" s="3">
        <v>195.17400000000001</v>
      </c>
      <c r="K189" s="2">
        <v>43485</v>
      </c>
      <c r="L189" s="1">
        <v>0.45347222222222222</v>
      </c>
      <c r="M189" t="s">
        <v>26</v>
      </c>
      <c r="N189" s="3">
        <v>185.88</v>
      </c>
      <c r="O189" s="4">
        <v>4.7619047620000003</v>
      </c>
      <c r="P189" s="5">
        <v>9.2940000000000005</v>
      </c>
      <c r="Q189">
        <v>7</v>
      </c>
      <c r="R189" s="6">
        <f>DAY(SuperMarket_Analysis[[#This Row],[Date]])</f>
        <v>20</v>
      </c>
      <c r="S189" s="6" t="str">
        <f>TEXT(SuperMarket_Analysis[[#This Row],[Date]],"mmmm")</f>
        <v>January</v>
      </c>
      <c r="T189" s="6">
        <f>YEAR(SuperMarket_Analysis[[#This Row],[Date]])</f>
        <v>2019</v>
      </c>
    </row>
    <row r="190" spans="1:20" x14ac:dyDescent="0.3">
      <c r="A190" t="s">
        <v>221</v>
      </c>
      <c r="B190" t="s">
        <v>15</v>
      </c>
      <c r="C190" t="s">
        <v>16</v>
      </c>
      <c r="D190" t="s">
        <v>24</v>
      </c>
      <c r="E190" t="s">
        <v>174</v>
      </c>
      <c r="F190" t="s">
        <v>28</v>
      </c>
      <c r="G190" s="3">
        <v>74.069999999999993</v>
      </c>
      <c r="H190" s="6">
        <v>1</v>
      </c>
      <c r="I190" s="3">
        <v>3.7035</v>
      </c>
      <c r="J190" s="3">
        <v>77.773499999999999</v>
      </c>
      <c r="K190" s="2">
        <v>43552</v>
      </c>
      <c r="L190" s="1">
        <v>0.53472222222222221</v>
      </c>
      <c r="M190" t="s">
        <v>20</v>
      </c>
      <c r="N190" s="3">
        <v>74.069999999999993</v>
      </c>
      <c r="O190" s="4">
        <v>4.7619047620000003</v>
      </c>
      <c r="P190" s="5">
        <v>3.7035</v>
      </c>
      <c r="Q190">
        <v>9.9</v>
      </c>
      <c r="R190" s="6">
        <f>DAY(SuperMarket_Analysis[[#This Row],[Date]])</f>
        <v>28</v>
      </c>
      <c r="S190" s="6" t="str">
        <f>TEXT(SuperMarket_Analysis[[#This Row],[Date]],"mmmm")</f>
        <v>March</v>
      </c>
      <c r="T190" s="6">
        <f>YEAR(SuperMarket_Analysis[[#This Row],[Date]])</f>
        <v>2019</v>
      </c>
    </row>
    <row r="191" spans="1:20" x14ac:dyDescent="0.3">
      <c r="A191" t="s">
        <v>222</v>
      </c>
      <c r="B191" t="s">
        <v>22</v>
      </c>
      <c r="C191" t="s">
        <v>23</v>
      </c>
      <c r="D191" t="s">
        <v>24</v>
      </c>
      <c r="E191" t="s">
        <v>18</v>
      </c>
      <c r="F191" t="s">
        <v>28</v>
      </c>
      <c r="G191" s="3">
        <v>69.81</v>
      </c>
      <c r="H191" s="6">
        <v>4</v>
      </c>
      <c r="I191" s="3">
        <v>13.962</v>
      </c>
      <c r="J191" s="3">
        <v>293.202</v>
      </c>
      <c r="K191" s="2">
        <v>43523</v>
      </c>
      <c r="L191" s="1">
        <v>0.86805555555555558</v>
      </c>
      <c r="M191" t="s">
        <v>29</v>
      </c>
      <c r="N191" s="3">
        <v>279.24</v>
      </c>
      <c r="O191" s="4">
        <v>4.7619047620000003</v>
      </c>
      <c r="P191" s="5">
        <v>13.962</v>
      </c>
      <c r="Q191">
        <v>5.9</v>
      </c>
      <c r="R191" s="6">
        <f>DAY(SuperMarket_Analysis[[#This Row],[Date]])</f>
        <v>27</v>
      </c>
      <c r="S191" s="6" t="str">
        <f>TEXT(SuperMarket_Analysis[[#This Row],[Date]],"mmmm")</f>
        <v>February</v>
      </c>
      <c r="T191" s="6">
        <f>YEAR(SuperMarket_Analysis[[#This Row],[Date]])</f>
        <v>2019</v>
      </c>
    </row>
    <row r="192" spans="1:20" x14ac:dyDescent="0.3">
      <c r="A192" t="s">
        <v>223</v>
      </c>
      <c r="B192" t="s">
        <v>38</v>
      </c>
      <c r="C192" t="s">
        <v>39</v>
      </c>
      <c r="D192" t="s">
        <v>24</v>
      </c>
      <c r="E192" t="s">
        <v>18</v>
      </c>
      <c r="F192" t="s">
        <v>28</v>
      </c>
      <c r="G192" s="3">
        <v>77.040000000000006</v>
      </c>
      <c r="H192" s="6">
        <v>3</v>
      </c>
      <c r="I192" s="3">
        <v>11.555999999999999</v>
      </c>
      <c r="J192" s="3">
        <v>242.67599999999999</v>
      </c>
      <c r="K192" s="2">
        <v>43511</v>
      </c>
      <c r="L192" s="1">
        <v>0.44374999999999998</v>
      </c>
      <c r="M192" t="s">
        <v>29</v>
      </c>
      <c r="N192" s="3">
        <v>231.12</v>
      </c>
      <c r="O192" s="4">
        <v>4.7619047620000003</v>
      </c>
      <c r="P192" s="5">
        <v>11.555999999999999</v>
      </c>
      <c r="Q192">
        <v>7.2</v>
      </c>
      <c r="R192" s="6">
        <f>DAY(SuperMarket_Analysis[[#This Row],[Date]])</f>
        <v>15</v>
      </c>
      <c r="S192" s="6" t="str">
        <f>TEXT(SuperMarket_Analysis[[#This Row],[Date]],"mmmm")</f>
        <v>February</v>
      </c>
      <c r="T192" s="6">
        <f>YEAR(SuperMarket_Analysis[[#This Row],[Date]])</f>
        <v>2019</v>
      </c>
    </row>
    <row r="193" spans="1:20" x14ac:dyDescent="0.3">
      <c r="A193" t="s">
        <v>224</v>
      </c>
      <c r="B193" t="s">
        <v>38</v>
      </c>
      <c r="C193" t="s">
        <v>39</v>
      </c>
      <c r="D193" t="s">
        <v>24</v>
      </c>
      <c r="E193" t="s">
        <v>18</v>
      </c>
      <c r="F193" t="s">
        <v>42</v>
      </c>
      <c r="G193" s="3">
        <v>73.52</v>
      </c>
      <c r="H193" s="6">
        <v>2</v>
      </c>
      <c r="I193" s="3">
        <v>7.3520000000000003</v>
      </c>
      <c r="J193" s="3">
        <v>154.392</v>
      </c>
      <c r="K193" s="2">
        <v>43491</v>
      </c>
      <c r="L193" s="1">
        <v>0.57013888888888886</v>
      </c>
      <c r="M193" t="s">
        <v>20</v>
      </c>
      <c r="N193" s="3">
        <v>147.04</v>
      </c>
      <c r="O193" s="4">
        <v>4.7619047620000003</v>
      </c>
      <c r="P193" s="5">
        <v>7.3520000000000003</v>
      </c>
      <c r="Q193">
        <v>4.5999999999999996</v>
      </c>
      <c r="R193" s="6">
        <f>DAY(SuperMarket_Analysis[[#This Row],[Date]])</f>
        <v>26</v>
      </c>
      <c r="S193" s="6" t="str">
        <f>TEXT(SuperMarket_Analysis[[#This Row],[Date]],"mmmm")</f>
        <v>January</v>
      </c>
      <c r="T193" s="6">
        <f>YEAR(SuperMarket_Analysis[[#This Row],[Date]])</f>
        <v>2019</v>
      </c>
    </row>
    <row r="194" spans="1:20" x14ac:dyDescent="0.3">
      <c r="A194" t="s">
        <v>225</v>
      </c>
      <c r="B194" t="s">
        <v>22</v>
      </c>
      <c r="C194" t="s">
        <v>23</v>
      </c>
      <c r="D194" t="s">
        <v>24</v>
      </c>
      <c r="E194" t="s">
        <v>18</v>
      </c>
      <c r="F194" t="s">
        <v>40</v>
      </c>
      <c r="G194" s="3">
        <v>87.8</v>
      </c>
      <c r="H194" s="6">
        <v>9</v>
      </c>
      <c r="I194" s="3">
        <v>39.51</v>
      </c>
      <c r="J194" s="3">
        <v>829.71</v>
      </c>
      <c r="K194" s="2">
        <v>43538</v>
      </c>
      <c r="L194" s="1">
        <v>0.79722222222222228</v>
      </c>
      <c r="M194" t="s">
        <v>26</v>
      </c>
      <c r="N194" s="3">
        <v>790.2</v>
      </c>
      <c r="O194" s="4">
        <v>4.7619047620000003</v>
      </c>
      <c r="P194" s="5">
        <v>39.51</v>
      </c>
      <c r="Q194">
        <v>9.1999999999999993</v>
      </c>
      <c r="R194" s="6">
        <f>DAY(SuperMarket_Analysis[[#This Row],[Date]])</f>
        <v>14</v>
      </c>
      <c r="S194" s="6" t="str">
        <f>TEXT(SuperMarket_Analysis[[#This Row],[Date]],"mmmm")</f>
        <v>March</v>
      </c>
      <c r="T194" s="6">
        <f>YEAR(SuperMarket_Analysis[[#This Row],[Date]])</f>
        <v>2019</v>
      </c>
    </row>
    <row r="195" spans="1:20" x14ac:dyDescent="0.3">
      <c r="A195" t="s">
        <v>226</v>
      </c>
      <c r="B195" t="s">
        <v>38</v>
      </c>
      <c r="C195" t="s">
        <v>39</v>
      </c>
      <c r="D195" t="s">
        <v>24</v>
      </c>
      <c r="E195" t="s">
        <v>174</v>
      </c>
      <c r="F195" t="s">
        <v>28</v>
      </c>
      <c r="G195" s="3">
        <v>25.55</v>
      </c>
      <c r="H195" s="6">
        <v>4</v>
      </c>
      <c r="I195" s="3">
        <v>5.1100000000000003</v>
      </c>
      <c r="J195" s="3">
        <v>107.31</v>
      </c>
      <c r="K195" s="2">
        <v>43540</v>
      </c>
      <c r="L195" s="1">
        <v>0.84930555555555554</v>
      </c>
      <c r="M195" t="s">
        <v>20</v>
      </c>
      <c r="N195" s="3">
        <v>102.2</v>
      </c>
      <c r="O195" s="4">
        <v>4.7619047620000003</v>
      </c>
      <c r="P195" s="5">
        <v>5.1100000000000003</v>
      </c>
      <c r="Q195">
        <v>5.7</v>
      </c>
      <c r="R195" s="6">
        <f>DAY(SuperMarket_Analysis[[#This Row],[Date]])</f>
        <v>16</v>
      </c>
      <c r="S195" s="6" t="str">
        <f>TEXT(SuperMarket_Analysis[[#This Row],[Date]],"mmmm")</f>
        <v>March</v>
      </c>
      <c r="T195" s="6">
        <f>YEAR(SuperMarket_Analysis[[#This Row],[Date]])</f>
        <v>2019</v>
      </c>
    </row>
    <row r="196" spans="1:20" x14ac:dyDescent="0.3">
      <c r="A196" t="s">
        <v>227</v>
      </c>
      <c r="B196" t="s">
        <v>15</v>
      </c>
      <c r="C196" t="s">
        <v>16</v>
      </c>
      <c r="D196" t="s">
        <v>24</v>
      </c>
      <c r="E196" t="s">
        <v>174</v>
      </c>
      <c r="F196" t="s">
        <v>25</v>
      </c>
      <c r="G196" s="3">
        <v>32.71</v>
      </c>
      <c r="H196" s="6">
        <v>5</v>
      </c>
      <c r="I196" s="3">
        <v>8.1775000000000002</v>
      </c>
      <c r="J196" s="3">
        <v>171.72749999999999</v>
      </c>
      <c r="K196" s="2">
        <v>43513</v>
      </c>
      <c r="L196" s="1">
        <v>0.47916666666666669</v>
      </c>
      <c r="M196" t="s">
        <v>29</v>
      </c>
      <c r="N196" s="3">
        <v>163.55000000000001</v>
      </c>
      <c r="O196" s="4">
        <v>4.7619047620000003</v>
      </c>
      <c r="P196" s="5">
        <v>8.1775000000000002</v>
      </c>
      <c r="Q196">
        <v>9.9</v>
      </c>
      <c r="R196" s="6">
        <f>DAY(SuperMarket_Analysis[[#This Row],[Date]])</f>
        <v>17</v>
      </c>
      <c r="S196" s="6" t="str">
        <f>TEXT(SuperMarket_Analysis[[#This Row],[Date]],"mmmm")</f>
        <v>February</v>
      </c>
      <c r="T196" s="6">
        <f>YEAR(SuperMarket_Analysis[[#This Row],[Date]])</f>
        <v>2019</v>
      </c>
    </row>
    <row r="197" spans="1:20" x14ac:dyDescent="0.3">
      <c r="A197" t="s">
        <v>228</v>
      </c>
      <c r="B197" t="s">
        <v>22</v>
      </c>
      <c r="C197" t="s">
        <v>23</v>
      </c>
      <c r="D197" t="s">
        <v>17</v>
      </c>
      <c r="E197" t="s">
        <v>18</v>
      </c>
      <c r="F197" t="s">
        <v>42</v>
      </c>
      <c r="G197" s="3">
        <v>74.290000000000006</v>
      </c>
      <c r="H197" s="6">
        <v>1</v>
      </c>
      <c r="I197" s="3">
        <v>3.7145000000000001</v>
      </c>
      <c r="J197" s="3">
        <v>78.004499999999993</v>
      </c>
      <c r="K197" s="2">
        <v>43523</v>
      </c>
      <c r="L197" s="1">
        <v>0.8125</v>
      </c>
      <c r="M197" t="s">
        <v>26</v>
      </c>
      <c r="N197" s="3">
        <v>74.290000000000006</v>
      </c>
      <c r="O197" s="4">
        <v>4.7619047620000003</v>
      </c>
      <c r="P197" s="5">
        <v>3.7145000000000001</v>
      </c>
      <c r="Q197">
        <v>5</v>
      </c>
      <c r="R197" s="6">
        <f>DAY(SuperMarket_Analysis[[#This Row],[Date]])</f>
        <v>27</v>
      </c>
      <c r="S197" s="6" t="str">
        <f>TEXT(SuperMarket_Analysis[[#This Row],[Date]],"mmmm")</f>
        <v>February</v>
      </c>
      <c r="T197" s="6">
        <f>YEAR(SuperMarket_Analysis[[#This Row],[Date]])</f>
        <v>2019</v>
      </c>
    </row>
    <row r="198" spans="1:20" x14ac:dyDescent="0.3">
      <c r="A198" t="s">
        <v>229</v>
      </c>
      <c r="B198" t="s">
        <v>22</v>
      </c>
      <c r="C198" t="s">
        <v>23</v>
      </c>
      <c r="D198" t="s">
        <v>17</v>
      </c>
      <c r="E198" t="s">
        <v>174</v>
      </c>
      <c r="F198" t="s">
        <v>19</v>
      </c>
      <c r="G198" s="3">
        <v>43.7</v>
      </c>
      <c r="H198" s="6">
        <v>2</v>
      </c>
      <c r="I198" s="3">
        <v>4.37</v>
      </c>
      <c r="J198" s="3">
        <v>91.77</v>
      </c>
      <c r="K198" s="2">
        <v>43486</v>
      </c>
      <c r="L198" s="1">
        <v>0.75208333333333333</v>
      </c>
      <c r="M198" t="s">
        <v>26</v>
      </c>
      <c r="N198" s="3">
        <v>87.4</v>
      </c>
      <c r="O198" s="4">
        <v>4.7619047620000003</v>
      </c>
      <c r="P198" s="5">
        <v>4.37</v>
      </c>
      <c r="Q198">
        <v>4.9000000000000004</v>
      </c>
      <c r="R198" s="6">
        <f>DAY(SuperMarket_Analysis[[#This Row],[Date]])</f>
        <v>21</v>
      </c>
      <c r="S198" s="6" t="str">
        <f>TEXT(SuperMarket_Analysis[[#This Row],[Date]],"mmmm")</f>
        <v>January</v>
      </c>
      <c r="T198" s="6">
        <f>YEAR(SuperMarket_Analysis[[#This Row],[Date]])</f>
        <v>2019</v>
      </c>
    </row>
    <row r="199" spans="1:20" x14ac:dyDescent="0.3">
      <c r="A199" t="s">
        <v>230</v>
      </c>
      <c r="B199" t="s">
        <v>15</v>
      </c>
      <c r="C199" t="s">
        <v>16</v>
      </c>
      <c r="D199" t="s">
        <v>24</v>
      </c>
      <c r="E199" t="s">
        <v>18</v>
      </c>
      <c r="F199" t="s">
        <v>28</v>
      </c>
      <c r="G199" s="3">
        <v>25.29</v>
      </c>
      <c r="H199" s="6">
        <v>1</v>
      </c>
      <c r="I199" s="3">
        <v>1.2645</v>
      </c>
      <c r="J199" s="3">
        <v>26.554500000000001</v>
      </c>
      <c r="K199" s="2">
        <v>43515</v>
      </c>
      <c r="L199" s="1">
        <v>0.42569444444444443</v>
      </c>
      <c r="M199" t="s">
        <v>20</v>
      </c>
      <c r="N199" s="3">
        <v>25.29</v>
      </c>
      <c r="O199" s="4">
        <v>4.7619047620000003</v>
      </c>
      <c r="P199" s="5">
        <v>1.2645</v>
      </c>
      <c r="Q199">
        <v>6.1</v>
      </c>
      <c r="R199" s="6">
        <f>DAY(SuperMarket_Analysis[[#This Row],[Date]])</f>
        <v>19</v>
      </c>
      <c r="S199" s="6" t="str">
        <f>TEXT(SuperMarket_Analysis[[#This Row],[Date]],"mmmm")</f>
        <v>February</v>
      </c>
      <c r="T199" s="6">
        <f>YEAR(SuperMarket_Analysis[[#This Row],[Date]])</f>
        <v>2019</v>
      </c>
    </row>
    <row r="200" spans="1:20" x14ac:dyDescent="0.3">
      <c r="A200" t="s">
        <v>231</v>
      </c>
      <c r="B200" t="s">
        <v>22</v>
      </c>
      <c r="C200" t="s">
        <v>23</v>
      </c>
      <c r="D200" t="s">
        <v>24</v>
      </c>
      <c r="E200" t="s">
        <v>174</v>
      </c>
      <c r="F200" t="s">
        <v>19</v>
      </c>
      <c r="G200" s="3">
        <v>41.5</v>
      </c>
      <c r="H200" s="6">
        <v>4</v>
      </c>
      <c r="I200" s="3">
        <v>8.3000000000000007</v>
      </c>
      <c r="J200" s="3">
        <v>174.3</v>
      </c>
      <c r="K200" s="2">
        <v>43538</v>
      </c>
      <c r="L200" s="1">
        <v>0.83194444444444449</v>
      </c>
      <c r="M200" t="s">
        <v>29</v>
      </c>
      <c r="N200" s="3">
        <v>166</v>
      </c>
      <c r="O200" s="4">
        <v>4.7619047620000003</v>
      </c>
      <c r="P200" s="5">
        <v>8.3000000000000007</v>
      </c>
      <c r="Q200">
        <v>8.1999999999999993</v>
      </c>
      <c r="R200" s="6">
        <f>DAY(SuperMarket_Analysis[[#This Row],[Date]])</f>
        <v>14</v>
      </c>
      <c r="S200" s="6" t="str">
        <f>TEXT(SuperMarket_Analysis[[#This Row],[Date]],"mmmm")</f>
        <v>March</v>
      </c>
      <c r="T200" s="6">
        <f>YEAR(SuperMarket_Analysis[[#This Row],[Date]])</f>
        <v>2019</v>
      </c>
    </row>
    <row r="201" spans="1:20" x14ac:dyDescent="0.3">
      <c r="A201" t="s">
        <v>232</v>
      </c>
      <c r="B201" t="s">
        <v>22</v>
      </c>
      <c r="C201" t="s">
        <v>23</v>
      </c>
      <c r="D201" t="s">
        <v>17</v>
      </c>
      <c r="E201" t="s">
        <v>18</v>
      </c>
      <c r="F201" t="s">
        <v>40</v>
      </c>
      <c r="G201" s="3">
        <v>71.39</v>
      </c>
      <c r="H201" s="6">
        <v>5</v>
      </c>
      <c r="I201" s="3">
        <v>17.8475</v>
      </c>
      <c r="J201" s="3">
        <v>374.79750000000001</v>
      </c>
      <c r="K201" s="2">
        <v>43548</v>
      </c>
      <c r="L201" s="1">
        <v>0.83125000000000004</v>
      </c>
      <c r="M201" t="s">
        <v>29</v>
      </c>
      <c r="N201" s="3">
        <v>356.95</v>
      </c>
      <c r="O201" s="4">
        <v>4.7619047620000003</v>
      </c>
      <c r="P201" s="5">
        <v>17.8475</v>
      </c>
      <c r="Q201">
        <v>5.5</v>
      </c>
      <c r="R201" s="6">
        <f>DAY(SuperMarket_Analysis[[#This Row],[Date]])</f>
        <v>24</v>
      </c>
      <c r="S201" s="6" t="str">
        <f>TEXT(SuperMarket_Analysis[[#This Row],[Date]],"mmmm")</f>
        <v>March</v>
      </c>
      <c r="T201" s="6">
        <f>YEAR(SuperMarket_Analysis[[#This Row],[Date]])</f>
        <v>2019</v>
      </c>
    </row>
    <row r="202" spans="1:20" x14ac:dyDescent="0.3">
      <c r="A202" t="s">
        <v>233</v>
      </c>
      <c r="B202" t="s">
        <v>22</v>
      </c>
      <c r="C202" t="s">
        <v>23</v>
      </c>
      <c r="D202" t="s">
        <v>17</v>
      </c>
      <c r="E202" t="s">
        <v>18</v>
      </c>
      <c r="F202" t="s">
        <v>32</v>
      </c>
      <c r="G202" s="3">
        <v>19.149999999999999</v>
      </c>
      <c r="H202" s="6">
        <v>6</v>
      </c>
      <c r="I202" s="3">
        <v>5.7450000000000001</v>
      </c>
      <c r="J202" s="3">
        <v>120.645</v>
      </c>
      <c r="K202" s="2">
        <v>43492</v>
      </c>
      <c r="L202" s="1">
        <v>0.41736111111111113</v>
      </c>
      <c r="M202" t="s">
        <v>29</v>
      </c>
      <c r="N202" s="3">
        <v>114.9</v>
      </c>
      <c r="O202" s="4">
        <v>4.7619047620000003</v>
      </c>
      <c r="P202" s="5">
        <v>5.7450000000000001</v>
      </c>
      <c r="Q202">
        <v>6.8</v>
      </c>
      <c r="R202" s="6">
        <f>DAY(SuperMarket_Analysis[[#This Row],[Date]])</f>
        <v>27</v>
      </c>
      <c r="S202" s="6" t="str">
        <f>TEXT(SuperMarket_Analysis[[#This Row],[Date]],"mmmm")</f>
        <v>January</v>
      </c>
      <c r="T202" s="6">
        <f>YEAR(SuperMarket_Analysis[[#This Row],[Date]])</f>
        <v>2019</v>
      </c>
    </row>
    <row r="203" spans="1:20" x14ac:dyDescent="0.3">
      <c r="A203" t="s">
        <v>234</v>
      </c>
      <c r="B203" t="s">
        <v>38</v>
      </c>
      <c r="C203" t="s">
        <v>39</v>
      </c>
      <c r="D203" t="s">
        <v>17</v>
      </c>
      <c r="E203" t="s">
        <v>18</v>
      </c>
      <c r="F203" t="s">
        <v>25</v>
      </c>
      <c r="G203" s="3">
        <v>57.49</v>
      </c>
      <c r="H203" s="6">
        <v>4</v>
      </c>
      <c r="I203" s="3">
        <v>11.497999999999999</v>
      </c>
      <c r="J203" s="3">
        <v>241.458</v>
      </c>
      <c r="K203" s="2">
        <v>43490</v>
      </c>
      <c r="L203" s="1">
        <v>0.49791666666666667</v>
      </c>
      <c r="M203" t="s">
        <v>26</v>
      </c>
      <c r="N203" s="3">
        <v>229.96</v>
      </c>
      <c r="O203" s="4">
        <v>4.7619047620000003</v>
      </c>
      <c r="P203" s="5">
        <v>11.497999999999999</v>
      </c>
      <c r="Q203">
        <v>6.6</v>
      </c>
      <c r="R203" s="6">
        <f>DAY(SuperMarket_Analysis[[#This Row],[Date]])</f>
        <v>25</v>
      </c>
      <c r="S203" s="6" t="str">
        <f>TEXT(SuperMarket_Analysis[[#This Row],[Date]],"mmmm")</f>
        <v>January</v>
      </c>
      <c r="T203" s="6">
        <f>YEAR(SuperMarket_Analysis[[#This Row],[Date]])</f>
        <v>2019</v>
      </c>
    </row>
    <row r="204" spans="1:20" x14ac:dyDescent="0.3">
      <c r="A204" t="s">
        <v>235</v>
      </c>
      <c r="B204" t="s">
        <v>22</v>
      </c>
      <c r="C204" t="s">
        <v>23</v>
      </c>
      <c r="D204" t="s">
        <v>24</v>
      </c>
      <c r="E204" t="s">
        <v>174</v>
      </c>
      <c r="F204" t="s">
        <v>25</v>
      </c>
      <c r="G204" s="3">
        <v>61.41</v>
      </c>
      <c r="H204" s="6">
        <v>7</v>
      </c>
      <c r="I204" s="3">
        <v>21.493500000000001</v>
      </c>
      <c r="J204" s="3">
        <v>451.36349999999999</v>
      </c>
      <c r="K204" s="2">
        <v>43538</v>
      </c>
      <c r="L204" s="1">
        <v>0.41805555555555557</v>
      </c>
      <c r="M204" t="s">
        <v>26</v>
      </c>
      <c r="N204" s="3">
        <v>429.87</v>
      </c>
      <c r="O204" s="4">
        <v>4.7619047620000003</v>
      </c>
      <c r="P204" s="5">
        <v>21.493500000000001</v>
      </c>
      <c r="Q204">
        <v>9.8000000000000007</v>
      </c>
      <c r="R204" s="6">
        <f>DAY(SuperMarket_Analysis[[#This Row],[Date]])</f>
        <v>14</v>
      </c>
      <c r="S204" s="6" t="str">
        <f>TEXT(SuperMarket_Analysis[[#This Row],[Date]],"mmmm")</f>
        <v>March</v>
      </c>
      <c r="T204" s="6">
        <f>YEAR(SuperMarket_Analysis[[#This Row],[Date]])</f>
        <v>2019</v>
      </c>
    </row>
    <row r="205" spans="1:20" x14ac:dyDescent="0.3">
      <c r="A205" t="s">
        <v>236</v>
      </c>
      <c r="B205" t="s">
        <v>38</v>
      </c>
      <c r="C205" t="s">
        <v>39</v>
      </c>
      <c r="D205" t="s">
        <v>17</v>
      </c>
      <c r="E205" t="s">
        <v>174</v>
      </c>
      <c r="F205" t="s">
        <v>19</v>
      </c>
      <c r="G205" s="3">
        <v>25.9</v>
      </c>
      <c r="H205" s="6">
        <v>10</v>
      </c>
      <c r="I205" s="3">
        <v>12.95</v>
      </c>
      <c r="J205" s="3">
        <v>271.95</v>
      </c>
      <c r="K205" s="2">
        <v>43494</v>
      </c>
      <c r="L205" s="1">
        <v>0.61875000000000002</v>
      </c>
      <c r="M205" t="s">
        <v>20</v>
      </c>
      <c r="N205" s="3">
        <v>259</v>
      </c>
      <c r="O205" s="4">
        <v>4.7619047620000003</v>
      </c>
      <c r="P205" s="5">
        <v>12.95</v>
      </c>
      <c r="Q205">
        <v>8.6999999999999993</v>
      </c>
      <c r="R205" s="6">
        <f>DAY(SuperMarket_Analysis[[#This Row],[Date]])</f>
        <v>29</v>
      </c>
      <c r="S205" s="6" t="str">
        <f>TEXT(SuperMarket_Analysis[[#This Row],[Date]],"mmmm")</f>
        <v>January</v>
      </c>
      <c r="T205" s="6">
        <f>YEAR(SuperMarket_Analysis[[#This Row],[Date]])</f>
        <v>2019</v>
      </c>
    </row>
    <row r="206" spans="1:20" x14ac:dyDescent="0.3">
      <c r="A206" t="s">
        <v>237</v>
      </c>
      <c r="B206" t="s">
        <v>38</v>
      </c>
      <c r="C206" t="s">
        <v>39</v>
      </c>
      <c r="D206" t="s">
        <v>17</v>
      </c>
      <c r="E206" t="s">
        <v>174</v>
      </c>
      <c r="F206" t="s">
        <v>28</v>
      </c>
      <c r="G206" s="3">
        <v>17.77</v>
      </c>
      <c r="H206" s="6">
        <v>5</v>
      </c>
      <c r="I206" s="3">
        <v>4.4424999999999999</v>
      </c>
      <c r="J206" s="3">
        <v>93.292500000000004</v>
      </c>
      <c r="K206" s="2">
        <v>43479</v>
      </c>
      <c r="L206" s="1">
        <v>0.52916666666666667</v>
      </c>
      <c r="M206" t="s">
        <v>29</v>
      </c>
      <c r="N206" s="3">
        <v>88.85</v>
      </c>
      <c r="O206" s="4">
        <v>4.7619047620000003</v>
      </c>
      <c r="P206" s="5">
        <v>4.4424999999999999</v>
      </c>
      <c r="Q206">
        <v>5.4</v>
      </c>
      <c r="R206" s="6">
        <f>DAY(SuperMarket_Analysis[[#This Row],[Date]])</f>
        <v>14</v>
      </c>
      <c r="S206" s="6" t="str">
        <f>TEXT(SuperMarket_Analysis[[#This Row],[Date]],"mmmm")</f>
        <v>January</v>
      </c>
      <c r="T206" s="6">
        <f>YEAR(SuperMarket_Analysis[[#This Row],[Date]])</f>
        <v>2019</v>
      </c>
    </row>
    <row r="207" spans="1:20" x14ac:dyDescent="0.3">
      <c r="A207" t="s">
        <v>238</v>
      </c>
      <c r="B207" t="s">
        <v>15</v>
      </c>
      <c r="C207" t="s">
        <v>16</v>
      </c>
      <c r="D207" t="s">
        <v>24</v>
      </c>
      <c r="E207" t="s">
        <v>18</v>
      </c>
      <c r="F207" t="s">
        <v>19</v>
      </c>
      <c r="G207" s="3">
        <v>23.03</v>
      </c>
      <c r="H207" s="6">
        <v>9</v>
      </c>
      <c r="I207" s="3">
        <v>10.3635</v>
      </c>
      <c r="J207" s="3">
        <v>217.6335</v>
      </c>
      <c r="K207" s="2">
        <v>43518</v>
      </c>
      <c r="L207" s="1">
        <v>0.50138888888888888</v>
      </c>
      <c r="M207" t="s">
        <v>20</v>
      </c>
      <c r="N207" s="3">
        <v>207.27</v>
      </c>
      <c r="O207" s="4">
        <v>4.7619047620000003</v>
      </c>
      <c r="P207" s="5">
        <v>10.3635</v>
      </c>
      <c r="Q207">
        <v>7.9</v>
      </c>
      <c r="R207" s="6">
        <f>DAY(SuperMarket_Analysis[[#This Row],[Date]])</f>
        <v>22</v>
      </c>
      <c r="S207" s="6" t="str">
        <f>TEXT(SuperMarket_Analysis[[#This Row],[Date]],"mmmm")</f>
        <v>February</v>
      </c>
      <c r="T207" s="6">
        <f>YEAR(SuperMarket_Analysis[[#This Row],[Date]])</f>
        <v>2019</v>
      </c>
    </row>
    <row r="208" spans="1:20" x14ac:dyDescent="0.3">
      <c r="A208" t="s">
        <v>239</v>
      </c>
      <c r="B208" t="s">
        <v>22</v>
      </c>
      <c r="C208" t="s">
        <v>23</v>
      </c>
      <c r="D208" t="s">
        <v>17</v>
      </c>
      <c r="E208" t="s">
        <v>18</v>
      </c>
      <c r="F208" t="s">
        <v>25</v>
      </c>
      <c r="G208" s="3">
        <v>66.650000000000006</v>
      </c>
      <c r="H208" s="6">
        <v>9</v>
      </c>
      <c r="I208" s="3">
        <v>29.9925</v>
      </c>
      <c r="J208" s="3">
        <v>629.84249999999997</v>
      </c>
      <c r="K208" s="2">
        <v>43495</v>
      </c>
      <c r="L208" s="1">
        <v>0.7631944444444444</v>
      </c>
      <c r="M208" t="s">
        <v>29</v>
      </c>
      <c r="N208" s="3">
        <v>599.85</v>
      </c>
      <c r="O208" s="4">
        <v>4.7619047620000003</v>
      </c>
      <c r="P208" s="5">
        <v>29.9925</v>
      </c>
      <c r="Q208">
        <v>9.6999999999999993</v>
      </c>
      <c r="R208" s="6">
        <f>DAY(SuperMarket_Analysis[[#This Row],[Date]])</f>
        <v>30</v>
      </c>
      <c r="S208" s="6" t="str">
        <f>TEXT(SuperMarket_Analysis[[#This Row],[Date]],"mmmm")</f>
        <v>January</v>
      </c>
      <c r="T208" s="6">
        <f>YEAR(SuperMarket_Analysis[[#This Row],[Date]])</f>
        <v>2019</v>
      </c>
    </row>
    <row r="209" spans="1:20" x14ac:dyDescent="0.3">
      <c r="A209" t="s">
        <v>240</v>
      </c>
      <c r="B209" t="s">
        <v>22</v>
      </c>
      <c r="C209" t="s">
        <v>23</v>
      </c>
      <c r="D209" t="s">
        <v>17</v>
      </c>
      <c r="E209" t="s">
        <v>18</v>
      </c>
      <c r="F209" t="s">
        <v>28</v>
      </c>
      <c r="G209" s="3">
        <v>28.53</v>
      </c>
      <c r="H209" s="6">
        <v>10</v>
      </c>
      <c r="I209" s="3">
        <v>14.265000000000001</v>
      </c>
      <c r="J209" s="3">
        <v>299.565</v>
      </c>
      <c r="K209" s="2">
        <v>43543</v>
      </c>
      <c r="L209" s="1">
        <v>0.73472222222222228</v>
      </c>
      <c r="M209" t="s">
        <v>20</v>
      </c>
      <c r="N209" s="3">
        <v>285.3</v>
      </c>
      <c r="O209" s="4">
        <v>4.7619047620000003</v>
      </c>
      <c r="P209" s="5">
        <v>14.265000000000001</v>
      </c>
      <c r="Q209">
        <v>7.8</v>
      </c>
      <c r="R209" s="6">
        <f>DAY(SuperMarket_Analysis[[#This Row],[Date]])</f>
        <v>19</v>
      </c>
      <c r="S209" s="6" t="str">
        <f>TEXT(SuperMarket_Analysis[[#This Row],[Date]],"mmmm")</f>
        <v>March</v>
      </c>
      <c r="T209" s="6">
        <f>YEAR(SuperMarket_Analysis[[#This Row],[Date]])</f>
        <v>2019</v>
      </c>
    </row>
    <row r="210" spans="1:20" x14ac:dyDescent="0.3">
      <c r="A210" t="s">
        <v>241</v>
      </c>
      <c r="B210" t="s">
        <v>38</v>
      </c>
      <c r="C210" t="s">
        <v>39</v>
      </c>
      <c r="D210" t="s">
        <v>24</v>
      </c>
      <c r="E210" t="s">
        <v>18</v>
      </c>
      <c r="F210" t="s">
        <v>42</v>
      </c>
      <c r="G210" s="3">
        <v>30.37</v>
      </c>
      <c r="H210" s="6">
        <v>3</v>
      </c>
      <c r="I210" s="3">
        <v>4.5555000000000003</v>
      </c>
      <c r="J210" s="3">
        <v>95.665499999999994</v>
      </c>
      <c r="K210" s="2">
        <v>43479</v>
      </c>
      <c r="L210" s="1">
        <v>0.57013888888888886</v>
      </c>
      <c r="M210" t="s">
        <v>20</v>
      </c>
      <c r="N210" s="3">
        <v>91.11</v>
      </c>
      <c r="O210" s="4">
        <v>4.7619047620000003</v>
      </c>
      <c r="P210" s="5">
        <v>4.5555000000000003</v>
      </c>
      <c r="Q210">
        <v>5.0999999999999996</v>
      </c>
      <c r="R210" s="6">
        <f>DAY(SuperMarket_Analysis[[#This Row],[Date]])</f>
        <v>14</v>
      </c>
      <c r="S210" s="6" t="str">
        <f>TEXT(SuperMarket_Analysis[[#This Row],[Date]],"mmmm")</f>
        <v>January</v>
      </c>
      <c r="T210" s="6">
        <f>YEAR(SuperMarket_Analysis[[#This Row],[Date]])</f>
        <v>2019</v>
      </c>
    </row>
    <row r="211" spans="1:20" x14ac:dyDescent="0.3">
      <c r="A211" t="s">
        <v>242</v>
      </c>
      <c r="B211" t="s">
        <v>38</v>
      </c>
      <c r="C211" t="s">
        <v>39</v>
      </c>
      <c r="D211" t="s">
        <v>24</v>
      </c>
      <c r="E211" t="s">
        <v>18</v>
      </c>
      <c r="F211" t="s">
        <v>25</v>
      </c>
      <c r="G211" s="3">
        <v>99.73</v>
      </c>
      <c r="H211" s="6">
        <v>9</v>
      </c>
      <c r="I211" s="3">
        <v>44.878500000000003</v>
      </c>
      <c r="J211" s="3">
        <v>942.44849999999997</v>
      </c>
      <c r="K211" s="2">
        <v>43496</v>
      </c>
      <c r="L211" s="1">
        <v>0.8208333333333333</v>
      </c>
      <c r="M211" t="s">
        <v>29</v>
      </c>
      <c r="N211" s="3">
        <v>897.57</v>
      </c>
      <c r="O211" s="4">
        <v>4.7619047620000003</v>
      </c>
      <c r="P211" s="5">
        <v>44.878500000000003</v>
      </c>
      <c r="Q211">
        <v>6.5</v>
      </c>
      <c r="R211" s="6">
        <f>DAY(SuperMarket_Analysis[[#This Row],[Date]])</f>
        <v>31</v>
      </c>
      <c r="S211" s="6" t="str">
        <f>TEXT(SuperMarket_Analysis[[#This Row],[Date]],"mmmm")</f>
        <v>January</v>
      </c>
      <c r="T211" s="6">
        <f>YEAR(SuperMarket_Analysis[[#This Row],[Date]])</f>
        <v>2019</v>
      </c>
    </row>
    <row r="212" spans="1:20" x14ac:dyDescent="0.3">
      <c r="A212" t="s">
        <v>243</v>
      </c>
      <c r="B212" t="s">
        <v>15</v>
      </c>
      <c r="C212" t="s">
        <v>16</v>
      </c>
      <c r="D212" t="s">
        <v>24</v>
      </c>
      <c r="E212" t="s">
        <v>174</v>
      </c>
      <c r="F212" t="s">
        <v>25</v>
      </c>
      <c r="G212" s="3">
        <v>26.23</v>
      </c>
      <c r="H212" s="6">
        <v>9</v>
      </c>
      <c r="I212" s="3">
        <v>11.8035</v>
      </c>
      <c r="J212" s="3">
        <v>247.87350000000001</v>
      </c>
      <c r="K212" s="2">
        <v>43516</v>
      </c>
      <c r="L212" s="1">
        <v>0.85</v>
      </c>
      <c r="M212" t="s">
        <v>20</v>
      </c>
      <c r="N212" s="3">
        <v>236.07</v>
      </c>
      <c r="O212" s="4">
        <v>4.7619047620000003</v>
      </c>
      <c r="P212" s="5">
        <v>11.8035</v>
      </c>
      <c r="Q212">
        <v>5.9</v>
      </c>
      <c r="R212" s="6">
        <f>DAY(SuperMarket_Analysis[[#This Row],[Date]])</f>
        <v>20</v>
      </c>
      <c r="S212" s="6" t="str">
        <f>TEXT(SuperMarket_Analysis[[#This Row],[Date]],"mmmm")</f>
        <v>February</v>
      </c>
      <c r="T212" s="6">
        <f>YEAR(SuperMarket_Analysis[[#This Row],[Date]])</f>
        <v>2019</v>
      </c>
    </row>
    <row r="213" spans="1:20" x14ac:dyDescent="0.3">
      <c r="A213" t="s">
        <v>244</v>
      </c>
      <c r="B213" t="s">
        <v>22</v>
      </c>
      <c r="C213" t="s">
        <v>23</v>
      </c>
      <c r="D213" t="s">
        <v>24</v>
      </c>
      <c r="E213" t="s">
        <v>18</v>
      </c>
      <c r="F213" t="s">
        <v>40</v>
      </c>
      <c r="G213" s="3">
        <v>93.26</v>
      </c>
      <c r="H213" s="6">
        <v>9</v>
      </c>
      <c r="I213" s="3">
        <v>41.966999999999999</v>
      </c>
      <c r="J213" s="3">
        <v>881.30700000000002</v>
      </c>
      <c r="K213" s="2">
        <v>43492</v>
      </c>
      <c r="L213" s="1">
        <v>0.75555555555555554</v>
      </c>
      <c r="M213" t="s">
        <v>26</v>
      </c>
      <c r="N213" s="3">
        <v>839.34</v>
      </c>
      <c r="O213" s="4">
        <v>4.7619047620000003</v>
      </c>
      <c r="P213" s="5">
        <v>41.966999999999999</v>
      </c>
      <c r="Q213">
        <v>8.8000000000000007</v>
      </c>
      <c r="R213" s="6">
        <f>DAY(SuperMarket_Analysis[[#This Row],[Date]])</f>
        <v>27</v>
      </c>
      <c r="S213" s="6" t="str">
        <f>TEXT(SuperMarket_Analysis[[#This Row],[Date]],"mmmm")</f>
        <v>January</v>
      </c>
      <c r="T213" s="6">
        <f>YEAR(SuperMarket_Analysis[[#This Row],[Date]])</f>
        <v>2019</v>
      </c>
    </row>
    <row r="214" spans="1:20" x14ac:dyDescent="0.3">
      <c r="A214" t="s">
        <v>245</v>
      </c>
      <c r="B214" t="s">
        <v>38</v>
      </c>
      <c r="C214" t="s">
        <v>39</v>
      </c>
      <c r="D214" t="s">
        <v>24</v>
      </c>
      <c r="E214" t="s">
        <v>174</v>
      </c>
      <c r="F214" t="s">
        <v>28</v>
      </c>
      <c r="G214" s="3">
        <v>92.36</v>
      </c>
      <c r="H214" s="6">
        <v>5</v>
      </c>
      <c r="I214" s="3">
        <v>23.09</v>
      </c>
      <c r="J214" s="3">
        <v>484.89</v>
      </c>
      <c r="K214" s="2">
        <v>43511</v>
      </c>
      <c r="L214" s="1">
        <v>0.80347222222222225</v>
      </c>
      <c r="M214" t="s">
        <v>20</v>
      </c>
      <c r="N214" s="3">
        <v>461.8</v>
      </c>
      <c r="O214" s="4">
        <v>4.7619047620000003</v>
      </c>
      <c r="P214" s="5">
        <v>23.09</v>
      </c>
      <c r="Q214">
        <v>4.9000000000000004</v>
      </c>
      <c r="R214" s="6">
        <f>DAY(SuperMarket_Analysis[[#This Row],[Date]])</f>
        <v>15</v>
      </c>
      <c r="S214" s="6" t="str">
        <f>TEXT(SuperMarket_Analysis[[#This Row],[Date]],"mmmm")</f>
        <v>February</v>
      </c>
      <c r="T214" s="6">
        <f>YEAR(SuperMarket_Analysis[[#This Row],[Date]])</f>
        <v>2019</v>
      </c>
    </row>
    <row r="215" spans="1:20" x14ac:dyDescent="0.3">
      <c r="A215" t="s">
        <v>246</v>
      </c>
      <c r="B215" t="s">
        <v>38</v>
      </c>
      <c r="C215" t="s">
        <v>39</v>
      </c>
      <c r="D215" t="s">
        <v>24</v>
      </c>
      <c r="E215" t="s">
        <v>174</v>
      </c>
      <c r="F215" t="s">
        <v>32</v>
      </c>
      <c r="G215" s="3">
        <v>46.42</v>
      </c>
      <c r="H215" s="6">
        <v>3</v>
      </c>
      <c r="I215" s="3">
        <v>6.9630000000000001</v>
      </c>
      <c r="J215" s="3">
        <v>146.22300000000001</v>
      </c>
      <c r="K215" s="2">
        <v>43491</v>
      </c>
      <c r="L215" s="1">
        <v>0.55833333333333335</v>
      </c>
      <c r="M215" t="s">
        <v>29</v>
      </c>
      <c r="N215" s="3">
        <v>139.26</v>
      </c>
      <c r="O215" s="4">
        <v>4.7619047620000003</v>
      </c>
      <c r="P215" s="5">
        <v>6.9630000000000001</v>
      </c>
      <c r="Q215">
        <v>4.4000000000000004</v>
      </c>
      <c r="R215" s="6">
        <f>DAY(SuperMarket_Analysis[[#This Row],[Date]])</f>
        <v>26</v>
      </c>
      <c r="S215" s="6" t="str">
        <f>TEXT(SuperMarket_Analysis[[#This Row],[Date]],"mmmm")</f>
        <v>January</v>
      </c>
      <c r="T215" s="6">
        <f>YEAR(SuperMarket_Analysis[[#This Row],[Date]])</f>
        <v>2019</v>
      </c>
    </row>
    <row r="216" spans="1:20" x14ac:dyDescent="0.3">
      <c r="A216" t="s">
        <v>247</v>
      </c>
      <c r="B216" t="s">
        <v>38</v>
      </c>
      <c r="C216" t="s">
        <v>39</v>
      </c>
      <c r="D216" t="s">
        <v>17</v>
      </c>
      <c r="E216" t="s">
        <v>18</v>
      </c>
      <c r="F216" t="s">
        <v>32</v>
      </c>
      <c r="G216" s="3">
        <v>29.61</v>
      </c>
      <c r="H216" s="6">
        <v>7</v>
      </c>
      <c r="I216" s="3">
        <v>10.3635</v>
      </c>
      <c r="J216" s="3">
        <v>217.6335</v>
      </c>
      <c r="K216" s="2">
        <v>43509</v>
      </c>
      <c r="L216" s="1">
        <v>0.66180555555555554</v>
      </c>
      <c r="M216" t="s">
        <v>26</v>
      </c>
      <c r="N216" s="3">
        <v>207.27</v>
      </c>
      <c r="O216" s="4">
        <v>4.7619047620000003</v>
      </c>
      <c r="P216" s="5">
        <v>10.3635</v>
      </c>
      <c r="Q216">
        <v>6.5</v>
      </c>
      <c r="R216" s="6">
        <f>DAY(SuperMarket_Analysis[[#This Row],[Date]])</f>
        <v>13</v>
      </c>
      <c r="S216" s="6" t="str">
        <f>TEXT(SuperMarket_Analysis[[#This Row],[Date]],"mmmm")</f>
        <v>February</v>
      </c>
      <c r="T216" s="6">
        <f>YEAR(SuperMarket_Analysis[[#This Row],[Date]])</f>
        <v>2019</v>
      </c>
    </row>
    <row r="217" spans="1:20" x14ac:dyDescent="0.3">
      <c r="A217" t="s">
        <v>248</v>
      </c>
      <c r="B217" t="s">
        <v>15</v>
      </c>
      <c r="C217" t="s">
        <v>16</v>
      </c>
      <c r="D217" t="s">
        <v>24</v>
      </c>
      <c r="E217" t="s">
        <v>174</v>
      </c>
      <c r="F217" t="s">
        <v>28</v>
      </c>
      <c r="G217" s="3">
        <v>18.28</v>
      </c>
      <c r="H217" s="6">
        <v>1</v>
      </c>
      <c r="I217" s="3">
        <v>0.91400000000000003</v>
      </c>
      <c r="J217" s="3">
        <v>19.193999999999999</v>
      </c>
      <c r="K217" s="2">
        <v>43489</v>
      </c>
      <c r="L217" s="1">
        <v>0.62847222222222221</v>
      </c>
      <c r="M217" t="s">
        <v>29</v>
      </c>
      <c r="N217" s="3">
        <v>18.28</v>
      </c>
      <c r="O217" s="4">
        <v>4.7619047620000003</v>
      </c>
      <c r="P217" s="5">
        <v>0.91400000000000003</v>
      </c>
      <c r="Q217">
        <v>8.3000000000000007</v>
      </c>
      <c r="R217" s="6">
        <f>DAY(SuperMarket_Analysis[[#This Row],[Date]])</f>
        <v>24</v>
      </c>
      <c r="S217" s="6" t="str">
        <f>TEXT(SuperMarket_Analysis[[#This Row],[Date]],"mmmm")</f>
        <v>January</v>
      </c>
      <c r="T217" s="6">
        <f>YEAR(SuperMarket_Analysis[[#This Row],[Date]])</f>
        <v>2019</v>
      </c>
    </row>
    <row r="218" spans="1:20" x14ac:dyDescent="0.3">
      <c r="A218" t="s">
        <v>249</v>
      </c>
      <c r="B218" t="s">
        <v>38</v>
      </c>
      <c r="C218" t="s">
        <v>39</v>
      </c>
      <c r="D218" t="s">
        <v>24</v>
      </c>
      <c r="E218" t="s">
        <v>18</v>
      </c>
      <c r="F218" t="s">
        <v>32</v>
      </c>
      <c r="G218" s="3">
        <v>24.77</v>
      </c>
      <c r="H218" s="6">
        <v>5</v>
      </c>
      <c r="I218" s="3">
        <v>6.1924999999999999</v>
      </c>
      <c r="J218" s="3">
        <v>130.04249999999999</v>
      </c>
      <c r="K218" s="2">
        <v>43537</v>
      </c>
      <c r="L218" s="1">
        <v>0.76875000000000004</v>
      </c>
      <c r="M218" t="s">
        <v>26</v>
      </c>
      <c r="N218" s="3">
        <v>123.85</v>
      </c>
      <c r="O218" s="4">
        <v>4.7619047620000003</v>
      </c>
      <c r="P218" s="5">
        <v>6.1924999999999999</v>
      </c>
      <c r="Q218">
        <v>8.5</v>
      </c>
      <c r="R218" s="6">
        <f>DAY(SuperMarket_Analysis[[#This Row],[Date]])</f>
        <v>13</v>
      </c>
      <c r="S218" s="6" t="str">
        <f>TEXT(SuperMarket_Analysis[[#This Row],[Date]],"mmmm")</f>
        <v>March</v>
      </c>
      <c r="T218" s="6">
        <f>YEAR(SuperMarket_Analysis[[#This Row],[Date]])</f>
        <v>2019</v>
      </c>
    </row>
    <row r="219" spans="1:20" x14ac:dyDescent="0.3">
      <c r="A219" t="s">
        <v>250</v>
      </c>
      <c r="B219" t="s">
        <v>15</v>
      </c>
      <c r="C219" t="s">
        <v>16</v>
      </c>
      <c r="D219" t="s">
        <v>17</v>
      </c>
      <c r="E219" t="s">
        <v>18</v>
      </c>
      <c r="F219" t="s">
        <v>25</v>
      </c>
      <c r="G219" s="3">
        <v>94.64</v>
      </c>
      <c r="H219" s="6">
        <v>3</v>
      </c>
      <c r="I219" s="3">
        <v>14.196</v>
      </c>
      <c r="J219" s="3">
        <v>298.11599999999999</v>
      </c>
      <c r="K219" s="2">
        <v>43539</v>
      </c>
      <c r="L219" s="1">
        <v>0.70486111111111116</v>
      </c>
      <c r="M219" t="s">
        <v>26</v>
      </c>
      <c r="N219" s="3">
        <v>283.92</v>
      </c>
      <c r="O219" s="4">
        <v>4.7619047620000003</v>
      </c>
      <c r="P219" s="5">
        <v>14.196</v>
      </c>
      <c r="Q219">
        <v>5.5</v>
      </c>
      <c r="R219" s="6">
        <f>DAY(SuperMarket_Analysis[[#This Row],[Date]])</f>
        <v>15</v>
      </c>
      <c r="S219" s="6" t="str">
        <f>TEXT(SuperMarket_Analysis[[#This Row],[Date]],"mmmm")</f>
        <v>March</v>
      </c>
      <c r="T219" s="6">
        <f>YEAR(SuperMarket_Analysis[[#This Row],[Date]])</f>
        <v>2019</v>
      </c>
    </row>
    <row r="220" spans="1:20" x14ac:dyDescent="0.3">
      <c r="A220" t="s">
        <v>251</v>
      </c>
      <c r="B220" t="s">
        <v>38</v>
      </c>
      <c r="C220" t="s">
        <v>39</v>
      </c>
      <c r="D220" t="s">
        <v>24</v>
      </c>
      <c r="E220" t="s">
        <v>174</v>
      </c>
      <c r="F220" t="s">
        <v>42</v>
      </c>
      <c r="G220" s="3">
        <v>94.87</v>
      </c>
      <c r="H220" s="6">
        <v>8</v>
      </c>
      <c r="I220" s="3">
        <v>37.948</v>
      </c>
      <c r="J220" s="3">
        <v>796.90800000000002</v>
      </c>
      <c r="K220" s="2">
        <v>43549</v>
      </c>
      <c r="L220" s="1">
        <v>0.54027777777777775</v>
      </c>
      <c r="M220" t="s">
        <v>20</v>
      </c>
      <c r="N220" s="3">
        <v>758.96</v>
      </c>
      <c r="O220" s="4">
        <v>4.7619047620000003</v>
      </c>
      <c r="P220" s="5">
        <v>37.948</v>
      </c>
      <c r="Q220">
        <v>8.6999999999999993</v>
      </c>
      <c r="R220" s="6">
        <f>DAY(SuperMarket_Analysis[[#This Row],[Date]])</f>
        <v>25</v>
      </c>
      <c r="S220" s="6" t="str">
        <f>TEXT(SuperMarket_Analysis[[#This Row],[Date]],"mmmm")</f>
        <v>March</v>
      </c>
      <c r="T220" s="6">
        <f>YEAR(SuperMarket_Analysis[[#This Row],[Date]])</f>
        <v>2019</v>
      </c>
    </row>
    <row r="221" spans="1:20" x14ac:dyDescent="0.3">
      <c r="A221" t="s">
        <v>252</v>
      </c>
      <c r="B221" t="s">
        <v>38</v>
      </c>
      <c r="C221" t="s">
        <v>39</v>
      </c>
      <c r="D221" t="s">
        <v>24</v>
      </c>
      <c r="E221" t="s">
        <v>18</v>
      </c>
      <c r="F221" t="s">
        <v>40</v>
      </c>
      <c r="G221" s="3">
        <v>57.34</v>
      </c>
      <c r="H221" s="6">
        <v>3</v>
      </c>
      <c r="I221" s="3">
        <v>8.6010000000000009</v>
      </c>
      <c r="J221" s="3">
        <v>180.62100000000001</v>
      </c>
      <c r="K221" s="2">
        <v>43518</v>
      </c>
      <c r="L221" s="1">
        <v>0.79097222222222219</v>
      </c>
      <c r="M221" t="s">
        <v>29</v>
      </c>
      <c r="N221" s="3">
        <v>172.02</v>
      </c>
      <c r="O221" s="4">
        <v>4.7619047620000003</v>
      </c>
      <c r="P221" s="5">
        <v>8.6010000000000009</v>
      </c>
      <c r="Q221">
        <v>7.9</v>
      </c>
      <c r="R221" s="6">
        <f>DAY(SuperMarket_Analysis[[#This Row],[Date]])</f>
        <v>22</v>
      </c>
      <c r="S221" s="6" t="str">
        <f>TEXT(SuperMarket_Analysis[[#This Row],[Date]],"mmmm")</f>
        <v>February</v>
      </c>
      <c r="T221" s="6">
        <f>YEAR(SuperMarket_Analysis[[#This Row],[Date]])</f>
        <v>2019</v>
      </c>
    </row>
    <row r="222" spans="1:20" x14ac:dyDescent="0.3">
      <c r="A222" t="s">
        <v>253</v>
      </c>
      <c r="B222" t="s">
        <v>38</v>
      </c>
      <c r="C222" t="s">
        <v>39</v>
      </c>
      <c r="D222" t="s">
        <v>24</v>
      </c>
      <c r="E222" t="s">
        <v>174</v>
      </c>
      <c r="F222" t="s">
        <v>25</v>
      </c>
      <c r="G222" s="3">
        <v>45.35</v>
      </c>
      <c r="H222" s="6">
        <v>6</v>
      </c>
      <c r="I222" s="3">
        <v>13.605</v>
      </c>
      <c r="J222" s="3">
        <v>285.70499999999998</v>
      </c>
      <c r="K222" s="2">
        <v>43512</v>
      </c>
      <c r="L222" s="1">
        <v>0.57222222222222219</v>
      </c>
      <c r="M222" t="s">
        <v>20</v>
      </c>
      <c r="N222" s="3">
        <v>272.10000000000002</v>
      </c>
      <c r="O222" s="4">
        <v>4.7619047620000003</v>
      </c>
      <c r="P222" s="5">
        <v>13.605</v>
      </c>
      <c r="Q222">
        <v>6.1</v>
      </c>
      <c r="R222" s="6">
        <f>DAY(SuperMarket_Analysis[[#This Row],[Date]])</f>
        <v>16</v>
      </c>
      <c r="S222" s="6" t="str">
        <f>TEXT(SuperMarket_Analysis[[#This Row],[Date]],"mmmm")</f>
        <v>February</v>
      </c>
      <c r="T222" s="6">
        <f>YEAR(SuperMarket_Analysis[[#This Row],[Date]])</f>
        <v>2019</v>
      </c>
    </row>
    <row r="223" spans="1:20" x14ac:dyDescent="0.3">
      <c r="A223" t="s">
        <v>254</v>
      </c>
      <c r="B223" t="s">
        <v>38</v>
      </c>
      <c r="C223" t="s">
        <v>39</v>
      </c>
      <c r="D223" t="s">
        <v>24</v>
      </c>
      <c r="E223" t="s">
        <v>174</v>
      </c>
      <c r="F223" t="s">
        <v>40</v>
      </c>
      <c r="G223" s="3">
        <v>62.08</v>
      </c>
      <c r="H223" s="6">
        <v>7</v>
      </c>
      <c r="I223" s="3">
        <v>21.728000000000002</v>
      </c>
      <c r="J223" s="3">
        <v>456.28800000000001</v>
      </c>
      <c r="K223" s="2">
        <v>43484</v>
      </c>
      <c r="L223" s="1">
        <v>0.57361111111111107</v>
      </c>
      <c r="M223" t="s">
        <v>20</v>
      </c>
      <c r="N223" s="3">
        <v>434.56</v>
      </c>
      <c r="O223" s="4">
        <v>4.7619047620000003</v>
      </c>
      <c r="P223" s="5">
        <v>21.728000000000002</v>
      </c>
      <c r="Q223">
        <v>5.4</v>
      </c>
      <c r="R223" s="6">
        <f>DAY(SuperMarket_Analysis[[#This Row],[Date]])</f>
        <v>19</v>
      </c>
      <c r="S223" s="6" t="str">
        <f>TEXT(SuperMarket_Analysis[[#This Row],[Date]],"mmmm")</f>
        <v>January</v>
      </c>
      <c r="T223" s="6">
        <f>YEAR(SuperMarket_Analysis[[#This Row],[Date]])</f>
        <v>2019</v>
      </c>
    </row>
    <row r="224" spans="1:20" x14ac:dyDescent="0.3">
      <c r="A224" t="s">
        <v>255</v>
      </c>
      <c r="B224" t="s">
        <v>22</v>
      </c>
      <c r="C224" t="s">
        <v>23</v>
      </c>
      <c r="D224" t="s">
        <v>24</v>
      </c>
      <c r="E224" t="s">
        <v>174</v>
      </c>
      <c r="F224" t="s">
        <v>25</v>
      </c>
      <c r="G224" s="3">
        <v>11.81</v>
      </c>
      <c r="H224" s="6">
        <v>5</v>
      </c>
      <c r="I224" s="3">
        <v>2.9525000000000001</v>
      </c>
      <c r="J224" s="3">
        <v>62.002499999999998</v>
      </c>
      <c r="K224" s="2">
        <v>43493</v>
      </c>
      <c r="L224" s="1">
        <v>0.75416666666666665</v>
      </c>
      <c r="M224" t="s">
        <v>26</v>
      </c>
      <c r="N224" s="3">
        <v>59.05</v>
      </c>
      <c r="O224" s="4">
        <v>4.7619047620000003</v>
      </c>
      <c r="P224" s="5">
        <v>2.9525000000000001</v>
      </c>
      <c r="Q224">
        <v>9.4</v>
      </c>
      <c r="R224" s="6">
        <f>DAY(SuperMarket_Analysis[[#This Row],[Date]])</f>
        <v>28</v>
      </c>
      <c r="S224" s="6" t="str">
        <f>TEXT(SuperMarket_Analysis[[#This Row],[Date]],"mmmm")</f>
        <v>January</v>
      </c>
      <c r="T224" s="6">
        <f>YEAR(SuperMarket_Analysis[[#This Row],[Date]])</f>
        <v>2019</v>
      </c>
    </row>
    <row r="225" spans="1:20" x14ac:dyDescent="0.3">
      <c r="A225" t="s">
        <v>256</v>
      </c>
      <c r="B225" t="s">
        <v>22</v>
      </c>
      <c r="C225" t="s">
        <v>23</v>
      </c>
      <c r="D225" t="s">
        <v>17</v>
      </c>
      <c r="E225" t="s">
        <v>18</v>
      </c>
      <c r="F225" t="s">
        <v>42</v>
      </c>
      <c r="G225" s="3">
        <v>12.54</v>
      </c>
      <c r="H225" s="6">
        <v>1</v>
      </c>
      <c r="I225" s="3">
        <v>0.627</v>
      </c>
      <c r="J225" s="3">
        <v>13.167</v>
      </c>
      <c r="K225" s="2">
        <v>43490</v>
      </c>
      <c r="L225" s="1">
        <v>0.52638888888888891</v>
      </c>
      <c r="M225" t="s">
        <v>26</v>
      </c>
      <c r="N225" s="3">
        <v>12.54</v>
      </c>
      <c r="O225" s="4">
        <v>4.7619047620000003</v>
      </c>
      <c r="P225" s="5">
        <v>0.627</v>
      </c>
      <c r="Q225">
        <v>8.1999999999999993</v>
      </c>
      <c r="R225" s="6">
        <f>DAY(SuperMarket_Analysis[[#This Row],[Date]])</f>
        <v>25</v>
      </c>
      <c r="S225" s="6" t="str">
        <f>TEXT(SuperMarket_Analysis[[#This Row],[Date]],"mmmm")</f>
        <v>January</v>
      </c>
      <c r="T225" s="6">
        <f>YEAR(SuperMarket_Analysis[[#This Row],[Date]])</f>
        <v>2019</v>
      </c>
    </row>
    <row r="226" spans="1:20" x14ac:dyDescent="0.3">
      <c r="A226" t="s">
        <v>257</v>
      </c>
      <c r="B226" t="s">
        <v>15</v>
      </c>
      <c r="C226" t="s">
        <v>16</v>
      </c>
      <c r="D226" t="s">
        <v>24</v>
      </c>
      <c r="E226" t="s">
        <v>174</v>
      </c>
      <c r="F226" t="s">
        <v>40</v>
      </c>
      <c r="G226" s="3">
        <v>43.25</v>
      </c>
      <c r="H226" s="6">
        <v>2</v>
      </c>
      <c r="I226" s="3">
        <v>4.3250000000000002</v>
      </c>
      <c r="J226" s="3">
        <v>90.825000000000003</v>
      </c>
      <c r="K226" s="2">
        <v>43546</v>
      </c>
      <c r="L226" s="1">
        <v>0.66388888888888886</v>
      </c>
      <c r="M226" t="s">
        <v>26</v>
      </c>
      <c r="N226" s="3">
        <v>86.5</v>
      </c>
      <c r="O226" s="4">
        <v>4.7619047620000003</v>
      </c>
      <c r="P226" s="5">
        <v>4.3250000000000002</v>
      </c>
      <c r="Q226">
        <v>6.2</v>
      </c>
      <c r="R226" s="6">
        <f>DAY(SuperMarket_Analysis[[#This Row],[Date]])</f>
        <v>22</v>
      </c>
      <c r="S226" s="6" t="str">
        <f>TEXT(SuperMarket_Analysis[[#This Row],[Date]],"mmmm")</f>
        <v>March</v>
      </c>
      <c r="T226" s="6">
        <f>YEAR(SuperMarket_Analysis[[#This Row],[Date]])</f>
        <v>2019</v>
      </c>
    </row>
    <row r="227" spans="1:20" x14ac:dyDescent="0.3">
      <c r="A227" t="s">
        <v>258</v>
      </c>
      <c r="B227" t="s">
        <v>22</v>
      </c>
      <c r="C227" t="s">
        <v>23</v>
      </c>
      <c r="D227" t="s">
        <v>17</v>
      </c>
      <c r="E227" t="s">
        <v>18</v>
      </c>
      <c r="F227" t="s">
        <v>32</v>
      </c>
      <c r="G227" s="3">
        <v>87.16</v>
      </c>
      <c r="H227" s="6">
        <v>2</v>
      </c>
      <c r="I227" s="3">
        <v>8.7159999999999993</v>
      </c>
      <c r="J227" s="3">
        <v>183.036</v>
      </c>
      <c r="K227" s="2">
        <v>43490</v>
      </c>
      <c r="L227" s="1">
        <v>0.60347222222222219</v>
      </c>
      <c r="M227" t="s">
        <v>29</v>
      </c>
      <c r="N227" s="3">
        <v>174.32</v>
      </c>
      <c r="O227" s="4">
        <v>4.7619047620000003</v>
      </c>
      <c r="P227" s="5">
        <v>8.7159999999999993</v>
      </c>
      <c r="Q227">
        <v>9.6999999999999993</v>
      </c>
      <c r="R227" s="6">
        <f>DAY(SuperMarket_Analysis[[#This Row],[Date]])</f>
        <v>25</v>
      </c>
      <c r="S227" s="6" t="str">
        <f>TEXT(SuperMarket_Analysis[[#This Row],[Date]],"mmmm")</f>
        <v>January</v>
      </c>
      <c r="T227" s="6">
        <f>YEAR(SuperMarket_Analysis[[#This Row],[Date]])</f>
        <v>2019</v>
      </c>
    </row>
    <row r="228" spans="1:20" x14ac:dyDescent="0.3">
      <c r="A228" t="s">
        <v>259</v>
      </c>
      <c r="B228" t="s">
        <v>38</v>
      </c>
      <c r="C228" t="s">
        <v>39</v>
      </c>
      <c r="D228" t="s">
        <v>17</v>
      </c>
      <c r="E228" t="s">
        <v>174</v>
      </c>
      <c r="F228" t="s">
        <v>19</v>
      </c>
      <c r="G228" s="3">
        <v>69.37</v>
      </c>
      <c r="H228" s="6">
        <v>9</v>
      </c>
      <c r="I228" s="3">
        <v>31.2165</v>
      </c>
      <c r="J228" s="3">
        <v>655.54650000000004</v>
      </c>
      <c r="K228" s="2">
        <v>43487</v>
      </c>
      <c r="L228" s="1">
        <v>0.80138888888888893</v>
      </c>
      <c r="M228" t="s">
        <v>20</v>
      </c>
      <c r="N228" s="3">
        <v>624.33000000000004</v>
      </c>
      <c r="O228" s="4">
        <v>4.7619047620000003</v>
      </c>
      <c r="P228" s="5">
        <v>31.2165</v>
      </c>
      <c r="Q228">
        <v>4</v>
      </c>
      <c r="R228" s="6">
        <f>DAY(SuperMarket_Analysis[[#This Row],[Date]])</f>
        <v>22</v>
      </c>
      <c r="S228" s="6" t="str">
        <f>TEXT(SuperMarket_Analysis[[#This Row],[Date]],"mmmm")</f>
        <v>January</v>
      </c>
      <c r="T228" s="6">
        <f>YEAR(SuperMarket_Analysis[[#This Row],[Date]])</f>
        <v>2019</v>
      </c>
    </row>
    <row r="229" spans="1:20" x14ac:dyDescent="0.3">
      <c r="A229" t="s">
        <v>260</v>
      </c>
      <c r="B229" t="s">
        <v>22</v>
      </c>
      <c r="C229" t="s">
        <v>23</v>
      </c>
      <c r="D229" t="s">
        <v>17</v>
      </c>
      <c r="E229" t="s">
        <v>174</v>
      </c>
      <c r="F229" t="s">
        <v>25</v>
      </c>
      <c r="G229" s="3">
        <v>37.06</v>
      </c>
      <c r="H229" s="6">
        <v>4</v>
      </c>
      <c r="I229" s="3">
        <v>7.4119999999999999</v>
      </c>
      <c r="J229" s="3">
        <v>155.65199999999999</v>
      </c>
      <c r="K229" s="2">
        <v>43552</v>
      </c>
      <c r="L229" s="1">
        <v>0.68333333333333335</v>
      </c>
      <c r="M229" t="s">
        <v>20</v>
      </c>
      <c r="N229" s="3">
        <v>148.24</v>
      </c>
      <c r="O229" s="4">
        <v>4.7619047620000003</v>
      </c>
      <c r="P229" s="5">
        <v>7.4119999999999999</v>
      </c>
      <c r="Q229">
        <v>9.6999999999999993</v>
      </c>
      <c r="R229" s="6">
        <f>DAY(SuperMarket_Analysis[[#This Row],[Date]])</f>
        <v>28</v>
      </c>
      <c r="S229" s="6" t="str">
        <f>TEXT(SuperMarket_Analysis[[#This Row],[Date]],"mmmm")</f>
        <v>March</v>
      </c>
      <c r="T229" s="6">
        <f>YEAR(SuperMarket_Analysis[[#This Row],[Date]])</f>
        <v>2019</v>
      </c>
    </row>
    <row r="230" spans="1:20" x14ac:dyDescent="0.3">
      <c r="A230" t="s">
        <v>261</v>
      </c>
      <c r="B230" t="s">
        <v>38</v>
      </c>
      <c r="C230" t="s">
        <v>39</v>
      </c>
      <c r="D230" t="s">
        <v>17</v>
      </c>
      <c r="E230" t="s">
        <v>18</v>
      </c>
      <c r="F230" t="s">
        <v>25</v>
      </c>
      <c r="G230" s="3">
        <v>90.7</v>
      </c>
      <c r="H230" s="6">
        <v>6</v>
      </c>
      <c r="I230" s="3">
        <v>27.21</v>
      </c>
      <c r="J230" s="3">
        <v>571.41</v>
      </c>
      <c r="K230" s="2">
        <v>43488</v>
      </c>
      <c r="L230" s="1">
        <v>0.45277777777777778</v>
      </c>
      <c r="M230" t="s">
        <v>26</v>
      </c>
      <c r="N230" s="3">
        <v>544.20000000000005</v>
      </c>
      <c r="O230" s="4">
        <v>4.7619047620000003</v>
      </c>
      <c r="P230" s="5">
        <v>27.21</v>
      </c>
      <c r="Q230">
        <v>5.3</v>
      </c>
      <c r="R230" s="6">
        <f>DAY(SuperMarket_Analysis[[#This Row],[Date]])</f>
        <v>23</v>
      </c>
      <c r="S230" s="6" t="str">
        <f>TEXT(SuperMarket_Analysis[[#This Row],[Date]],"mmmm")</f>
        <v>January</v>
      </c>
      <c r="T230" s="6">
        <f>YEAR(SuperMarket_Analysis[[#This Row],[Date]])</f>
        <v>2019</v>
      </c>
    </row>
    <row r="231" spans="1:20" x14ac:dyDescent="0.3">
      <c r="A231" t="s">
        <v>262</v>
      </c>
      <c r="B231" t="s">
        <v>15</v>
      </c>
      <c r="C231" t="s">
        <v>16</v>
      </c>
      <c r="D231" t="s">
        <v>24</v>
      </c>
      <c r="E231" t="s">
        <v>18</v>
      </c>
      <c r="F231" t="s">
        <v>28</v>
      </c>
      <c r="G231" s="3">
        <v>63.42</v>
      </c>
      <c r="H231" s="6">
        <v>8</v>
      </c>
      <c r="I231" s="3">
        <v>25.367999999999999</v>
      </c>
      <c r="J231" s="3">
        <v>532.72799999999995</v>
      </c>
      <c r="K231" s="2">
        <v>43543</v>
      </c>
      <c r="L231" s="1">
        <v>0.53819444444444442</v>
      </c>
      <c r="M231" t="s">
        <v>20</v>
      </c>
      <c r="N231" s="3">
        <v>507.36</v>
      </c>
      <c r="O231" s="4">
        <v>4.7619047620000003</v>
      </c>
      <c r="P231" s="5">
        <v>25.367999999999999</v>
      </c>
      <c r="Q231">
        <v>7.4</v>
      </c>
      <c r="R231" s="6">
        <f>DAY(SuperMarket_Analysis[[#This Row],[Date]])</f>
        <v>19</v>
      </c>
      <c r="S231" s="6" t="str">
        <f>TEXT(SuperMarket_Analysis[[#This Row],[Date]],"mmmm")</f>
        <v>March</v>
      </c>
      <c r="T231" s="6">
        <f>YEAR(SuperMarket_Analysis[[#This Row],[Date]])</f>
        <v>2019</v>
      </c>
    </row>
    <row r="232" spans="1:20" x14ac:dyDescent="0.3">
      <c r="A232" t="s">
        <v>263</v>
      </c>
      <c r="B232" t="s">
        <v>38</v>
      </c>
      <c r="C232" t="s">
        <v>39</v>
      </c>
      <c r="D232" t="s">
        <v>24</v>
      </c>
      <c r="E232" t="s">
        <v>18</v>
      </c>
      <c r="F232" t="s">
        <v>42</v>
      </c>
      <c r="G232" s="3">
        <v>81.37</v>
      </c>
      <c r="H232" s="6">
        <v>2</v>
      </c>
      <c r="I232" s="3">
        <v>8.1370000000000005</v>
      </c>
      <c r="J232" s="3">
        <v>170.87700000000001</v>
      </c>
      <c r="K232" s="2">
        <v>43486</v>
      </c>
      <c r="L232" s="1">
        <v>0.81111111111111112</v>
      </c>
      <c r="M232" t="s">
        <v>26</v>
      </c>
      <c r="N232" s="3">
        <v>162.74</v>
      </c>
      <c r="O232" s="4">
        <v>4.7619047620000003</v>
      </c>
      <c r="P232" s="5">
        <v>8.1370000000000005</v>
      </c>
      <c r="Q232">
        <v>6.5</v>
      </c>
      <c r="R232" s="6">
        <f>DAY(SuperMarket_Analysis[[#This Row],[Date]])</f>
        <v>21</v>
      </c>
      <c r="S232" s="6" t="str">
        <f>TEXT(SuperMarket_Analysis[[#This Row],[Date]],"mmmm")</f>
        <v>January</v>
      </c>
      <c r="T232" s="6">
        <f>YEAR(SuperMarket_Analysis[[#This Row],[Date]])</f>
        <v>2019</v>
      </c>
    </row>
    <row r="233" spans="1:20" x14ac:dyDescent="0.3">
      <c r="A233" t="s">
        <v>264</v>
      </c>
      <c r="B233" t="s">
        <v>38</v>
      </c>
      <c r="C233" t="s">
        <v>39</v>
      </c>
      <c r="D233" t="s">
        <v>17</v>
      </c>
      <c r="E233" t="s">
        <v>18</v>
      </c>
      <c r="F233" t="s">
        <v>25</v>
      </c>
      <c r="G233" s="3">
        <v>10.59</v>
      </c>
      <c r="H233" s="6">
        <v>3</v>
      </c>
      <c r="I233" s="3">
        <v>1.5885</v>
      </c>
      <c r="J233" s="3">
        <v>33.358499999999999</v>
      </c>
      <c r="K233" s="2">
        <v>43544</v>
      </c>
      <c r="L233" s="1">
        <v>0.57777777777777772</v>
      </c>
      <c r="M233" t="s">
        <v>29</v>
      </c>
      <c r="N233" s="3">
        <v>31.77</v>
      </c>
      <c r="O233" s="4">
        <v>4.7619047620000003</v>
      </c>
      <c r="P233" s="5">
        <v>1.5885</v>
      </c>
      <c r="Q233">
        <v>8.6999999999999993</v>
      </c>
      <c r="R233" s="6">
        <f>DAY(SuperMarket_Analysis[[#This Row],[Date]])</f>
        <v>20</v>
      </c>
      <c r="S233" s="6" t="str">
        <f>TEXT(SuperMarket_Analysis[[#This Row],[Date]],"mmmm")</f>
        <v>March</v>
      </c>
      <c r="T233" s="6">
        <f>YEAR(SuperMarket_Analysis[[#This Row],[Date]])</f>
        <v>2019</v>
      </c>
    </row>
    <row r="234" spans="1:20" x14ac:dyDescent="0.3">
      <c r="A234" t="s">
        <v>265</v>
      </c>
      <c r="B234" t="s">
        <v>38</v>
      </c>
      <c r="C234" t="s">
        <v>39</v>
      </c>
      <c r="D234" t="s">
        <v>24</v>
      </c>
      <c r="E234" t="s">
        <v>18</v>
      </c>
      <c r="F234" t="s">
        <v>19</v>
      </c>
      <c r="G234" s="3">
        <v>84.09</v>
      </c>
      <c r="H234" s="6">
        <v>9</v>
      </c>
      <c r="I234" s="3">
        <v>37.840499999999999</v>
      </c>
      <c r="J234" s="3">
        <v>794.65049999999997</v>
      </c>
      <c r="K234" s="2">
        <v>43523</v>
      </c>
      <c r="L234" s="1">
        <v>0.45416666666666666</v>
      </c>
      <c r="M234" t="s">
        <v>26</v>
      </c>
      <c r="N234" s="3">
        <v>756.81</v>
      </c>
      <c r="O234" s="4">
        <v>4.7619047620000003</v>
      </c>
      <c r="P234" s="5">
        <v>37.840499999999999</v>
      </c>
      <c r="Q234">
        <v>8</v>
      </c>
      <c r="R234" s="6">
        <f>DAY(SuperMarket_Analysis[[#This Row],[Date]])</f>
        <v>27</v>
      </c>
      <c r="S234" s="6" t="str">
        <f>TEXT(SuperMarket_Analysis[[#This Row],[Date]],"mmmm")</f>
        <v>February</v>
      </c>
      <c r="T234" s="6">
        <f>YEAR(SuperMarket_Analysis[[#This Row],[Date]])</f>
        <v>2019</v>
      </c>
    </row>
    <row r="235" spans="1:20" x14ac:dyDescent="0.3">
      <c r="A235" t="s">
        <v>266</v>
      </c>
      <c r="B235" t="s">
        <v>38</v>
      </c>
      <c r="C235" t="s">
        <v>39</v>
      </c>
      <c r="D235" t="s">
        <v>17</v>
      </c>
      <c r="E235" t="s">
        <v>174</v>
      </c>
      <c r="F235" t="s">
        <v>42</v>
      </c>
      <c r="G235" s="3">
        <v>73.819999999999993</v>
      </c>
      <c r="H235" s="6">
        <v>4</v>
      </c>
      <c r="I235" s="3">
        <v>14.763999999999999</v>
      </c>
      <c r="J235" s="3">
        <v>310.04399999999998</v>
      </c>
      <c r="K235" s="2">
        <v>43496</v>
      </c>
      <c r="L235" s="1">
        <v>0.77152777777777781</v>
      </c>
      <c r="M235" t="s">
        <v>26</v>
      </c>
      <c r="N235" s="3">
        <v>295.27999999999997</v>
      </c>
      <c r="O235" s="4">
        <v>4.7619047620000003</v>
      </c>
      <c r="P235" s="5">
        <v>14.763999999999999</v>
      </c>
      <c r="Q235">
        <v>6.7</v>
      </c>
      <c r="R235" s="6">
        <f>DAY(SuperMarket_Analysis[[#This Row],[Date]])</f>
        <v>31</v>
      </c>
      <c r="S235" s="6" t="str">
        <f>TEXT(SuperMarket_Analysis[[#This Row],[Date]],"mmmm")</f>
        <v>January</v>
      </c>
      <c r="T235" s="6">
        <f>YEAR(SuperMarket_Analysis[[#This Row],[Date]])</f>
        <v>2019</v>
      </c>
    </row>
    <row r="236" spans="1:20" x14ac:dyDescent="0.3">
      <c r="A236" t="s">
        <v>267</v>
      </c>
      <c r="B236" t="s">
        <v>15</v>
      </c>
      <c r="C236" t="s">
        <v>16</v>
      </c>
      <c r="D236" t="s">
        <v>17</v>
      </c>
      <c r="E236" t="s">
        <v>174</v>
      </c>
      <c r="F236" t="s">
        <v>19</v>
      </c>
      <c r="G236" s="3">
        <v>51.94</v>
      </c>
      <c r="H236" s="6">
        <v>10</v>
      </c>
      <c r="I236" s="3">
        <v>25.97</v>
      </c>
      <c r="J236" s="3">
        <v>545.37</v>
      </c>
      <c r="K236" s="2">
        <v>43478</v>
      </c>
      <c r="L236" s="1">
        <v>0.76666666666666672</v>
      </c>
      <c r="M236" t="s">
        <v>20</v>
      </c>
      <c r="N236" s="3">
        <v>519.4</v>
      </c>
      <c r="O236" s="4">
        <v>4.7619047620000003</v>
      </c>
      <c r="P236" s="5">
        <v>25.97</v>
      </c>
      <c r="Q236">
        <v>6.5</v>
      </c>
      <c r="R236" s="6">
        <f>DAY(SuperMarket_Analysis[[#This Row],[Date]])</f>
        <v>13</v>
      </c>
      <c r="S236" s="6" t="str">
        <f>TEXT(SuperMarket_Analysis[[#This Row],[Date]],"mmmm")</f>
        <v>January</v>
      </c>
      <c r="T236" s="6">
        <f>YEAR(SuperMarket_Analysis[[#This Row],[Date]])</f>
        <v>2019</v>
      </c>
    </row>
    <row r="237" spans="1:20" x14ac:dyDescent="0.3">
      <c r="A237" t="s">
        <v>268</v>
      </c>
      <c r="B237" t="s">
        <v>15</v>
      </c>
      <c r="C237" t="s">
        <v>16</v>
      </c>
      <c r="D237" t="s">
        <v>24</v>
      </c>
      <c r="E237" t="s">
        <v>18</v>
      </c>
      <c r="F237" t="s">
        <v>32</v>
      </c>
      <c r="G237" s="3">
        <v>93.14</v>
      </c>
      <c r="H237" s="6">
        <v>2</v>
      </c>
      <c r="I237" s="3">
        <v>9.3140000000000001</v>
      </c>
      <c r="J237" s="3">
        <v>195.59399999999999</v>
      </c>
      <c r="K237" s="2">
        <v>43518</v>
      </c>
      <c r="L237" s="1">
        <v>0.75624999999999998</v>
      </c>
      <c r="M237" t="s">
        <v>20</v>
      </c>
      <c r="N237" s="3">
        <v>186.28</v>
      </c>
      <c r="O237" s="4">
        <v>4.7619047620000003</v>
      </c>
      <c r="P237" s="5">
        <v>9.3140000000000001</v>
      </c>
      <c r="Q237">
        <v>4.0999999999999996</v>
      </c>
      <c r="R237" s="6">
        <f>DAY(SuperMarket_Analysis[[#This Row],[Date]])</f>
        <v>22</v>
      </c>
      <c r="S237" s="6" t="str">
        <f>TEXT(SuperMarket_Analysis[[#This Row],[Date]],"mmmm")</f>
        <v>February</v>
      </c>
      <c r="T237" s="6">
        <f>YEAR(SuperMarket_Analysis[[#This Row],[Date]])</f>
        <v>2019</v>
      </c>
    </row>
    <row r="238" spans="1:20" x14ac:dyDescent="0.3">
      <c r="A238" t="s">
        <v>269</v>
      </c>
      <c r="B238" t="s">
        <v>22</v>
      </c>
      <c r="C238" t="s">
        <v>23</v>
      </c>
      <c r="D238" t="s">
        <v>24</v>
      </c>
      <c r="E238" t="s">
        <v>174</v>
      </c>
      <c r="F238" t="s">
        <v>19</v>
      </c>
      <c r="G238" s="3">
        <v>17.41</v>
      </c>
      <c r="H238" s="6">
        <v>5</v>
      </c>
      <c r="I238" s="3">
        <v>4.3525</v>
      </c>
      <c r="J238" s="3">
        <v>91.402500000000003</v>
      </c>
      <c r="K238" s="2">
        <v>43543</v>
      </c>
      <c r="L238" s="1">
        <v>0.63611111111111107</v>
      </c>
      <c r="M238" t="s">
        <v>29</v>
      </c>
      <c r="N238" s="3">
        <v>87.05</v>
      </c>
      <c r="O238" s="4">
        <v>4.7619047620000003</v>
      </c>
      <c r="P238" s="5">
        <v>4.3525</v>
      </c>
      <c r="Q238">
        <v>4.9000000000000004</v>
      </c>
      <c r="R238" s="6">
        <f>DAY(SuperMarket_Analysis[[#This Row],[Date]])</f>
        <v>19</v>
      </c>
      <c r="S238" s="6" t="str">
        <f>TEXT(SuperMarket_Analysis[[#This Row],[Date]],"mmmm")</f>
        <v>March</v>
      </c>
      <c r="T238" s="6">
        <f>YEAR(SuperMarket_Analysis[[#This Row],[Date]])</f>
        <v>2019</v>
      </c>
    </row>
    <row r="239" spans="1:20" x14ac:dyDescent="0.3">
      <c r="A239" t="s">
        <v>270</v>
      </c>
      <c r="B239" t="s">
        <v>22</v>
      </c>
      <c r="C239" t="s">
        <v>23</v>
      </c>
      <c r="D239" t="s">
        <v>17</v>
      </c>
      <c r="E239" t="s">
        <v>18</v>
      </c>
      <c r="F239" t="s">
        <v>42</v>
      </c>
      <c r="G239" s="3">
        <v>44.22</v>
      </c>
      <c r="H239" s="6">
        <v>5</v>
      </c>
      <c r="I239" s="3">
        <v>11.055</v>
      </c>
      <c r="J239" s="3">
        <v>232.155</v>
      </c>
      <c r="K239" s="2">
        <v>43485</v>
      </c>
      <c r="L239" s="1">
        <v>0.71319444444444446</v>
      </c>
      <c r="M239" t="s">
        <v>29</v>
      </c>
      <c r="N239" s="3">
        <v>221.1</v>
      </c>
      <c r="O239" s="4">
        <v>4.7619047620000003</v>
      </c>
      <c r="P239" s="5">
        <v>11.055</v>
      </c>
      <c r="Q239">
        <v>8.6</v>
      </c>
      <c r="R239" s="6">
        <f>DAY(SuperMarket_Analysis[[#This Row],[Date]])</f>
        <v>20</v>
      </c>
      <c r="S239" s="6" t="str">
        <f>TEXT(SuperMarket_Analysis[[#This Row],[Date]],"mmmm")</f>
        <v>January</v>
      </c>
      <c r="T239" s="6">
        <f>YEAR(SuperMarket_Analysis[[#This Row],[Date]])</f>
        <v>2019</v>
      </c>
    </row>
    <row r="240" spans="1:20" x14ac:dyDescent="0.3">
      <c r="A240" t="s">
        <v>271</v>
      </c>
      <c r="B240" t="s">
        <v>38</v>
      </c>
      <c r="C240" t="s">
        <v>39</v>
      </c>
      <c r="D240" t="s">
        <v>17</v>
      </c>
      <c r="E240" t="s">
        <v>18</v>
      </c>
      <c r="F240" t="s">
        <v>25</v>
      </c>
      <c r="G240" s="3">
        <v>13.22</v>
      </c>
      <c r="H240" s="6">
        <v>5</v>
      </c>
      <c r="I240" s="3">
        <v>3.3050000000000002</v>
      </c>
      <c r="J240" s="3">
        <v>69.405000000000001</v>
      </c>
      <c r="K240" s="2">
        <v>43480</v>
      </c>
      <c r="L240" s="1">
        <v>0.80972222222222223</v>
      </c>
      <c r="M240" t="s">
        <v>26</v>
      </c>
      <c r="N240" s="3">
        <v>66.099999999999994</v>
      </c>
      <c r="O240" s="4">
        <v>4.7619047620000003</v>
      </c>
      <c r="P240" s="5">
        <v>3.3050000000000002</v>
      </c>
      <c r="Q240">
        <v>4.3</v>
      </c>
      <c r="R240" s="6">
        <f>DAY(SuperMarket_Analysis[[#This Row],[Date]])</f>
        <v>15</v>
      </c>
      <c r="S240" s="6" t="str">
        <f>TEXT(SuperMarket_Analysis[[#This Row],[Date]],"mmmm")</f>
        <v>January</v>
      </c>
      <c r="T240" s="6">
        <f>YEAR(SuperMarket_Analysis[[#This Row],[Date]])</f>
        <v>2019</v>
      </c>
    </row>
    <row r="241" spans="1:20" x14ac:dyDescent="0.3">
      <c r="A241" t="s">
        <v>272</v>
      </c>
      <c r="B241" t="s">
        <v>15</v>
      </c>
      <c r="C241" t="s">
        <v>16</v>
      </c>
      <c r="D241" t="s">
        <v>24</v>
      </c>
      <c r="E241" t="s">
        <v>174</v>
      </c>
      <c r="F241" t="s">
        <v>42</v>
      </c>
      <c r="G241" s="3">
        <v>89.69</v>
      </c>
      <c r="H241" s="6">
        <v>1</v>
      </c>
      <c r="I241" s="3">
        <v>4.4844999999999997</v>
      </c>
      <c r="J241" s="3">
        <v>94.174499999999995</v>
      </c>
      <c r="K241" s="2">
        <v>43546</v>
      </c>
      <c r="L241" s="1">
        <v>0.47222222222222221</v>
      </c>
      <c r="M241" t="s">
        <v>20</v>
      </c>
      <c r="N241" s="3">
        <v>89.69</v>
      </c>
      <c r="O241" s="4">
        <v>4.7619047620000003</v>
      </c>
      <c r="P241" s="5">
        <v>4.4844999999999997</v>
      </c>
      <c r="Q241">
        <v>4.9000000000000004</v>
      </c>
      <c r="R241" s="6">
        <f>DAY(SuperMarket_Analysis[[#This Row],[Date]])</f>
        <v>22</v>
      </c>
      <c r="S241" s="6" t="str">
        <f>TEXT(SuperMarket_Analysis[[#This Row],[Date]],"mmmm")</f>
        <v>March</v>
      </c>
      <c r="T241" s="6">
        <f>YEAR(SuperMarket_Analysis[[#This Row],[Date]])</f>
        <v>2019</v>
      </c>
    </row>
    <row r="242" spans="1:20" x14ac:dyDescent="0.3">
      <c r="A242" t="s">
        <v>273</v>
      </c>
      <c r="B242" t="s">
        <v>15</v>
      </c>
      <c r="C242" t="s">
        <v>16</v>
      </c>
      <c r="D242" t="s">
        <v>24</v>
      </c>
      <c r="E242" t="s">
        <v>174</v>
      </c>
      <c r="F242" t="s">
        <v>40</v>
      </c>
      <c r="G242" s="3">
        <v>24.94</v>
      </c>
      <c r="H242" s="6">
        <v>9</v>
      </c>
      <c r="I242" s="3">
        <v>11.223000000000001</v>
      </c>
      <c r="J242" s="3">
        <v>235.68299999999999</v>
      </c>
      <c r="K242" s="2">
        <v>43480</v>
      </c>
      <c r="L242" s="1">
        <v>0.7006944444444444</v>
      </c>
      <c r="M242" t="s">
        <v>29</v>
      </c>
      <c r="N242" s="3">
        <v>224.46</v>
      </c>
      <c r="O242" s="4">
        <v>4.7619047620000003</v>
      </c>
      <c r="P242" s="5">
        <v>11.223000000000001</v>
      </c>
      <c r="Q242">
        <v>5.6</v>
      </c>
      <c r="R242" s="6">
        <f>DAY(SuperMarket_Analysis[[#This Row],[Date]])</f>
        <v>15</v>
      </c>
      <c r="S242" s="6" t="str">
        <f>TEXT(SuperMarket_Analysis[[#This Row],[Date]],"mmmm")</f>
        <v>January</v>
      </c>
      <c r="T242" s="6">
        <f>YEAR(SuperMarket_Analysis[[#This Row],[Date]])</f>
        <v>2019</v>
      </c>
    </row>
    <row r="243" spans="1:20" x14ac:dyDescent="0.3">
      <c r="A243" t="s">
        <v>274</v>
      </c>
      <c r="B243" t="s">
        <v>15</v>
      </c>
      <c r="C243" t="s">
        <v>16</v>
      </c>
      <c r="D243" t="s">
        <v>24</v>
      </c>
      <c r="E243" t="s">
        <v>174</v>
      </c>
      <c r="F243" t="s">
        <v>19</v>
      </c>
      <c r="G243" s="3">
        <v>59.77</v>
      </c>
      <c r="H243" s="6">
        <v>2</v>
      </c>
      <c r="I243" s="3">
        <v>5.9770000000000003</v>
      </c>
      <c r="J243" s="3">
        <v>125.517</v>
      </c>
      <c r="K243" s="2">
        <v>43480</v>
      </c>
      <c r="L243" s="1">
        <v>0.50069444444444444</v>
      </c>
      <c r="M243" t="s">
        <v>29</v>
      </c>
      <c r="N243" s="3">
        <v>119.54</v>
      </c>
      <c r="O243" s="4">
        <v>4.7619047620000003</v>
      </c>
      <c r="P243" s="5">
        <v>5.9770000000000003</v>
      </c>
      <c r="Q243">
        <v>5.8</v>
      </c>
      <c r="R243" s="6">
        <f>DAY(SuperMarket_Analysis[[#This Row],[Date]])</f>
        <v>15</v>
      </c>
      <c r="S243" s="6" t="str">
        <f>TEXT(SuperMarket_Analysis[[#This Row],[Date]],"mmmm")</f>
        <v>January</v>
      </c>
      <c r="T243" s="6">
        <f>YEAR(SuperMarket_Analysis[[#This Row],[Date]])</f>
        <v>2019</v>
      </c>
    </row>
    <row r="244" spans="1:20" x14ac:dyDescent="0.3">
      <c r="A244" t="s">
        <v>275</v>
      </c>
      <c r="B244" t="s">
        <v>22</v>
      </c>
      <c r="C244" t="s">
        <v>23</v>
      </c>
      <c r="D244" t="s">
        <v>17</v>
      </c>
      <c r="E244" t="s">
        <v>174</v>
      </c>
      <c r="F244" t="s">
        <v>42</v>
      </c>
      <c r="G244" s="3">
        <v>93.2</v>
      </c>
      <c r="H244" s="6">
        <v>2</v>
      </c>
      <c r="I244" s="3">
        <v>9.32</v>
      </c>
      <c r="J244" s="3">
        <v>195.72</v>
      </c>
      <c r="K244" s="2">
        <v>43493</v>
      </c>
      <c r="L244" s="1">
        <v>0.77569444444444446</v>
      </c>
      <c r="M244" t="s">
        <v>29</v>
      </c>
      <c r="N244" s="3">
        <v>186.4</v>
      </c>
      <c r="O244" s="4">
        <v>4.7619047620000003</v>
      </c>
      <c r="P244" s="5">
        <v>9.32</v>
      </c>
      <c r="Q244">
        <v>6</v>
      </c>
      <c r="R244" s="6">
        <f>DAY(SuperMarket_Analysis[[#This Row],[Date]])</f>
        <v>28</v>
      </c>
      <c r="S244" s="6" t="str">
        <f>TEXT(SuperMarket_Analysis[[#This Row],[Date]],"mmmm")</f>
        <v>January</v>
      </c>
      <c r="T244" s="6">
        <f>YEAR(SuperMarket_Analysis[[#This Row],[Date]])</f>
        <v>2019</v>
      </c>
    </row>
    <row r="245" spans="1:20" x14ac:dyDescent="0.3">
      <c r="A245" t="s">
        <v>276</v>
      </c>
      <c r="B245" t="s">
        <v>15</v>
      </c>
      <c r="C245" t="s">
        <v>16</v>
      </c>
      <c r="D245" t="s">
        <v>17</v>
      </c>
      <c r="E245" t="s">
        <v>174</v>
      </c>
      <c r="F245" t="s">
        <v>28</v>
      </c>
      <c r="G245" s="3">
        <v>62.65</v>
      </c>
      <c r="H245" s="6">
        <v>4</v>
      </c>
      <c r="I245" s="3">
        <v>12.53</v>
      </c>
      <c r="J245" s="3">
        <v>263.13</v>
      </c>
      <c r="K245" s="2">
        <v>43510</v>
      </c>
      <c r="L245" s="1">
        <v>0.47569444444444442</v>
      </c>
      <c r="M245" t="s">
        <v>26</v>
      </c>
      <c r="N245" s="3">
        <v>250.6</v>
      </c>
      <c r="O245" s="4">
        <v>4.7619047620000003</v>
      </c>
      <c r="P245" s="5">
        <v>12.53</v>
      </c>
      <c r="Q245">
        <v>4.2</v>
      </c>
      <c r="R245" s="6">
        <f>DAY(SuperMarket_Analysis[[#This Row],[Date]])</f>
        <v>14</v>
      </c>
      <c r="S245" s="6" t="str">
        <f>TEXT(SuperMarket_Analysis[[#This Row],[Date]],"mmmm")</f>
        <v>February</v>
      </c>
      <c r="T245" s="6">
        <f>YEAR(SuperMarket_Analysis[[#This Row],[Date]])</f>
        <v>2019</v>
      </c>
    </row>
    <row r="246" spans="1:20" x14ac:dyDescent="0.3">
      <c r="A246" t="s">
        <v>277</v>
      </c>
      <c r="B246" t="s">
        <v>38</v>
      </c>
      <c r="C246" t="s">
        <v>39</v>
      </c>
      <c r="D246" t="s">
        <v>24</v>
      </c>
      <c r="E246" t="s">
        <v>174</v>
      </c>
      <c r="F246" t="s">
        <v>28</v>
      </c>
      <c r="G246" s="3">
        <v>93.87</v>
      </c>
      <c r="H246" s="6">
        <v>8</v>
      </c>
      <c r="I246" s="3">
        <v>37.548000000000002</v>
      </c>
      <c r="J246" s="3">
        <v>788.50800000000004</v>
      </c>
      <c r="K246" s="2">
        <v>43550</v>
      </c>
      <c r="L246" s="1">
        <v>0.77916666666666667</v>
      </c>
      <c r="M246" t="s">
        <v>29</v>
      </c>
      <c r="N246" s="3">
        <v>750.96</v>
      </c>
      <c r="O246" s="4">
        <v>4.7619047620000003</v>
      </c>
      <c r="P246" s="5">
        <v>37.548000000000002</v>
      </c>
      <c r="Q246">
        <v>8.3000000000000007</v>
      </c>
      <c r="R246" s="6">
        <f>DAY(SuperMarket_Analysis[[#This Row],[Date]])</f>
        <v>26</v>
      </c>
      <c r="S246" s="6" t="str">
        <f>TEXT(SuperMarket_Analysis[[#This Row],[Date]],"mmmm")</f>
        <v>March</v>
      </c>
      <c r="T246" s="6">
        <f>YEAR(SuperMarket_Analysis[[#This Row],[Date]])</f>
        <v>2019</v>
      </c>
    </row>
    <row r="247" spans="1:20" x14ac:dyDescent="0.3">
      <c r="A247" t="s">
        <v>278</v>
      </c>
      <c r="B247" t="s">
        <v>15</v>
      </c>
      <c r="C247" t="s">
        <v>16</v>
      </c>
      <c r="D247" t="s">
        <v>17</v>
      </c>
      <c r="E247" t="s">
        <v>174</v>
      </c>
      <c r="F247" t="s">
        <v>28</v>
      </c>
      <c r="G247" s="3">
        <v>47.59</v>
      </c>
      <c r="H247" s="6">
        <v>8</v>
      </c>
      <c r="I247" s="3">
        <v>19.036000000000001</v>
      </c>
      <c r="J247" s="3">
        <v>399.75599999999997</v>
      </c>
      <c r="K247" s="2">
        <v>43540</v>
      </c>
      <c r="L247" s="1">
        <v>0.61597222222222225</v>
      </c>
      <c r="M247" t="s">
        <v>26</v>
      </c>
      <c r="N247" s="3">
        <v>380.72</v>
      </c>
      <c r="O247" s="4">
        <v>4.7619047620000003</v>
      </c>
      <c r="P247" s="5">
        <v>19.036000000000001</v>
      </c>
      <c r="Q247">
        <v>5.7</v>
      </c>
      <c r="R247" s="6">
        <f>DAY(SuperMarket_Analysis[[#This Row],[Date]])</f>
        <v>16</v>
      </c>
      <c r="S247" s="6" t="str">
        <f>TEXT(SuperMarket_Analysis[[#This Row],[Date]],"mmmm")</f>
        <v>March</v>
      </c>
      <c r="T247" s="6">
        <f>YEAR(SuperMarket_Analysis[[#This Row],[Date]])</f>
        <v>2019</v>
      </c>
    </row>
    <row r="248" spans="1:20" x14ac:dyDescent="0.3">
      <c r="A248" t="s">
        <v>279</v>
      </c>
      <c r="B248" t="s">
        <v>38</v>
      </c>
      <c r="C248" t="s">
        <v>39</v>
      </c>
      <c r="D248" t="s">
        <v>17</v>
      </c>
      <c r="E248" t="s">
        <v>18</v>
      </c>
      <c r="F248" t="s">
        <v>25</v>
      </c>
      <c r="G248" s="3">
        <v>81.400000000000006</v>
      </c>
      <c r="H248" s="6">
        <v>3</v>
      </c>
      <c r="I248" s="3">
        <v>12.21</v>
      </c>
      <c r="J248" s="3">
        <v>256.41000000000003</v>
      </c>
      <c r="K248" s="2">
        <v>43496</v>
      </c>
      <c r="L248" s="1">
        <v>0.82152777777777775</v>
      </c>
      <c r="M248" t="s">
        <v>26</v>
      </c>
      <c r="N248" s="3">
        <v>244.2</v>
      </c>
      <c r="O248" s="4">
        <v>4.7619047620000003</v>
      </c>
      <c r="P248" s="5">
        <v>12.21</v>
      </c>
      <c r="Q248">
        <v>4.8</v>
      </c>
      <c r="R248" s="6">
        <f>DAY(SuperMarket_Analysis[[#This Row],[Date]])</f>
        <v>31</v>
      </c>
      <c r="S248" s="6" t="str">
        <f>TEXT(SuperMarket_Analysis[[#This Row],[Date]],"mmmm")</f>
        <v>January</v>
      </c>
      <c r="T248" s="6">
        <f>YEAR(SuperMarket_Analysis[[#This Row],[Date]])</f>
        <v>2019</v>
      </c>
    </row>
    <row r="249" spans="1:20" x14ac:dyDescent="0.3">
      <c r="A249" t="s">
        <v>280</v>
      </c>
      <c r="B249" t="s">
        <v>15</v>
      </c>
      <c r="C249" t="s">
        <v>16</v>
      </c>
      <c r="D249" t="s">
        <v>17</v>
      </c>
      <c r="E249" t="s">
        <v>174</v>
      </c>
      <c r="F249" t="s">
        <v>42</v>
      </c>
      <c r="G249" s="3">
        <v>17.940000000000001</v>
      </c>
      <c r="H249" s="6">
        <v>5</v>
      </c>
      <c r="I249" s="3">
        <v>4.4850000000000003</v>
      </c>
      <c r="J249" s="3">
        <v>94.185000000000002</v>
      </c>
      <c r="K249" s="2">
        <v>43509</v>
      </c>
      <c r="L249" s="1">
        <v>0.58611111111111114</v>
      </c>
      <c r="M249" t="s">
        <v>20</v>
      </c>
      <c r="N249" s="3">
        <v>89.7</v>
      </c>
      <c r="O249" s="4">
        <v>4.7619047620000003</v>
      </c>
      <c r="P249" s="5">
        <v>4.4850000000000003</v>
      </c>
      <c r="Q249">
        <v>6.8</v>
      </c>
      <c r="R249" s="6">
        <f>DAY(SuperMarket_Analysis[[#This Row],[Date]])</f>
        <v>13</v>
      </c>
      <c r="S249" s="6" t="str">
        <f>TEXT(SuperMarket_Analysis[[#This Row],[Date]],"mmmm")</f>
        <v>February</v>
      </c>
      <c r="T249" s="6">
        <f>YEAR(SuperMarket_Analysis[[#This Row],[Date]])</f>
        <v>2019</v>
      </c>
    </row>
    <row r="250" spans="1:20" x14ac:dyDescent="0.3">
      <c r="A250" t="s">
        <v>281</v>
      </c>
      <c r="B250" t="s">
        <v>15</v>
      </c>
      <c r="C250" t="s">
        <v>16</v>
      </c>
      <c r="D250" t="s">
        <v>17</v>
      </c>
      <c r="E250" t="s">
        <v>174</v>
      </c>
      <c r="F250" t="s">
        <v>25</v>
      </c>
      <c r="G250" s="3">
        <v>77.72</v>
      </c>
      <c r="H250" s="6">
        <v>4</v>
      </c>
      <c r="I250" s="3">
        <v>15.544</v>
      </c>
      <c r="J250" s="3">
        <v>326.42399999999998</v>
      </c>
      <c r="K250" s="2">
        <v>43511</v>
      </c>
      <c r="L250" s="1">
        <v>0.6743055555555556</v>
      </c>
      <c r="M250" t="s">
        <v>29</v>
      </c>
      <c r="N250" s="3">
        <v>310.88</v>
      </c>
      <c r="O250" s="4">
        <v>4.7619047620000003</v>
      </c>
      <c r="P250" s="5">
        <v>15.544</v>
      </c>
      <c r="Q250">
        <v>8.8000000000000007</v>
      </c>
      <c r="R250" s="6">
        <f>DAY(SuperMarket_Analysis[[#This Row],[Date]])</f>
        <v>15</v>
      </c>
      <c r="S250" s="6" t="str">
        <f>TEXT(SuperMarket_Analysis[[#This Row],[Date]],"mmmm")</f>
        <v>February</v>
      </c>
      <c r="T250" s="6">
        <f>YEAR(SuperMarket_Analysis[[#This Row],[Date]])</f>
        <v>2019</v>
      </c>
    </row>
    <row r="251" spans="1:20" x14ac:dyDescent="0.3">
      <c r="A251" t="s">
        <v>282</v>
      </c>
      <c r="B251" t="s">
        <v>38</v>
      </c>
      <c r="C251" t="s">
        <v>39</v>
      </c>
      <c r="D251" t="s">
        <v>24</v>
      </c>
      <c r="E251" t="s">
        <v>174</v>
      </c>
      <c r="F251" t="s">
        <v>40</v>
      </c>
      <c r="G251" s="3">
        <v>73.06</v>
      </c>
      <c r="H251" s="6">
        <v>7</v>
      </c>
      <c r="I251" s="3">
        <v>25.571000000000002</v>
      </c>
      <c r="J251" s="3">
        <v>536.99099999999999</v>
      </c>
      <c r="K251" s="2">
        <v>43492</v>
      </c>
      <c r="L251" s="1">
        <v>0.79583333333333328</v>
      </c>
      <c r="M251" t="s">
        <v>29</v>
      </c>
      <c r="N251" s="3">
        <v>511.42</v>
      </c>
      <c r="O251" s="4">
        <v>4.7619047620000003</v>
      </c>
      <c r="P251" s="5">
        <v>25.571000000000002</v>
      </c>
      <c r="Q251">
        <v>4.2</v>
      </c>
      <c r="R251" s="6">
        <f>DAY(SuperMarket_Analysis[[#This Row],[Date]])</f>
        <v>27</v>
      </c>
      <c r="S251" s="6" t="str">
        <f>TEXT(SuperMarket_Analysis[[#This Row],[Date]],"mmmm")</f>
        <v>January</v>
      </c>
      <c r="T251" s="6">
        <f>YEAR(SuperMarket_Analysis[[#This Row],[Date]])</f>
        <v>2019</v>
      </c>
    </row>
    <row r="252" spans="1:20" x14ac:dyDescent="0.3">
      <c r="A252" t="s">
        <v>283</v>
      </c>
      <c r="B252" t="s">
        <v>38</v>
      </c>
      <c r="C252" t="s">
        <v>39</v>
      </c>
      <c r="D252" t="s">
        <v>17</v>
      </c>
      <c r="E252" t="s">
        <v>174</v>
      </c>
      <c r="F252" t="s">
        <v>40</v>
      </c>
      <c r="G252" s="3">
        <v>46.55</v>
      </c>
      <c r="H252" s="6">
        <v>9</v>
      </c>
      <c r="I252" s="3">
        <v>20.947500000000002</v>
      </c>
      <c r="J252" s="3">
        <v>439.89749999999998</v>
      </c>
      <c r="K252" s="2">
        <v>43519</v>
      </c>
      <c r="L252" s="1">
        <v>0.64861111111111114</v>
      </c>
      <c r="M252" t="s">
        <v>20</v>
      </c>
      <c r="N252" s="3">
        <v>418.95</v>
      </c>
      <c r="O252" s="4">
        <v>4.7619047620000003</v>
      </c>
      <c r="P252" s="5">
        <v>20.947500000000002</v>
      </c>
      <c r="Q252">
        <v>6.4</v>
      </c>
      <c r="R252" s="6">
        <f>DAY(SuperMarket_Analysis[[#This Row],[Date]])</f>
        <v>23</v>
      </c>
      <c r="S252" s="6" t="str">
        <f>TEXT(SuperMarket_Analysis[[#This Row],[Date]],"mmmm")</f>
        <v>February</v>
      </c>
      <c r="T252" s="6">
        <f>YEAR(SuperMarket_Analysis[[#This Row],[Date]])</f>
        <v>2019</v>
      </c>
    </row>
    <row r="253" spans="1:20" x14ac:dyDescent="0.3">
      <c r="A253" t="s">
        <v>284</v>
      </c>
      <c r="B253" t="s">
        <v>22</v>
      </c>
      <c r="C253" t="s">
        <v>23</v>
      </c>
      <c r="D253" t="s">
        <v>17</v>
      </c>
      <c r="E253" t="s">
        <v>174</v>
      </c>
      <c r="F253" t="s">
        <v>42</v>
      </c>
      <c r="G253" s="3">
        <v>35.19</v>
      </c>
      <c r="H253" s="6">
        <v>10</v>
      </c>
      <c r="I253" s="3">
        <v>17.594999999999999</v>
      </c>
      <c r="J253" s="3">
        <v>369.495</v>
      </c>
      <c r="K253" s="2">
        <v>43541</v>
      </c>
      <c r="L253" s="1">
        <v>0.79583333333333328</v>
      </c>
      <c r="M253" t="s">
        <v>29</v>
      </c>
      <c r="N253" s="3">
        <v>351.9</v>
      </c>
      <c r="O253" s="4">
        <v>4.7619047620000003</v>
      </c>
      <c r="P253" s="5">
        <v>17.594999999999999</v>
      </c>
      <c r="Q253">
        <v>8.4</v>
      </c>
      <c r="R253" s="6">
        <f>DAY(SuperMarket_Analysis[[#This Row],[Date]])</f>
        <v>17</v>
      </c>
      <c r="S253" s="6" t="str">
        <f>TEXT(SuperMarket_Analysis[[#This Row],[Date]],"mmmm")</f>
        <v>March</v>
      </c>
      <c r="T253" s="6">
        <f>YEAR(SuperMarket_Analysis[[#This Row],[Date]])</f>
        <v>2019</v>
      </c>
    </row>
    <row r="254" spans="1:20" x14ac:dyDescent="0.3">
      <c r="A254" t="s">
        <v>285</v>
      </c>
      <c r="B254" t="s">
        <v>22</v>
      </c>
      <c r="C254" t="s">
        <v>23</v>
      </c>
      <c r="D254" t="s">
        <v>24</v>
      </c>
      <c r="E254" t="s">
        <v>18</v>
      </c>
      <c r="F254" t="s">
        <v>32</v>
      </c>
      <c r="G254" s="3">
        <v>14.39</v>
      </c>
      <c r="H254" s="6">
        <v>2</v>
      </c>
      <c r="I254" s="3">
        <v>1.4390000000000001</v>
      </c>
      <c r="J254" s="3">
        <v>30.219000000000001</v>
      </c>
      <c r="K254" s="2">
        <v>43552</v>
      </c>
      <c r="L254" s="1">
        <v>0.82222222222222219</v>
      </c>
      <c r="M254" t="s">
        <v>29</v>
      </c>
      <c r="N254" s="3">
        <v>28.78</v>
      </c>
      <c r="O254" s="4">
        <v>4.7619047620000003</v>
      </c>
      <c r="P254" s="5">
        <v>1.4390000000000001</v>
      </c>
      <c r="Q254">
        <v>7.2</v>
      </c>
      <c r="R254" s="6">
        <f>DAY(SuperMarket_Analysis[[#This Row],[Date]])</f>
        <v>28</v>
      </c>
      <c r="S254" s="6" t="str">
        <f>TEXT(SuperMarket_Analysis[[#This Row],[Date]],"mmmm")</f>
        <v>March</v>
      </c>
      <c r="T254" s="6">
        <f>YEAR(SuperMarket_Analysis[[#This Row],[Date]])</f>
        <v>2019</v>
      </c>
    </row>
    <row r="255" spans="1:20" x14ac:dyDescent="0.3">
      <c r="A255" t="s">
        <v>286</v>
      </c>
      <c r="B255" t="s">
        <v>15</v>
      </c>
      <c r="C255" t="s">
        <v>16</v>
      </c>
      <c r="D255" t="s">
        <v>24</v>
      </c>
      <c r="E255" t="s">
        <v>174</v>
      </c>
      <c r="F255" t="s">
        <v>28</v>
      </c>
      <c r="G255" s="3">
        <v>23.75</v>
      </c>
      <c r="H255" s="6">
        <v>4</v>
      </c>
      <c r="I255" s="3">
        <v>4.75</v>
      </c>
      <c r="J255" s="3">
        <v>99.75</v>
      </c>
      <c r="K255" s="2">
        <v>43546</v>
      </c>
      <c r="L255" s="1">
        <v>0.47361111111111109</v>
      </c>
      <c r="M255" t="s">
        <v>26</v>
      </c>
      <c r="N255" s="3">
        <v>95</v>
      </c>
      <c r="O255" s="4">
        <v>4.7619047620000003</v>
      </c>
      <c r="P255" s="5">
        <v>4.75</v>
      </c>
      <c r="Q255">
        <v>5.2</v>
      </c>
      <c r="R255" s="6">
        <f>DAY(SuperMarket_Analysis[[#This Row],[Date]])</f>
        <v>22</v>
      </c>
      <c r="S255" s="6" t="str">
        <f>TEXT(SuperMarket_Analysis[[#This Row],[Date]],"mmmm")</f>
        <v>March</v>
      </c>
      <c r="T255" s="6">
        <f>YEAR(SuperMarket_Analysis[[#This Row],[Date]])</f>
        <v>2019</v>
      </c>
    </row>
    <row r="256" spans="1:20" x14ac:dyDescent="0.3">
      <c r="A256" t="s">
        <v>287</v>
      </c>
      <c r="B256" t="s">
        <v>15</v>
      </c>
      <c r="C256" t="s">
        <v>16</v>
      </c>
      <c r="D256" t="s">
        <v>17</v>
      </c>
      <c r="E256" t="s">
        <v>174</v>
      </c>
      <c r="F256" t="s">
        <v>28</v>
      </c>
      <c r="G256" s="3">
        <v>58.9</v>
      </c>
      <c r="H256" s="6">
        <v>8</v>
      </c>
      <c r="I256" s="3">
        <v>23.56</v>
      </c>
      <c r="J256" s="3">
        <v>494.76</v>
      </c>
      <c r="K256" s="2">
        <v>43511</v>
      </c>
      <c r="L256" s="1">
        <v>0.47430555555555554</v>
      </c>
      <c r="M256" t="s">
        <v>26</v>
      </c>
      <c r="N256" s="3">
        <v>471.2</v>
      </c>
      <c r="O256" s="4">
        <v>4.7619047620000003</v>
      </c>
      <c r="P256" s="5">
        <v>23.56</v>
      </c>
      <c r="Q256">
        <v>8.9</v>
      </c>
      <c r="R256" s="6">
        <f>DAY(SuperMarket_Analysis[[#This Row],[Date]])</f>
        <v>15</v>
      </c>
      <c r="S256" s="6" t="str">
        <f>TEXT(SuperMarket_Analysis[[#This Row],[Date]],"mmmm")</f>
        <v>February</v>
      </c>
      <c r="T256" s="6">
        <f>YEAR(SuperMarket_Analysis[[#This Row],[Date]])</f>
        <v>2019</v>
      </c>
    </row>
    <row r="257" spans="1:20" x14ac:dyDescent="0.3">
      <c r="A257" t="s">
        <v>288</v>
      </c>
      <c r="B257" t="s">
        <v>38</v>
      </c>
      <c r="C257" t="s">
        <v>39</v>
      </c>
      <c r="D257" t="s">
        <v>17</v>
      </c>
      <c r="E257" t="s">
        <v>174</v>
      </c>
      <c r="F257" t="s">
        <v>42</v>
      </c>
      <c r="G257" s="3">
        <v>32.619999999999997</v>
      </c>
      <c r="H257" s="6">
        <v>4</v>
      </c>
      <c r="I257" s="3">
        <v>6.524</v>
      </c>
      <c r="J257" s="3">
        <v>137.00399999999999</v>
      </c>
      <c r="K257" s="2">
        <v>43488</v>
      </c>
      <c r="L257" s="1">
        <v>0.59166666666666667</v>
      </c>
      <c r="M257" t="s">
        <v>26</v>
      </c>
      <c r="N257" s="3">
        <v>130.47999999999999</v>
      </c>
      <c r="O257" s="4">
        <v>4.7619047620000003</v>
      </c>
      <c r="P257" s="5">
        <v>6.524</v>
      </c>
      <c r="Q257">
        <v>9</v>
      </c>
      <c r="R257" s="6">
        <f>DAY(SuperMarket_Analysis[[#This Row],[Date]])</f>
        <v>23</v>
      </c>
      <c r="S257" s="6" t="str">
        <f>TEXT(SuperMarket_Analysis[[#This Row],[Date]],"mmmm")</f>
        <v>January</v>
      </c>
      <c r="T257" s="6">
        <f>YEAR(SuperMarket_Analysis[[#This Row],[Date]])</f>
        <v>2019</v>
      </c>
    </row>
    <row r="258" spans="1:20" x14ac:dyDescent="0.3">
      <c r="A258" t="s">
        <v>289</v>
      </c>
      <c r="B258" t="s">
        <v>15</v>
      </c>
      <c r="C258" t="s">
        <v>16</v>
      </c>
      <c r="D258" t="s">
        <v>17</v>
      </c>
      <c r="E258" t="s">
        <v>174</v>
      </c>
      <c r="F258" t="s">
        <v>25</v>
      </c>
      <c r="G258" s="3">
        <v>66.349999999999994</v>
      </c>
      <c r="H258" s="6">
        <v>1</v>
      </c>
      <c r="I258" s="3">
        <v>3.3174999999999999</v>
      </c>
      <c r="J258" s="3">
        <v>69.667500000000004</v>
      </c>
      <c r="K258" s="2">
        <v>43490</v>
      </c>
      <c r="L258" s="1">
        <v>0.44861111111111113</v>
      </c>
      <c r="M258" t="s">
        <v>29</v>
      </c>
      <c r="N258" s="3">
        <v>66.349999999999994</v>
      </c>
      <c r="O258" s="4">
        <v>4.7619047620000003</v>
      </c>
      <c r="P258" s="5">
        <v>3.3174999999999999</v>
      </c>
      <c r="Q258">
        <v>9.6999999999999993</v>
      </c>
      <c r="R258" s="6">
        <f>DAY(SuperMarket_Analysis[[#This Row],[Date]])</f>
        <v>25</v>
      </c>
      <c r="S258" s="6" t="str">
        <f>TEXT(SuperMarket_Analysis[[#This Row],[Date]],"mmmm")</f>
        <v>January</v>
      </c>
      <c r="T258" s="6">
        <f>YEAR(SuperMarket_Analysis[[#This Row],[Date]])</f>
        <v>2019</v>
      </c>
    </row>
    <row r="259" spans="1:20" x14ac:dyDescent="0.3">
      <c r="A259" t="s">
        <v>290</v>
      </c>
      <c r="B259" t="s">
        <v>15</v>
      </c>
      <c r="C259" t="s">
        <v>16</v>
      </c>
      <c r="D259" t="s">
        <v>17</v>
      </c>
      <c r="E259" t="s">
        <v>174</v>
      </c>
      <c r="F259" t="s">
        <v>28</v>
      </c>
      <c r="G259" s="3">
        <v>25.91</v>
      </c>
      <c r="H259" s="6">
        <v>6</v>
      </c>
      <c r="I259" s="3">
        <v>7.7729999999999997</v>
      </c>
      <c r="J259" s="3">
        <v>163.233</v>
      </c>
      <c r="K259" s="2">
        <v>43554</v>
      </c>
      <c r="L259" s="1">
        <v>0.42777777777777776</v>
      </c>
      <c r="M259" t="s">
        <v>20</v>
      </c>
      <c r="N259" s="3">
        <v>155.46</v>
      </c>
      <c r="O259" s="4">
        <v>4.7619047620000003</v>
      </c>
      <c r="P259" s="5">
        <v>7.7729999999999997</v>
      </c>
      <c r="Q259">
        <v>8.6999999999999993</v>
      </c>
      <c r="R259" s="6">
        <f>DAY(SuperMarket_Analysis[[#This Row],[Date]])</f>
        <v>30</v>
      </c>
      <c r="S259" s="6" t="str">
        <f>TEXT(SuperMarket_Analysis[[#This Row],[Date]],"mmmm")</f>
        <v>March</v>
      </c>
      <c r="T259" s="6">
        <f>YEAR(SuperMarket_Analysis[[#This Row],[Date]])</f>
        <v>2019</v>
      </c>
    </row>
    <row r="260" spans="1:20" x14ac:dyDescent="0.3">
      <c r="A260" t="s">
        <v>291</v>
      </c>
      <c r="B260" t="s">
        <v>15</v>
      </c>
      <c r="C260" t="s">
        <v>16</v>
      </c>
      <c r="D260" t="s">
        <v>17</v>
      </c>
      <c r="E260" t="s">
        <v>174</v>
      </c>
      <c r="F260" t="s">
        <v>25</v>
      </c>
      <c r="G260" s="3">
        <v>32.25</v>
      </c>
      <c r="H260" s="6">
        <v>4</v>
      </c>
      <c r="I260" s="3">
        <v>6.45</v>
      </c>
      <c r="J260" s="3">
        <v>135.44999999999999</v>
      </c>
      <c r="K260" s="2">
        <v>43554</v>
      </c>
      <c r="L260" s="1">
        <v>0.52638888888888891</v>
      </c>
      <c r="M260" t="s">
        <v>20</v>
      </c>
      <c r="N260" s="3">
        <v>129</v>
      </c>
      <c r="O260" s="4">
        <v>4.7619047620000003</v>
      </c>
      <c r="P260" s="5">
        <v>6.45</v>
      </c>
      <c r="Q260">
        <v>6.5</v>
      </c>
      <c r="R260" s="6">
        <f>DAY(SuperMarket_Analysis[[#This Row],[Date]])</f>
        <v>30</v>
      </c>
      <c r="S260" s="6" t="str">
        <f>TEXT(SuperMarket_Analysis[[#This Row],[Date]],"mmmm")</f>
        <v>March</v>
      </c>
      <c r="T260" s="6">
        <f>YEAR(SuperMarket_Analysis[[#This Row],[Date]])</f>
        <v>2019</v>
      </c>
    </row>
    <row r="261" spans="1:20" x14ac:dyDescent="0.3">
      <c r="A261" t="s">
        <v>292</v>
      </c>
      <c r="B261" t="s">
        <v>22</v>
      </c>
      <c r="C261" t="s">
        <v>23</v>
      </c>
      <c r="D261" t="s">
        <v>17</v>
      </c>
      <c r="E261" t="s">
        <v>174</v>
      </c>
      <c r="F261" t="s">
        <v>25</v>
      </c>
      <c r="G261" s="3">
        <v>65.94</v>
      </c>
      <c r="H261" s="6">
        <v>4</v>
      </c>
      <c r="I261" s="3">
        <v>13.188000000000001</v>
      </c>
      <c r="J261" s="3">
        <v>276.94799999999998</v>
      </c>
      <c r="K261" s="2">
        <v>43521</v>
      </c>
      <c r="L261" s="1">
        <v>0.54513888888888884</v>
      </c>
      <c r="M261" t="s">
        <v>29</v>
      </c>
      <c r="N261" s="3">
        <v>263.76</v>
      </c>
      <c r="O261" s="4">
        <v>4.7619047620000003</v>
      </c>
      <c r="P261" s="5">
        <v>13.188000000000001</v>
      </c>
      <c r="Q261">
        <v>6.9</v>
      </c>
      <c r="R261" s="6">
        <f>DAY(SuperMarket_Analysis[[#This Row],[Date]])</f>
        <v>25</v>
      </c>
      <c r="S261" s="6" t="str">
        <f>TEXT(SuperMarket_Analysis[[#This Row],[Date]],"mmmm")</f>
        <v>February</v>
      </c>
      <c r="T261" s="6">
        <f>YEAR(SuperMarket_Analysis[[#This Row],[Date]])</f>
        <v>2019</v>
      </c>
    </row>
    <row r="262" spans="1:20" x14ac:dyDescent="0.3">
      <c r="A262" t="s">
        <v>293</v>
      </c>
      <c r="B262" t="s">
        <v>15</v>
      </c>
      <c r="C262" t="s">
        <v>16</v>
      </c>
      <c r="D262" t="s">
        <v>24</v>
      </c>
      <c r="E262" t="s">
        <v>18</v>
      </c>
      <c r="F262" t="s">
        <v>25</v>
      </c>
      <c r="G262" s="3">
        <v>75.06</v>
      </c>
      <c r="H262" s="6">
        <v>9</v>
      </c>
      <c r="I262" s="3">
        <v>33.777000000000001</v>
      </c>
      <c r="J262" s="3">
        <v>709.31700000000001</v>
      </c>
      <c r="K262" s="2">
        <v>43542</v>
      </c>
      <c r="L262" s="1">
        <v>0.55902777777777779</v>
      </c>
      <c r="M262" t="s">
        <v>20</v>
      </c>
      <c r="N262" s="3">
        <v>675.54</v>
      </c>
      <c r="O262" s="4">
        <v>4.7619047620000003</v>
      </c>
      <c r="P262" s="5">
        <v>33.777000000000001</v>
      </c>
      <c r="Q262">
        <v>6.2</v>
      </c>
      <c r="R262" s="6">
        <f>DAY(SuperMarket_Analysis[[#This Row],[Date]])</f>
        <v>18</v>
      </c>
      <c r="S262" s="6" t="str">
        <f>TEXT(SuperMarket_Analysis[[#This Row],[Date]],"mmmm")</f>
        <v>March</v>
      </c>
      <c r="T262" s="6">
        <f>YEAR(SuperMarket_Analysis[[#This Row],[Date]])</f>
        <v>2019</v>
      </c>
    </row>
    <row r="263" spans="1:20" x14ac:dyDescent="0.3">
      <c r="A263" t="s">
        <v>294</v>
      </c>
      <c r="B263" t="s">
        <v>22</v>
      </c>
      <c r="C263" t="s">
        <v>23</v>
      </c>
      <c r="D263" t="s">
        <v>24</v>
      </c>
      <c r="E263" t="s">
        <v>18</v>
      </c>
      <c r="F263" t="s">
        <v>42</v>
      </c>
      <c r="G263" s="3">
        <v>16.45</v>
      </c>
      <c r="H263" s="6">
        <v>4</v>
      </c>
      <c r="I263" s="3">
        <v>3.29</v>
      </c>
      <c r="J263" s="3">
        <v>69.09</v>
      </c>
      <c r="K263" s="2">
        <v>43540</v>
      </c>
      <c r="L263" s="1">
        <v>0.62013888888888891</v>
      </c>
      <c r="M263" t="s">
        <v>20</v>
      </c>
      <c r="N263" s="3">
        <v>65.8</v>
      </c>
      <c r="O263" s="4">
        <v>4.7619047620000003</v>
      </c>
      <c r="P263" s="5">
        <v>3.29</v>
      </c>
      <c r="Q263">
        <v>5.6</v>
      </c>
      <c r="R263" s="6">
        <f>DAY(SuperMarket_Analysis[[#This Row],[Date]])</f>
        <v>16</v>
      </c>
      <c r="S263" s="6" t="str">
        <f>TEXT(SuperMarket_Analysis[[#This Row],[Date]],"mmmm")</f>
        <v>March</v>
      </c>
      <c r="T263" s="6">
        <f>YEAR(SuperMarket_Analysis[[#This Row],[Date]])</f>
        <v>2019</v>
      </c>
    </row>
    <row r="264" spans="1:20" x14ac:dyDescent="0.3">
      <c r="A264" t="s">
        <v>295</v>
      </c>
      <c r="B264" t="s">
        <v>38</v>
      </c>
      <c r="C264" t="s">
        <v>39</v>
      </c>
      <c r="D264" t="s">
        <v>17</v>
      </c>
      <c r="E264" t="s">
        <v>18</v>
      </c>
      <c r="F264" t="s">
        <v>42</v>
      </c>
      <c r="G264" s="3">
        <v>38.299999999999997</v>
      </c>
      <c r="H264" s="6">
        <v>4</v>
      </c>
      <c r="I264" s="3">
        <v>7.66</v>
      </c>
      <c r="J264" s="3">
        <v>160.86000000000001</v>
      </c>
      <c r="K264" s="2">
        <v>43494</v>
      </c>
      <c r="L264" s="1">
        <v>0.80694444444444446</v>
      </c>
      <c r="M264" t="s">
        <v>26</v>
      </c>
      <c r="N264" s="3">
        <v>153.19999999999999</v>
      </c>
      <c r="O264" s="4">
        <v>4.7619047620000003</v>
      </c>
      <c r="P264" s="5">
        <v>7.66</v>
      </c>
      <c r="Q264">
        <v>5.7</v>
      </c>
      <c r="R264" s="6">
        <f>DAY(SuperMarket_Analysis[[#This Row],[Date]])</f>
        <v>29</v>
      </c>
      <c r="S264" s="6" t="str">
        <f>TEXT(SuperMarket_Analysis[[#This Row],[Date]],"mmmm")</f>
        <v>January</v>
      </c>
      <c r="T264" s="6">
        <f>YEAR(SuperMarket_Analysis[[#This Row],[Date]])</f>
        <v>2019</v>
      </c>
    </row>
    <row r="265" spans="1:20" x14ac:dyDescent="0.3">
      <c r="A265" t="s">
        <v>296</v>
      </c>
      <c r="B265" t="s">
        <v>15</v>
      </c>
      <c r="C265" t="s">
        <v>16</v>
      </c>
      <c r="D265" t="s">
        <v>17</v>
      </c>
      <c r="E265" t="s">
        <v>18</v>
      </c>
      <c r="F265" t="s">
        <v>32</v>
      </c>
      <c r="G265" s="3">
        <v>22.24</v>
      </c>
      <c r="H265" s="6">
        <v>10</v>
      </c>
      <c r="I265" s="3">
        <v>11.12</v>
      </c>
      <c r="J265" s="3">
        <v>233.52</v>
      </c>
      <c r="K265" s="2">
        <v>43511</v>
      </c>
      <c r="L265" s="1">
        <v>0.45833333333333331</v>
      </c>
      <c r="M265" t="s">
        <v>26</v>
      </c>
      <c r="N265" s="3">
        <v>222.4</v>
      </c>
      <c r="O265" s="4">
        <v>4.7619047620000003</v>
      </c>
      <c r="P265" s="5">
        <v>11.12</v>
      </c>
      <c r="Q265">
        <v>4.2</v>
      </c>
      <c r="R265" s="6">
        <f>DAY(SuperMarket_Analysis[[#This Row],[Date]])</f>
        <v>15</v>
      </c>
      <c r="S265" s="6" t="str">
        <f>TEXT(SuperMarket_Analysis[[#This Row],[Date]],"mmmm")</f>
        <v>February</v>
      </c>
      <c r="T265" s="6">
        <f>YEAR(SuperMarket_Analysis[[#This Row],[Date]])</f>
        <v>2019</v>
      </c>
    </row>
    <row r="266" spans="1:20" x14ac:dyDescent="0.3">
      <c r="A266" t="s">
        <v>297</v>
      </c>
      <c r="B266" t="s">
        <v>38</v>
      </c>
      <c r="C266" t="s">
        <v>39</v>
      </c>
      <c r="D266" t="s">
        <v>24</v>
      </c>
      <c r="E266" t="s">
        <v>174</v>
      </c>
      <c r="F266" t="s">
        <v>32</v>
      </c>
      <c r="G266" s="3">
        <v>54.45</v>
      </c>
      <c r="H266" s="6">
        <v>1</v>
      </c>
      <c r="I266" s="3">
        <v>2.7225000000000001</v>
      </c>
      <c r="J266" s="3">
        <v>57.172499999999999</v>
      </c>
      <c r="K266" s="2">
        <v>43545</v>
      </c>
      <c r="L266" s="1">
        <v>0.80833333333333335</v>
      </c>
      <c r="M266" t="s">
        <v>20</v>
      </c>
      <c r="N266" s="3">
        <v>54.45</v>
      </c>
      <c r="O266" s="4">
        <v>4.7619047620000003</v>
      </c>
      <c r="P266" s="5">
        <v>2.7225000000000001</v>
      </c>
      <c r="Q266">
        <v>7.9</v>
      </c>
      <c r="R266" s="6">
        <f>DAY(SuperMarket_Analysis[[#This Row],[Date]])</f>
        <v>21</v>
      </c>
      <c r="S266" s="6" t="str">
        <f>TEXT(SuperMarket_Analysis[[#This Row],[Date]],"mmmm")</f>
        <v>March</v>
      </c>
      <c r="T266" s="6">
        <f>YEAR(SuperMarket_Analysis[[#This Row],[Date]])</f>
        <v>2019</v>
      </c>
    </row>
    <row r="267" spans="1:20" x14ac:dyDescent="0.3">
      <c r="A267" t="s">
        <v>298</v>
      </c>
      <c r="B267" t="s">
        <v>15</v>
      </c>
      <c r="C267" t="s">
        <v>16</v>
      </c>
      <c r="D267" t="s">
        <v>17</v>
      </c>
      <c r="E267" t="s">
        <v>18</v>
      </c>
      <c r="F267" t="s">
        <v>32</v>
      </c>
      <c r="G267" s="3">
        <v>98.4</v>
      </c>
      <c r="H267" s="6">
        <v>7</v>
      </c>
      <c r="I267" s="3">
        <v>34.44</v>
      </c>
      <c r="J267" s="3">
        <v>723.24</v>
      </c>
      <c r="K267" s="2">
        <v>43524</v>
      </c>
      <c r="L267" s="1">
        <v>0.52986111111111112</v>
      </c>
      <c r="M267" t="s">
        <v>29</v>
      </c>
      <c r="N267" s="3">
        <v>688.8</v>
      </c>
      <c r="O267" s="4">
        <v>4.7619047620000003</v>
      </c>
      <c r="P267" s="5">
        <v>34.44</v>
      </c>
      <c r="Q267">
        <v>8.6999999999999993</v>
      </c>
      <c r="R267" s="6">
        <f>DAY(SuperMarket_Analysis[[#This Row],[Date]])</f>
        <v>28</v>
      </c>
      <c r="S267" s="6" t="str">
        <f>TEXT(SuperMarket_Analysis[[#This Row],[Date]],"mmmm")</f>
        <v>February</v>
      </c>
      <c r="T267" s="6">
        <f>YEAR(SuperMarket_Analysis[[#This Row],[Date]])</f>
        <v>2019</v>
      </c>
    </row>
    <row r="268" spans="1:20" x14ac:dyDescent="0.3">
      <c r="A268" t="s">
        <v>299</v>
      </c>
      <c r="B268" t="s">
        <v>22</v>
      </c>
      <c r="C268" t="s">
        <v>23</v>
      </c>
      <c r="D268" t="s">
        <v>24</v>
      </c>
      <c r="E268" t="s">
        <v>174</v>
      </c>
      <c r="F268" t="s">
        <v>28</v>
      </c>
      <c r="G268" s="3">
        <v>35.47</v>
      </c>
      <c r="H268" s="6">
        <v>4</v>
      </c>
      <c r="I268" s="3">
        <v>7.0940000000000003</v>
      </c>
      <c r="J268" s="3">
        <v>148.97399999999999</v>
      </c>
      <c r="K268" s="2">
        <v>43547</v>
      </c>
      <c r="L268" s="1">
        <v>0.72361111111111109</v>
      </c>
      <c r="M268" t="s">
        <v>29</v>
      </c>
      <c r="N268" s="3">
        <v>141.88</v>
      </c>
      <c r="O268" s="4">
        <v>4.7619047620000003</v>
      </c>
      <c r="P268" s="5">
        <v>7.0940000000000003</v>
      </c>
      <c r="Q268">
        <v>6.9</v>
      </c>
      <c r="R268" s="6">
        <f>DAY(SuperMarket_Analysis[[#This Row],[Date]])</f>
        <v>23</v>
      </c>
      <c r="S268" s="6" t="str">
        <f>TEXT(SuperMarket_Analysis[[#This Row],[Date]],"mmmm")</f>
        <v>March</v>
      </c>
      <c r="T268" s="6">
        <f>YEAR(SuperMarket_Analysis[[#This Row],[Date]])</f>
        <v>2019</v>
      </c>
    </row>
    <row r="269" spans="1:20" x14ac:dyDescent="0.3">
      <c r="A269" t="s">
        <v>300</v>
      </c>
      <c r="B269" t="s">
        <v>38</v>
      </c>
      <c r="C269" t="s">
        <v>39</v>
      </c>
      <c r="D269" t="s">
        <v>17</v>
      </c>
      <c r="E269" t="s">
        <v>18</v>
      </c>
      <c r="F269" t="s">
        <v>40</v>
      </c>
      <c r="G269" s="3">
        <v>74.599999999999994</v>
      </c>
      <c r="H269" s="6">
        <v>10</v>
      </c>
      <c r="I269" s="3">
        <v>37.299999999999997</v>
      </c>
      <c r="J269" s="3">
        <v>783.3</v>
      </c>
      <c r="K269" s="2">
        <v>43495</v>
      </c>
      <c r="L269" s="1">
        <v>0.87152777777777779</v>
      </c>
      <c r="M269" t="s">
        <v>26</v>
      </c>
      <c r="N269" s="3">
        <v>746</v>
      </c>
      <c r="O269" s="4">
        <v>4.7619047620000003</v>
      </c>
      <c r="P269" s="5">
        <v>37.299999999999997</v>
      </c>
      <c r="Q269">
        <v>9.5</v>
      </c>
      <c r="R269" s="6">
        <f>DAY(SuperMarket_Analysis[[#This Row],[Date]])</f>
        <v>30</v>
      </c>
      <c r="S269" s="6" t="str">
        <f>TEXT(SuperMarket_Analysis[[#This Row],[Date]],"mmmm")</f>
        <v>January</v>
      </c>
      <c r="T269" s="6">
        <f>YEAR(SuperMarket_Analysis[[#This Row],[Date]])</f>
        <v>2019</v>
      </c>
    </row>
    <row r="270" spans="1:20" x14ac:dyDescent="0.3">
      <c r="A270" t="s">
        <v>301</v>
      </c>
      <c r="B270" t="s">
        <v>15</v>
      </c>
      <c r="C270" t="s">
        <v>16</v>
      </c>
      <c r="D270" t="s">
        <v>17</v>
      </c>
      <c r="E270" t="s">
        <v>174</v>
      </c>
      <c r="F270" t="s">
        <v>28</v>
      </c>
      <c r="G270" s="3">
        <v>70.739999999999995</v>
      </c>
      <c r="H270" s="6">
        <v>4</v>
      </c>
      <c r="I270" s="3">
        <v>14.148</v>
      </c>
      <c r="J270" s="3">
        <v>297.108</v>
      </c>
      <c r="K270" s="2">
        <v>43537</v>
      </c>
      <c r="L270" s="1">
        <v>0.67013888888888884</v>
      </c>
      <c r="M270" t="s">
        <v>29</v>
      </c>
      <c r="N270" s="3">
        <v>282.95999999999998</v>
      </c>
      <c r="O270" s="4">
        <v>4.7619047620000003</v>
      </c>
      <c r="P270" s="5">
        <v>14.148</v>
      </c>
      <c r="Q270">
        <v>4.4000000000000004</v>
      </c>
      <c r="R270" s="6">
        <f>DAY(SuperMarket_Analysis[[#This Row],[Date]])</f>
        <v>13</v>
      </c>
      <c r="S270" s="6" t="str">
        <f>TEXT(SuperMarket_Analysis[[#This Row],[Date]],"mmmm")</f>
        <v>March</v>
      </c>
      <c r="T270" s="6">
        <f>YEAR(SuperMarket_Analysis[[#This Row],[Date]])</f>
        <v>2019</v>
      </c>
    </row>
    <row r="271" spans="1:20" x14ac:dyDescent="0.3">
      <c r="A271" t="s">
        <v>302</v>
      </c>
      <c r="B271" t="s">
        <v>15</v>
      </c>
      <c r="C271" t="s">
        <v>16</v>
      </c>
      <c r="D271" t="s">
        <v>17</v>
      </c>
      <c r="E271" t="s">
        <v>18</v>
      </c>
      <c r="F271" t="s">
        <v>28</v>
      </c>
      <c r="G271" s="3">
        <v>35.54</v>
      </c>
      <c r="H271" s="6">
        <v>10</v>
      </c>
      <c r="I271" s="3">
        <v>17.77</v>
      </c>
      <c r="J271" s="3">
        <v>373.17</v>
      </c>
      <c r="K271" s="2">
        <v>43539</v>
      </c>
      <c r="L271" s="1">
        <v>0.56527777777777777</v>
      </c>
      <c r="M271" t="s">
        <v>20</v>
      </c>
      <c r="N271" s="3">
        <v>355.4</v>
      </c>
      <c r="O271" s="4">
        <v>4.7619047620000003</v>
      </c>
      <c r="P271" s="5">
        <v>17.77</v>
      </c>
      <c r="Q271">
        <v>7</v>
      </c>
      <c r="R271" s="6">
        <f>DAY(SuperMarket_Analysis[[#This Row],[Date]])</f>
        <v>15</v>
      </c>
      <c r="S271" s="6" t="str">
        <f>TEXT(SuperMarket_Analysis[[#This Row],[Date]],"mmmm")</f>
        <v>March</v>
      </c>
      <c r="T271" s="6">
        <f>YEAR(SuperMarket_Analysis[[#This Row],[Date]])</f>
        <v>2019</v>
      </c>
    </row>
    <row r="272" spans="1:20" x14ac:dyDescent="0.3">
      <c r="A272" t="s">
        <v>303</v>
      </c>
      <c r="B272" t="s">
        <v>38</v>
      </c>
      <c r="C272" t="s">
        <v>39</v>
      </c>
      <c r="D272" t="s">
        <v>24</v>
      </c>
      <c r="E272" t="s">
        <v>18</v>
      </c>
      <c r="F272" t="s">
        <v>32</v>
      </c>
      <c r="G272" s="3">
        <v>67.430000000000007</v>
      </c>
      <c r="H272" s="6">
        <v>5</v>
      </c>
      <c r="I272" s="3">
        <v>16.857500000000002</v>
      </c>
      <c r="J272" s="3">
        <v>354.00749999999999</v>
      </c>
      <c r="K272" s="2">
        <v>43522</v>
      </c>
      <c r="L272" s="1">
        <v>0.75902777777777775</v>
      </c>
      <c r="M272" t="s">
        <v>20</v>
      </c>
      <c r="N272" s="3">
        <v>337.15</v>
      </c>
      <c r="O272" s="4">
        <v>4.7619047620000003</v>
      </c>
      <c r="P272" s="5">
        <v>16.857500000000002</v>
      </c>
      <c r="Q272">
        <v>6.3</v>
      </c>
      <c r="R272" s="6">
        <f>DAY(SuperMarket_Analysis[[#This Row],[Date]])</f>
        <v>26</v>
      </c>
      <c r="S272" s="6" t="str">
        <f>TEXT(SuperMarket_Analysis[[#This Row],[Date]],"mmmm")</f>
        <v>February</v>
      </c>
      <c r="T272" s="6">
        <f>YEAR(SuperMarket_Analysis[[#This Row],[Date]])</f>
        <v>2019</v>
      </c>
    </row>
    <row r="273" spans="1:20" x14ac:dyDescent="0.3">
      <c r="A273" t="s">
        <v>304</v>
      </c>
      <c r="B273" t="s">
        <v>22</v>
      </c>
      <c r="C273" t="s">
        <v>23</v>
      </c>
      <c r="D273" t="s">
        <v>17</v>
      </c>
      <c r="E273" t="s">
        <v>18</v>
      </c>
      <c r="F273" t="s">
        <v>19</v>
      </c>
      <c r="G273" s="3">
        <v>21.12</v>
      </c>
      <c r="H273" s="6">
        <v>2</v>
      </c>
      <c r="I273" s="3">
        <v>2.1120000000000001</v>
      </c>
      <c r="J273" s="3">
        <v>44.351999999999997</v>
      </c>
      <c r="K273" s="2">
        <v>43544</v>
      </c>
      <c r="L273" s="1">
        <v>0.80347222222222225</v>
      </c>
      <c r="M273" t="s">
        <v>26</v>
      </c>
      <c r="N273" s="3">
        <v>42.24</v>
      </c>
      <c r="O273" s="4">
        <v>4.7619047620000003</v>
      </c>
      <c r="P273" s="5">
        <v>2.1120000000000001</v>
      </c>
      <c r="Q273">
        <v>9.6999999999999993</v>
      </c>
      <c r="R273" s="6">
        <f>DAY(SuperMarket_Analysis[[#This Row],[Date]])</f>
        <v>20</v>
      </c>
      <c r="S273" s="6" t="str">
        <f>TEXT(SuperMarket_Analysis[[#This Row],[Date]],"mmmm")</f>
        <v>March</v>
      </c>
      <c r="T273" s="6">
        <f>YEAR(SuperMarket_Analysis[[#This Row],[Date]])</f>
        <v>2019</v>
      </c>
    </row>
    <row r="274" spans="1:20" x14ac:dyDescent="0.3">
      <c r="A274" t="s">
        <v>305</v>
      </c>
      <c r="B274" t="s">
        <v>15</v>
      </c>
      <c r="C274" t="s">
        <v>16</v>
      </c>
      <c r="D274" t="s">
        <v>17</v>
      </c>
      <c r="E274" t="s">
        <v>18</v>
      </c>
      <c r="F274" t="s">
        <v>28</v>
      </c>
      <c r="G274" s="3">
        <v>21.54</v>
      </c>
      <c r="H274" s="6">
        <v>9</v>
      </c>
      <c r="I274" s="3">
        <v>9.6929999999999996</v>
      </c>
      <c r="J274" s="3">
        <v>203.553</v>
      </c>
      <c r="K274" s="2">
        <v>43492</v>
      </c>
      <c r="L274" s="1">
        <v>0.48888888888888887</v>
      </c>
      <c r="M274" t="s">
        <v>29</v>
      </c>
      <c r="N274" s="3">
        <v>193.86</v>
      </c>
      <c r="O274" s="4">
        <v>4.7619047620000003</v>
      </c>
      <c r="P274" s="5">
        <v>9.6929999999999996</v>
      </c>
      <c r="Q274">
        <v>8.8000000000000007</v>
      </c>
      <c r="R274" s="6">
        <f>DAY(SuperMarket_Analysis[[#This Row],[Date]])</f>
        <v>27</v>
      </c>
      <c r="S274" s="6" t="str">
        <f>TEXT(SuperMarket_Analysis[[#This Row],[Date]],"mmmm")</f>
        <v>January</v>
      </c>
      <c r="T274" s="6">
        <f>YEAR(SuperMarket_Analysis[[#This Row],[Date]])</f>
        <v>2019</v>
      </c>
    </row>
    <row r="275" spans="1:20" x14ac:dyDescent="0.3">
      <c r="A275" t="s">
        <v>306</v>
      </c>
      <c r="B275" t="s">
        <v>15</v>
      </c>
      <c r="C275" t="s">
        <v>16</v>
      </c>
      <c r="D275" t="s">
        <v>24</v>
      </c>
      <c r="E275" t="s">
        <v>18</v>
      </c>
      <c r="F275" t="s">
        <v>28</v>
      </c>
      <c r="G275" s="3">
        <v>12.03</v>
      </c>
      <c r="H275" s="6">
        <v>2</v>
      </c>
      <c r="I275" s="3">
        <v>1.2030000000000001</v>
      </c>
      <c r="J275" s="3">
        <v>25.263000000000002</v>
      </c>
      <c r="K275" s="2">
        <v>43486</v>
      </c>
      <c r="L275" s="1">
        <v>0.66041666666666665</v>
      </c>
      <c r="M275" t="s">
        <v>26</v>
      </c>
      <c r="N275" s="3">
        <v>24.06</v>
      </c>
      <c r="O275" s="4">
        <v>4.7619047620000003</v>
      </c>
      <c r="P275" s="5">
        <v>1.2030000000000001</v>
      </c>
      <c r="Q275">
        <v>5.0999999999999996</v>
      </c>
      <c r="R275" s="6">
        <f>DAY(SuperMarket_Analysis[[#This Row],[Date]])</f>
        <v>21</v>
      </c>
      <c r="S275" s="6" t="str">
        <f>TEXT(SuperMarket_Analysis[[#This Row],[Date]],"mmmm")</f>
        <v>January</v>
      </c>
      <c r="T275" s="6">
        <f>YEAR(SuperMarket_Analysis[[#This Row],[Date]])</f>
        <v>2019</v>
      </c>
    </row>
    <row r="276" spans="1:20" x14ac:dyDescent="0.3">
      <c r="A276" t="s">
        <v>307</v>
      </c>
      <c r="B276" t="s">
        <v>38</v>
      </c>
      <c r="C276" t="s">
        <v>39</v>
      </c>
      <c r="D276" t="s">
        <v>24</v>
      </c>
      <c r="E276" t="s">
        <v>18</v>
      </c>
      <c r="F276" t="s">
        <v>19</v>
      </c>
      <c r="G276" s="3">
        <v>99.71</v>
      </c>
      <c r="H276" s="6">
        <v>6</v>
      </c>
      <c r="I276" s="3">
        <v>29.913</v>
      </c>
      <c r="J276" s="3">
        <v>628.173</v>
      </c>
      <c r="K276" s="2">
        <v>43492</v>
      </c>
      <c r="L276" s="1">
        <v>0.70277777777777772</v>
      </c>
      <c r="M276" t="s">
        <v>20</v>
      </c>
      <c r="N276" s="3">
        <v>598.26</v>
      </c>
      <c r="O276" s="4">
        <v>4.7619047620000003</v>
      </c>
      <c r="P276" s="5">
        <v>29.913</v>
      </c>
      <c r="Q276">
        <v>7.9</v>
      </c>
      <c r="R276" s="6">
        <f>DAY(SuperMarket_Analysis[[#This Row],[Date]])</f>
        <v>27</v>
      </c>
      <c r="S276" s="6" t="str">
        <f>TEXT(SuperMarket_Analysis[[#This Row],[Date]],"mmmm")</f>
        <v>January</v>
      </c>
      <c r="T276" s="6">
        <f>YEAR(SuperMarket_Analysis[[#This Row],[Date]])</f>
        <v>2019</v>
      </c>
    </row>
    <row r="277" spans="1:20" x14ac:dyDescent="0.3">
      <c r="A277" t="s">
        <v>308</v>
      </c>
      <c r="B277" t="s">
        <v>38</v>
      </c>
      <c r="C277" t="s">
        <v>39</v>
      </c>
      <c r="D277" t="s">
        <v>24</v>
      </c>
      <c r="E277" t="s">
        <v>174</v>
      </c>
      <c r="F277" t="s">
        <v>42</v>
      </c>
      <c r="G277" s="3">
        <v>47.97</v>
      </c>
      <c r="H277" s="6">
        <v>7</v>
      </c>
      <c r="I277" s="3">
        <v>16.7895</v>
      </c>
      <c r="J277" s="3">
        <v>352.5795</v>
      </c>
      <c r="K277" s="2">
        <v>43549</v>
      </c>
      <c r="L277" s="1">
        <v>0.86944444444444446</v>
      </c>
      <c r="M277" t="s">
        <v>26</v>
      </c>
      <c r="N277" s="3">
        <v>335.79</v>
      </c>
      <c r="O277" s="4">
        <v>4.7619047620000003</v>
      </c>
      <c r="P277" s="5">
        <v>16.7895</v>
      </c>
      <c r="Q277">
        <v>6.2</v>
      </c>
      <c r="R277" s="6">
        <f>DAY(SuperMarket_Analysis[[#This Row],[Date]])</f>
        <v>25</v>
      </c>
      <c r="S277" s="6" t="str">
        <f>TEXT(SuperMarket_Analysis[[#This Row],[Date]],"mmmm")</f>
        <v>March</v>
      </c>
      <c r="T277" s="6">
        <f>YEAR(SuperMarket_Analysis[[#This Row],[Date]])</f>
        <v>2019</v>
      </c>
    </row>
    <row r="278" spans="1:20" x14ac:dyDescent="0.3">
      <c r="A278" t="s">
        <v>309</v>
      </c>
      <c r="B278" t="s">
        <v>22</v>
      </c>
      <c r="C278" t="s">
        <v>23</v>
      </c>
      <c r="D278" t="s">
        <v>17</v>
      </c>
      <c r="E278" t="s">
        <v>18</v>
      </c>
      <c r="F278" t="s">
        <v>28</v>
      </c>
      <c r="G278" s="3">
        <v>21.82</v>
      </c>
      <c r="H278" s="6">
        <v>10</v>
      </c>
      <c r="I278" s="3">
        <v>10.91</v>
      </c>
      <c r="J278" s="3">
        <v>229.11</v>
      </c>
      <c r="K278" s="2">
        <v>43521</v>
      </c>
      <c r="L278" s="1">
        <v>0.73333333333333328</v>
      </c>
      <c r="M278" t="s">
        <v>26</v>
      </c>
      <c r="N278" s="3">
        <v>218.2</v>
      </c>
      <c r="O278" s="4">
        <v>4.7619047620000003</v>
      </c>
      <c r="P278" s="5">
        <v>10.91</v>
      </c>
      <c r="Q278">
        <v>7.1</v>
      </c>
      <c r="R278" s="6">
        <f>DAY(SuperMarket_Analysis[[#This Row],[Date]])</f>
        <v>25</v>
      </c>
      <c r="S278" s="6" t="str">
        <f>TEXT(SuperMarket_Analysis[[#This Row],[Date]],"mmmm")</f>
        <v>February</v>
      </c>
      <c r="T278" s="6">
        <f>YEAR(SuperMarket_Analysis[[#This Row],[Date]])</f>
        <v>2019</v>
      </c>
    </row>
    <row r="279" spans="1:20" x14ac:dyDescent="0.3">
      <c r="A279" t="s">
        <v>310</v>
      </c>
      <c r="B279" t="s">
        <v>22</v>
      </c>
      <c r="C279" t="s">
        <v>23</v>
      </c>
      <c r="D279" t="s">
        <v>24</v>
      </c>
      <c r="E279" t="s">
        <v>18</v>
      </c>
      <c r="F279" t="s">
        <v>42</v>
      </c>
      <c r="G279" s="3">
        <v>95.42</v>
      </c>
      <c r="H279" s="6">
        <v>4</v>
      </c>
      <c r="I279" s="3">
        <v>19.084</v>
      </c>
      <c r="J279" s="3">
        <v>400.76400000000001</v>
      </c>
      <c r="K279" s="2">
        <v>43493</v>
      </c>
      <c r="L279" s="1">
        <v>0.55763888888888891</v>
      </c>
      <c r="M279" t="s">
        <v>20</v>
      </c>
      <c r="N279" s="3">
        <v>381.68</v>
      </c>
      <c r="O279" s="4">
        <v>4.7619047620000003</v>
      </c>
      <c r="P279" s="5">
        <v>19.084</v>
      </c>
      <c r="Q279">
        <v>6.4</v>
      </c>
      <c r="R279" s="6">
        <f>DAY(SuperMarket_Analysis[[#This Row],[Date]])</f>
        <v>28</v>
      </c>
      <c r="S279" s="6" t="str">
        <f>TEXT(SuperMarket_Analysis[[#This Row],[Date]],"mmmm")</f>
        <v>January</v>
      </c>
      <c r="T279" s="6">
        <f>YEAR(SuperMarket_Analysis[[#This Row],[Date]])</f>
        <v>2019</v>
      </c>
    </row>
    <row r="280" spans="1:20" x14ac:dyDescent="0.3">
      <c r="A280" t="s">
        <v>311</v>
      </c>
      <c r="B280" t="s">
        <v>22</v>
      </c>
      <c r="C280" t="s">
        <v>23</v>
      </c>
      <c r="D280" t="s">
        <v>17</v>
      </c>
      <c r="E280" t="s">
        <v>174</v>
      </c>
      <c r="F280" t="s">
        <v>42</v>
      </c>
      <c r="G280" s="3">
        <v>70.989999999999995</v>
      </c>
      <c r="H280" s="6">
        <v>10</v>
      </c>
      <c r="I280" s="3">
        <v>35.494999999999997</v>
      </c>
      <c r="J280" s="3">
        <v>745.39499999999998</v>
      </c>
      <c r="K280" s="2">
        <v>43494</v>
      </c>
      <c r="L280" s="1">
        <v>0.68611111111111112</v>
      </c>
      <c r="M280" t="s">
        <v>26</v>
      </c>
      <c r="N280" s="3">
        <v>709.9</v>
      </c>
      <c r="O280" s="4">
        <v>4.7619047620000003</v>
      </c>
      <c r="P280" s="5">
        <v>35.494999999999997</v>
      </c>
      <c r="Q280">
        <v>5.7</v>
      </c>
      <c r="R280" s="6">
        <f>DAY(SuperMarket_Analysis[[#This Row],[Date]])</f>
        <v>29</v>
      </c>
      <c r="S280" s="6" t="str">
        <f>TEXT(SuperMarket_Analysis[[#This Row],[Date]],"mmmm")</f>
        <v>January</v>
      </c>
      <c r="T280" s="6">
        <f>YEAR(SuperMarket_Analysis[[#This Row],[Date]])</f>
        <v>2019</v>
      </c>
    </row>
    <row r="281" spans="1:20" x14ac:dyDescent="0.3">
      <c r="A281" t="s">
        <v>312</v>
      </c>
      <c r="B281" t="s">
        <v>15</v>
      </c>
      <c r="C281" t="s">
        <v>16</v>
      </c>
      <c r="D281" t="s">
        <v>17</v>
      </c>
      <c r="E281" t="s">
        <v>174</v>
      </c>
      <c r="F281" t="s">
        <v>32</v>
      </c>
      <c r="G281" s="3">
        <v>44.02</v>
      </c>
      <c r="H281" s="6">
        <v>10</v>
      </c>
      <c r="I281" s="3">
        <v>22.01</v>
      </c>
      <c r="J281" s="3">
        <v>462.21</v>
      </c>
      <c r="K281" s="2">
        <v>43553</v>
      </c>
      <c r="L281" s="1">
        <v>0.83125000000000004</v>
      </c>
      <c r="M281" t="s">
        <v>29</v>
      </c>
      <c r="N281" s="3">
        <v>440.2</v>
      </c>
      <c r="O281" s="4">
        <v>4.7619047620000003</v>
      </c>
      <c r="P281" s="5">
        <v>22.01</v>
      </c>
      <c r="Q281">
        <v>9.6</v>
      </c>
      <c r="R281" s="6">
        <f>DAY(SuperMarket_Analysis[[#This Row],[Date]])</f>
        <v>29</v>
      </c>
      <c r="S281" s="6" t="str">
        <f>TEXT(SuperMarket_Analysis[[#This Row],[Date]],"mmmm")</f>
        <v>March</v>
      </c>
      <c r="T281" s="6">
        <f>YEAR(SuperMarket_Analysis[[#This Row],[Date]])</f>
        <v>2019</v>
      </c>
    </row>
    <row r="282" spans="1:20" x14ac:dyDescent="0.3">
      <c r="A282" t="s">
        <v>313</v>
      </c>
      <c r="B282" t="s">
        <v>15</v>
      </c>
      <c r="C282" t="s">
        <v>16</v>
      </c>
      <c r="D282" t="s">
        <v>24</v>
      </c>
      <c r="E282" t="s">
        <v>18</v>
      </c>
      <c r="F282" t="s">
        <v>28</v>
      </c>
      <c r="G282" s="3">
        <v>69.959999999999994</v>
      </c>
      <c r="H282" s="6">
        <v>8</v>
      </c>
      <c r="I282" s="3">
        <v>27.984000000000002</v>
      </c>
      <c r="J282" s="3">
        <v>587.66399999999999</v>
      </c>
      <c r="K282" s="2">
        <v>43481</v>
      </c>
      <c r="L282" s="1">
        <v>0.70902777777777781</v>
      </c>
      <c r="M282" t="s">
        <v>29</v>
      </c>
      <c r="N282" s="3">
        <v>559.67999999999995</v>
      </c>
      <c r="O282" s="4">
        <v>4.7619047620000003</v>
      </c>
      <c r="P282" s="5">
        <v>27.984000000000002</v>
      </c>
      <c r="Q282">
        <v>6.4</v>
      </c>
      <c r="R282" s="6">
        <f>DAY(SuperMarket_Analysis[[#This Row],[Date]])</f>
        <v>16</v>
      </c>
      <c r="S282" s="6" t="str">
        <f>TEXT(SuperMarket_Analysis[[#This Row],[Date]],"mmmm")</f>
        <v>January</v>
      </c>
      <c r="T282" s="6">
        <f>YEAR(SuperMarket_Analysis[[#This Row],[Date]])</f>
        <v>2019</v>
      </c>
    </row>
    <row r="283" spans="1:20" x14ac:dyDescent="0.3">
      <c r="A283" t="s">
        <v>314</v>
      </c>
      <c r="B283" t="s">
        <v>22</v>
      </c>
      <c r="C283" t="s">
        <v>23</v>
      </c>
      <c r="D283" t="s">
        <v>24</v>
      </c>
      <c r="E283" t="s">
        <v>174</v>
      </c>
      <c r="F283" t="s">
        <v>28</v>
      </c>
      <c r="G283" s="3">
        <v>37</v>
      </c>
      <c r="H283" s="6">
        <v>1</v>
      </c>
      <c r="I283" s="3">
        <v>1.85</v>
      </c>
      <c r="J283" s="3">
        <v>38.85</v>
      </c>
      <c r="K283" s="2">
        <v>43492</v>
      </c>
      <c r="L283" s="1">
        <v>0.56180555555555556</v>
      </c>
      <c r="M283" t="s">
        <v>29</v>
      </c>
      <c r="N283" s="3">
        <v>37</v>
      </c>
      <c r="O283" s="4">
        <v>4.7619047620000003</v>
      </c>
      <c r="P283" s="5">
        <v>1.85</v>
      </c>
      <c r="Q283">
        <v>7.9</v>
      </c>
      <c r="R283" s="6">
        <f>DAY(SuperMarket_Analysis[[#This Row],[Date]])</f>
        <v>27</v>
      </c>
      <c r="S283" s="6" t="str">
        <f>TEXT(SuperMarket_Analysis[[#This Row],[Date]],"mmmm")</f>
        <v>January</v>
      </c>
      <c r="T283" s="6">
        <f>YEAR(SuperMarket_Analysis[[#This Row],[Date]])</f>
        <v>2019</v>
      </c>
    </row>
    <row r="284" spans="1:20" x14ac:dyDescent="0.3">
      <c r="A284" t="s">
        <v>315</v>
      </c>
      <c r="B284" t="s">
        <v>15</v>
      </c>
      <c r="C284" t="s">
        <v>16</v>
      </c>
      <c r="D284" t="s">
        <v>24</v>
      </c>
      <c r="E284" t="s">
        <v>18</v>
      </c>
      <c r="F284" t="s">
        <v>32</v>
      </c>
      <c r="G284" s="3">
        <v>15.34</v>
      </c>
      <c r="H284" s="6">
        <v>1</v>
      </c>
      <c r="I284" s="3">
        <v>0.76700000000000002</v>
      </c>
      <c r="J284" s="3">
        <v>16.106999999999999</v>
      </c>
      <c r="K284" s="2">
        <v>43538</v>
      </c>
      <c r="L284" s="1">
        <v>0.46458333333333335</v>
      </c>
      <c r="M284" t="s">
        <v>26</v>
      </c>
      <c r="N284" s="3">
        <v>15.34</v>
      </c>
      <c r="O284" s="4">
        <v>4.7619047620000003</v>
      </c>
      <c r="P284" s="5">
        <v>0.76700000000000002</v>
      </c>
      <c r="Q284">
        <v>6.5</v>
      </c>
      <c r="R284" s="6">
        <f>DAY(SuperMarket_Analysis[[#This Row],[Date]])</f>
        <v>14</v>
      </c>
      <c r="S284" s="6" t="str">
        <f>TEXT(SuperMarket_Analysis[[#This Row],[Date]],"mmmm")</f>
        <v>March</v>
      </c>
      <c r="T284" s="6">
        <f>YEAR(SuperMarket_Analysis[[#This Row],[Date]])</f>
        <v>2019</v>
      </c>
    </row>
    <row r="285" spans="1:20" x14ac:dyDescent="0.3">
      <c r="A285" t="s">
        <v>316</v>
      </c>
      <c r="B285" t="s">
        <v>15</v>
      </c>
      <c r="C285" t="s">
        <v>16</v>
      </c>
      <c r="D285" t="s">
        <v>17</v>
      </c>
      <c r="E285" t="s">
        <v>174</v>
      </c>
      <c r="F285" t="s">
        <v>19</v>
      </c>
      <c r="G285" s="3">
        <v>99.83</v>
      </c>
      <c r="H285" s="6">
        <v>6</v>
      </c>
      <c r="I285" s="3">
        <v>29.949000000000002</v>
      </c>
      <c r="J285" s="3">
        <v>628.92899999999997</v>
      </c>
      <c r="K285" s="2">
        <v>43519</v>
      </c>
      <c r="L285" s="1">
        <v>0.62638888888888888</v>
      </c>
      <c r="M285" t="s">
        <v>20</v>
      </c>
      <c r="N285" s="3">
        <v>598.98</v>
      </c>
      <c r="O285" s="4">
        <v>4.7619047620000003</v>
      </c>
      <c r="P285" s="5">
        <v>29.949000000000002</v>
      </c>
      <c r="Q285">
        <v>8.5</v>
      </c>
      <c r="R285" s="6">
        <f>DAY(SuperMarket_Analysis[[#This Row],[Date]])</f>
        <v>23</v>
      </c>
      <c r="S285" s="6" t="str">
        <f>TEXT(SuperMarket_Analysis[[#This Row],[Date]],"mmmm")</f>
        <v>February</v>
      </c>
      <c r="T285" s="6">
        <f>YEAR(SuperMarket_Analysis[[#This Row],[Date]])</f>
        <v>2019</v>
      </c>
    </row>
    <row r="286" spans="1:20" x14ac:dyDescent="0.3">
      <c r="A286" t="s">
        <v>317</v>
      </c>
      <c r="B286" t="s">
        <v>15</v>
      </c>
      <c r="C286" t="s">
        <v>16</v>
      </c>
      <c r="D286" t="s">
        <v>17</v>
      </c>
      <c r="E286" t="s">
        <v>18</v>
      </c>
      <c r="F286" t="s">
        <v>19</v>
      </c>
      <c r="G286" s="3">
        <v>47.67</v>
      </c>
      <c r="H286" s="6">
        <v>4</v>
      </c>
      <c r="I286" s="3">
        <v>9.5340000000000007</v>
      </c>
      <c r="J286" s="3">
        <v>200.214</v>
      </c>
      <c r="K286" s="2">
        <v>43542</v>
      </c>
      <c r="L286" s="1">
        <v>0.59791666666666665</v>
      </c>
      <c r="M286" t="s">
        <v>26</v>
      </c>
      <c r="N286" s="3">
        <v>190.68</v>
      </c>
      <c r="O286" s="4">
        <v>4.7619047620000003</v>
      </c>
      <c r="P286" s="5">
        <v>9.5340000000000007</v>
      </c>
      <c r="Q286">
        <v>9.1</v>
      </c>
      <c r="R286" s="6">
        <f>DAY(SuperMarket_Analysis[[#This Row],[Date]])</f>
        <v>18</v>
      </c>
      <c r="S286" s="6" t="str">
        <f>TEXT(SuperMarket_Analysis[[#This Row],[Date]],"mmmm")</f>
        <v>March</v>
      </c>
      <c r="T286" s="6">
        <f>YEAR(SuperMarket_Analysis[[#This Row],[Date]])</f>
        <v>2019</v>
      </c>
    </row>
    <row r="287" spans="1:20" x14ac:dyDescent="0.3">
      <c r="A287" t="s">
        <v>318</v>
      </c>
      <c r="B287" t="s">
        <v>38</v>
      </c>
      <c r="C287" t="s">
        <v>39</v>
      </c>
      <c r="D287" t="s">
        <v>24</v>
      </c>
      <c r="E287" t="s">
        <v>174</v>
      </c>
      <c r="F287" t="s">
        <v>19</v>
      </c>
      <c r="G287" s="3">
        <v>66.680000000000007</v>
      </c>
      <c r="H287" s="6">
        <v>5</v>
      </c>
      <c r="I287" s="3">
        <v>16.670000000000002</v>
      </c>
      <c r="J287" s="3">
        <v>350.07</v>
      </c>
      <c r="K287" s="2">
        <v>43553</v>
      </c>
      <c r="L287" s="1">
        <v>0.75069444444444444</v>
      </c>
      <c r="M287" t="s">
        <v>26</v>
      </c>
      <c r="N287" s="3">
        <v>333.4</v>
      </c>
      <c r="O287" s="4">
        <v>4.7619047620000003</v>
      </c>
      <c r="P287" s="5">
        <v>16.670000000000002</v>
      </c>
      <c r="Q287">
        <v>7.6</v>
      </c>
      <c r="R287" s="6">
        <f>DAY(SuperMarket_Analysis[[#This Row],[Date]])</f>
        <v>29</v>
      </c>
      <c r="S287" s="6" t="str">
        <f>TEXT(SuperMarket_Analysis[[#This Row],[Date]],"mmmm")</f>
        <v>March</v>
      </c>
      <c r="T287" s="6">
        <f>YEAR(SuperMarket_Analysis[[#This Row],[Date]])</f>
        <v>2019</v>
      </c>
    </row>
    <row r="288" spans="1:20" x14ac:dyDescent="0.3">
      <c r="A288" t="s">
        <v>319</v>
      </c>
      <c r="B288" t="s">
        <v>22</v>
      </c>
      <c r="C288" t="s">
        <v>23</v>
      </c>
      <c r="D288" t="s">
        <v>17</v>
      </c>
      <c r="E288" t="s">
        <v>174</v>
      </c>
      <c r="F288" t="s">
        <v>28</v>
      </c>
      <c r="G288" s="3">
        <v>74.86</v>
      </c>
      <c r="H288" s="6">
        <v>1</v>
      </c>
      <c r="I288" s="3">
        <v>3.7429999999999999</v>
      </c>
      <c r="J288" s="3">
        <v>78.602999999999994</v>
      </c>
      <c r="K288" s="2">
        <v>43487</v>
      </c>
      <c r="L288" s="1">
        <v>0.61736111111111114</v>
      </c>
      <c r="M288" t="s">
        <v>26</v>
      </c>
      <c r="N288" s="3">
        <v>74.86</v>
      </c>
      <c r="O288" s="4">
        <v>4.7619047620000003</v>
      </c>
      <c r="P288" s="5">
        <v>3.7429999999999999</v>
      </c>
      <c r="Q288">
        <v>6.9</v>
      </c>
      <c r="R288" s="6">
        <f>DAY(SuperMarket_Analysis[[#This Row],[Date]])</f>
        <v>22</v>
      </c>
      <c r="S288" s="6" t="str">
        <f>TEXT(SuperMarket_Analysis[[#This Row],[Date]],"mmmm")</f>
        <v>January</v>
      </c>
      <c r="T288" s="6">
        <f>YEAR(SuperMarket_Analysis[[#This Row],[Date]])</f>
        <v>2019</v>
      </c>
    </row>
    <row r="289" spans="1:20" x14ac:dyDescent="0.3">
      <c r="A289" t="s">
        <v>320</v>
      </c>
      <c r="B289" t="s">
        <v>22</v>
      </c>
      <c r="C289" t="s">
        <v>23</v>
      </c>
      <c r="D289" t="s">
        <v>24</v>
      </c>
      <c r="E289" t="s">
        <v>18</v>
      </c>
      <c r="F289" t="s">
        <v>32</v>
      </c>
      <c r="G289" s="3">
        <v>23.75</v>
      </c>
      <c r="H289" s="6">
        <v>9</v>
      </c>
      <c r="I289" s="3">
        <v>10.6875</v>
      </c>
      <c r="J289" s="3">
        <v>224.4375</v>
      </c>
      <c r="K289" s="2">
        <v>43482</v>
      </c>
      <c r="L289" s="1">
        <v>0.50138888888888888</v>
      </c>
      <c r="M289" t="s">
        <v>26</v>
      </c>
      <c r="N289" s="3">
        <v>213.75</v>
      </c>
      <c r="O289" s="4">
        <v>4.7619047620000003</v>
      </c>
      <c r="P289" s="5">
        <v>10.6875</v>
      </c>
      <c r="Q289">
        <v>9.5</v>
      </c>
      <c r="R289" s="6">
        <f>DAY(SuperMarket_Analysis[[#This Row],[Date]])</f>
        <v>17</v>
      </c>
      <c r="S289" s="6" t="str">
        <f>TEXT(SuperMarket_Analysis[[#This Row],[Date]],"mmmm")</f>
        <v>January</v>
      </c>
      <c r="T289" s="6">
        <f>YEAR(SuperMarket_Analysis[[#This Row],[Date]])</f>
        <v>2019</v>
      </c>
    </row>
    <row r="290" spans="1:20" x14ac:dyDescent="0.3">
      <c r="A290" t="s">
        <v>321</v>
      </c>
      <c r="B290" t="s">
        <v>38</v>
      </c>
      <c r="C290" t="s">
        <v>39</v>
      </c>
      <c r="D290" t="s">
        <v>24</v>
      </c>
      <c r="E290" t="s">
        <v>18</v>
      </c>
      <c r="F290" t="s">
        <v>40</v>
      </c>
      <c r="G290" s="3">
        <v>48.51</v>
      </c>
      <c r="H290" s="6">
        <v>7</v>
      </c>
      <c r="I290" s="3">
        <v>16.9785</v>
      </c>
      <c r="J290" s="3">
        <v>356.54849999999999</v>
      </c>
      <c r="K290" s="2">
        <v>43550</v>
      </c>
      <c r="L290" s="1">
        <v>0.5625</v>
      </c>
      <c r="M290" t="s">
        <v>29</v>
      </c>
      <c r="N290" s="3">
        <v>339.57</v>
      </c>
      <c r="O290" s="4">
        <v>4.7619047620000003</v>
      </c>
      <c r="P290" s="5">
        <v>16.9785</v>
      </c>
      <c r="Q290">
        <v>5.2</v>
      </c>
      <c r="R290" s="6">
        <f>DAY(SuperMarket_Analysis[[#This Row],[Date]])</f>
        <v>26</v>
      </c>
      <c r="S290" s="6" t="str">
        <f>TEXT(SuperMarket_Analysis[[#This Row],[Date]],"mmmm")</f>
        <v>March</v>
      </c>
      <c r="T290" s="6">
        <f>YEAR(SuperMarket_Analysis[[#This Row],[Date]])</f>
        <v>2019</v>
      </c>
    </row>
    <row r="291" spans="1:20" x14ac:dyDescent="0.3">
      <c r="A291" t="s">
        <v>322</v>
      </c>
      <c r="B291" t="s">
        <v>15</v>
      </c>
      <c r="C291" t="s">
        <v>16</v>
      </c>
      <c r="D291" t="s">
        <v>17</v>
      </c>
      <c r="E291" t="s">
        <v>18</v>
      </c>
      <c r="F291" t="s">
        <v>28</v>
      </c>
      <c r="G291" s="3">
        <v>94.88</v>
      </c>
      <c r="H291" s="6">
        <v>7</v>
      </c>
      <c r="I291" s="3">
        <v>33.207999999999998</v>
      </c>
      <c r="J291" s="3">
        <v>697.36800000000005</v>
      </c>
      <c r="K291" s="2">
        <v>43544</v>
      </c>
      <c r="L291" s="1">
        <v>0.60972222222222228</v>
      </c>
      <c r="M291" t="s">
        <v>26</v>
      </c>
      <c r="N291" s="3">
        <v>664.16</v>
      </c>
      <c r="O291" s="4">
        <v>4.7619047620000003</v>
      </c>
      <c r="P291" s="5">
        <v>33.207999999999998</v>
      </c>
      <c r="Q291">
        <v>4.2</v>
      </c>
      <c r="R291" s="6">
        <f>DAY(SuperMarket_Analysis[[#This Row],[Date]])</f>
        <v>20</v>
      </c>
      <c r="S291" s="6" t="str">
        <f>TEXT(SuperMarket_Analysis[[#This Row],[Date]],"mmmm")</f>
        <v>March</v>
      </c>
      <c r="T291" s="6">
        <f>YEAR(SuperMarket_Analysis[[#This Row],[Date]])</f>
        <v>2019</v>
      </c>
    </row>
    <row r="292" spans="1:20" x14ac:dyDescent="0.3">
      <c r="A292" t="s">
        <v>323</v>
      </c>
      <c r="B292" t="s">
        <v>38</v>
      </c>
      <c r="C292" t="s">
        <v>39</v>
      </c>
      <c r="D292" t="s">
        <v>17</v>
      </c>
      <c r="E292" t="s">
        <v>174</v>
      </c>
      <c r="F292" t="s">
        <v>25</v>
      </c>
      <c r="G292" s="3">
        <v>40.299999999999997</v>
      </c>
      <c r="H292" s="6">
        <v>10</v>
      </c>
      <c r="I292" s="3">
        <v>20.149999999999999</v>
      </c>
      <c r="J292" s="3">
        <v>423.15</v>
      </c>
      <c r="K292" s="2">
        <v>43492</v>
      </c>
      <c r="L292" s="1">
        <v>0.73402777777777772</v>
      </c>
      <c r="M292" t="s">
        <v>29</v>
      </c>
      <c r="N292" s="3">
        <v>403</v>
      </c>
      <c r="O292" s="4">
        <v>4.7619047620000003</v>
      </c>
      <c r="P292" s="5">
        <v>20.149999999999999</v>
      </c>
      <c r="Q292">
        <v>7</v>
      </c>
      <c r="R292" s="6">
        <f>DAY(SuperMarket_Analysis[[#This Row],[Date]])</f>
        <v>27</v>
      </c>
      <c r="S292" s="6" t="str">
        <f>TEXT(SuperMarket_Analysis[[#This Row],[Date]],"mmmm")</f>
        <v>January</v>
      </c>
      <c r="T292" s="6">
        <f>YEAR(SuperMarket_Analysis[[#This Row],[Date]])</f>
        <v>2019</v>
      </c>
    </row>
    <row r="293" spans="1:20" x14ac:dyDescent="0.3">
      <c r="A293" t="s">
        <v>324</v>
      </c>
      <c r="B293" t="s">
        <v>22</v>
      </c>
      <c r="C293" t="s">
        <v>23</v>
      </c>
      <c r="D293" t="s">
        <v>24</v>
      </c>
      <c r="E293" t="s">
        <v>174</v>
      </c>
      <c r="F293" t="s">
        <v>25</v>
      </c>
      <c r="G293" s="3">
        <v>27.85</v>
      </c>
      <c r="H293" s="6">
        <v>7</v>
      </c>
      <c r="I293" s="3">
        <v>9.7475000000000005</v>
      </c>
      <c r="J293" s="3">
        <v>204.69749999999999</v>
      </c>
      <c r="K293" s="2">
        <v>43521</v>
      </c>
      <c r="L293" s="1">
        <v>0.72222222222222221</v>
      </c>
      <c r="M293" t="s">
        <v>20</v>
      </c>
      <c r="N293" s="3">
        <v>194.95</v>
      </c>
      <c r="O293" s="4">
        <v>4.7619047620000003</v>
      </c>
      <c r="P293" s="5">
        <v>9.7475000000000005</v>
      </c>
      <c r="Q293">
        <v>6</v>
      </c>
      <c r="R293" s="6">
        <f>DAY(SuperMarket_Analysis[[#This Row],[Date]])</f>
        <v>25</v>
      </c>
      <c r="S293" s="6" t="str">
        <f>TEXT(SuperMarket_Analysis[[#This Row],[Date]],"mmmm")</f>
        <v>February</v>
      </c>
      <c r="T293" s="6">
        <f>YEAR(SuperMarket_Analysis[[#This Row],[Date]])</f>
        <v>2019</v>
      </c>
    </row>
    <row r="294" spans="1:20" x14ac:dyDescent="0.3">
      <c r="A294" t="s">
        <v>325</v>
      </c>
      <c r="B294" t="s">
        <v>15</v>
      </c>
      <c r="C294" t="s">
        <v>16</v>
      </c>
      <c r="D294" t="s">
        <v>17</v>
      </c>
      <c r="E294" t="s">
        <v>18</v>
      </c>
      <c r="F294" t="s">
        <v>25</v>
      </c>
      <c r="G294" s="3">
        <v>62.48</v>
      </c>
      <c r="H294" s="6">
        <v>1</v>
      </c>
      <c r="I294" s="3">
        <v>3.1240000000000001</v>
      </c>
      <c r="J294" s="3">
        <v>65.603999999999999</v>
      </c>
      <c r="K294" s="2">
        <v>43481</v>
      </c>
      <c r="L294" s="1">
        <v>0.85347222222222219</v>
      </c>
      <c r="M294" t="s">
        <v>26</v>
      </c>
      <c r="N294" s="3">
        <v>62.48</v>
      </c>
      <c r="O294" s="4">
        <v>4.7619047620000003</v>
      </c>
      <c r="P294" s="5">
        <v>3.1240000000000001</v>
      </c>
      <c r="Q294">
        <v>4.7</v>
      </c>
      <c r="R294" s="6">
        <f>DAY(SuperMarket_Analysis[[#This Row],[Date]])</f>
        <v>16</v>
      </c>
      <c r="S294" s="6" t="str">
        <f>TEXT(SuperMarket_Analysis[[#This Row],[Date]],"mmmm")</f>
        <v>January</v>
      </c>
      <c r="T294" s="6">
        <f>YEAR(SuperMarket_Analysis[[#This Row],[Date]])</f>
        <v>2019</v>
      </c>
    </row>
    <row r="295" spans="1:20" x14ac:dyDescent="0.3">
      <c r="A295" t="s">
        <v>326</v>
      </c>
      <c r="B295" t="s">
        <v>15</v>
      </c>
      <c r="C295" t="s">
        <v>16</v>
      </c>
      <c r="D295" t="s">
        <v>17</v>
      </c>
      <c r="E295" t="s">
        <v>18</v>
      </c>
      <c r="F295" t="s">
        <v>40</v>
      </c>
      <c r="G295" s="3">
        <v>36.36</v>
      </c>
      <c r="H295" s="6">
        <v>2</v>
      </c>
      <c r="I295" s="3">
        <v>3.6360000000000001</v>
      </c>
      <c r="J295" s="3">
        <v>76.355999999999995</v>
      </c>
      <c r="K295" s="2">
        <v>43478</v>
      </c>
      <c r="L295" s="1">
        <v>0.41666666666666669</v>
      </c>
      <c r="M295" t="s">
        <v>26</v>
      </c>
      <c r="N295" s="3">
        <v>72.72</v>
      </c>
      <c r="O295" s="4">
        <v>4.7619047620000003</v>
      </c>
      <c r="P295" s="5">
        <v>3.6360000000000001</v>
      </c>
      <c r="Q295">
        <v>7.1</v>
      </c>
      <c r="R295" s="6">
        <f>DAY(SuperMarket_Analysis[[#This Row],[Date]])</f>
        <v>13</v>
      </c>
      <c r="S295" s="6" t="str">
        <f>TEXT(SuperMarket_Analysis[[#This Row],[Date]],"mmmm")</f>
        <v>January</v>
      </c>
      <c r="T295" s="6">
        <f>YEAR(SuperMarket_Analysis[[#This Row],[Date]])</f>
        <v>2019</v>
      </c>
    </row>
    <row r="296" spans="1:20" x14ac:dyDescent="0.3">
      <c r="A296" t="s">
        <v>327</v>
      </c>
      <c r="B296" t="s">
        <v>38</v>
      </c>
      <c r="C296" t="s">
        <v>39</v>
      </c>
      <c r="D296" t="s">
        <v>24</v>
      </c>
      <c r="E296" t="s">
        <v>174</v>
      </c>
      <c r="F296" t="s">
        <v>19</v>
      </c>
      <c r="G296" s="3">
        <v>18.11</v>
      </c>
      <c r="H296" s="6">
        <v>10</v>
      </c>
      <c r="I296" s="3">
        <v>9.0549999999999997</v>
      </c>
      <c r="J296" s="3">
        <v>190.155</v>
      </c>
      <c r="K296" s="2">
        <v>43513</v>
      </c>
      <c r="L296" s="1">
        <v>0.49027777777777776</v>
      </c>
      <c r="M296" t="s">
        <v>20</v>
      </c>
      <c r="N296" s="3">
        <v>181.1</v>
      </c>
      <c r="O296" s="4">
        <v>4.7619047620000003</v>
      </c>
      <c r="P296" s="5">
        <v>9.0549999999999997</v>
      </c>
      <c r="Q296">
        <v>5.9</v>
      </c>
      <c r="R296" s="6">
        <f>DAY(SuperMarket_Analysis[[#This Row],[Date]])</f>
        <v>17</v>
      </c>
      <c r="S296" s="6" t="str">
        <f>TEXT(SuperMarket_Analysis[[#This Row],[Date]],"mmmm")</f>
        <v>February</v>
      </c>
      <c r="T296" s="6">
        <f>YEAR(SuperMarket_Analysis[[#This Row],[Date]])</f>
        <v>2019</v>
      </c>
    </row>
    <row r="297" spans="1:20" x14ac:dyDescent="0.3">
      <c r="A297" t="s">
        <v>328</v>
      </c>
      <c r="B297" t="s">
        <v>22</v>
      </c>
      <c r="C297" t="s">
        <v>23</v>
      </c>
      <c r="D297" t="s">
        <v>17</v>
      </c>
      <c r="E297" t="s">
        <v>18</v>
      </c>
      <c r="F297" t="s">
        <v>25</v>
      </c>
      <c r="G297" s="3">
        <v>51.92</v>
      </c>
      <c r="H297" s="6">
        <v>5</v>
      </c>
      <c r="I297" s="3">
        <v>12.98</v>
      </c>
      <c r="J297" s="3">
        <v>272.58</v>
      </c>
      <c r="K297" s="2">
        <v>43489</v>
      </c>
      <c r="L297" s="1">
        <v>0.5708333333333333</v>
      </c>
      <c r="M297" t="s">
        <v>26</v>
      </c>
      <c r="N297" s="3">
        <v>259.60000000000002</v>
      </c>
      <c r="O297" s="4">
        <v>4.7619047620000003</v>
      </c>
      <c r="P297" s="5">
        <v>12.98</v>
      </c>
      <c r="Q297">
        <v>7.5</v>
      </c>
      <c r="R297" s="6">
        <f>DAY(SuperMarket_Analysis[[#This Row],[Date]])</f>
        <v>24</v>
      </c>
      <c r="S297" s="6" t="str">
        <f>TEXT(SuperMarket_Analysis[[#This Row],[Date]],"mmmm")</f>
        <v>January</v>
      </c>
      <c r="T297" s="6">
        <f>YEAR(SuperMarket_Analysis[[#This Row],[Date]])</f>
        <v>2019</v>
      </c>
    </row>
    <row r="298" spans="1:20" x14ac:dyDescent="0.3">
      <c r="A298" t="s">
        <v>329</v>
      </c>
      <c r="B298" t="s">
        <v>22</v>
      </c>
      <c r="C298" t="s">
        <v>23</v>
      </c>
      <c r="D298" t="s">
        <v>24</v>
      </c>
      <c r="E298" t="s">
        <v>174</v>
      </c>
      <c r="F298" t="s">
        <v>25</v>
      </c>
      <c r="G298" s="3">
        <v>28.84</v>
      </c>
      <c r="H298" s="6">
        <v>4</v>
      </c>
      <c r="I298" s="3">
        <v>5.7679999999999998</v>
      </c>
      <c r="J298" s="3">
        <v>121.128</v>
      </c>
      <c r="K298" s="2">
        <v>43550</v>
      </c>
      <c r="L298" s="1">
        <v>0.61388888888888893</v>
      </c>
      <c r="M298" t="s">
        <v>26</v>
      </c>
      <c r="N298" s="3">
        <v>115.36</v>
      </c>
      <c r="O298" s="4">
        <v>4.7619047620000003</v>
      </c>
      <c r="P298" s="5">
        <v>5.7679999999999998</v>
      </c>
      <c r="Q298">
        <v>6.4</v>
      </c>
      <c r="R298" s="6">
        <f>DAY(SuperMarket_Analysis[[#This Row],[Date]])</f>
        <v>26</v>
      </c>
      <c r="S298" s="6" t="str">
        <f>TEXT(SuperMarket_Analysis[[#This Row],[Date]],"mmmm")</f>
        <v>March</v>
      </c>
      <c r="T298" s="6">
        <f>YEAR(SuperMarket_Analysis[[#This Row],[Date]])</f>
        <v>2019</v>
      </c>
    </row>
    <row r="299" spans="1:20" x14ac:dyDescent="0.3">
      <c r="A299" t="s">
        <v>330</v>
      </c>
      <c r="B299" t="s">
        <v>15</v>
      </c>
      <c r="C299" t="s">
        <v>16</v>
      </c>
      <c r="D299" t="s">
        <v>17</v>
      </c>
      <c r="E299" t="s">
        <v>174</v>
      </c>
      <c r="F299" t="s">
        <v>28</v>
      </c>
      <c r="G299" s="3">
        <v>78.38</v>
      </c>
      <c r="H299" s="6">
        <v>6</v>
      </c>
      <c r="I299" s="3">
        <v>23.513999999999999</v>
      </c>
      <c r="J299" s="3">
        <v>493.79399999999998</v>
      </c>
      <c r="K299" s="2">
        <v>43521</v>
      </c>
      <c r="L299" s="1">
        <v>0.59444444444444444</v>
      </c>
      <c r="M299" t="s">
        <v>20</v>
      </c>
      <c r="N299" s="3">
        <v>470.28</v>
      </c>
      <c r="O299" s="4">
        <v>4.7619047620000003</v>
      </c>
      <c r="P299" s="5">
        <v>23.513999999999999</v>
      </c>
      <c r="Q299">
        <v>5.8</v>
      </c>
      <c r="R299" s="6">
        <f>DAY(SuperMarket_Analysis[[#This Row],[Date]])</f>
        <v>25</v>
      </c>
      <c r="S299" s="6" t="str">
        <f>TEXT(SuperMarket_Analysis[[#This Row],[Date]],"mmmm")</f>
        <v>February</v>
      </c>
      <c r="T299" s="6">
        <f>YEAR(SuperMarket_Analysis[[#This Row],[Date]])</f>
        <v>2019</v>
      </c>
    </row>
    <row r="300" spans="1:20" x14ac:dyDescent="0.3">
      <c r="A300" t="s">
        <v>331</v>
      </c>
      <c r="B300" t="s">
        <v>15</v>
      </c>
      <c r="C300" t="s">
        <v>16</v>
      </c>
      <c r="D300" t="s">
        <v>17</v>
      </c>
      <c r="E300" t="s">
        <v>174</v>
      </c>
      <c r="F300" t="s">
        <v>28</v>
      </c>
      <c r="G300" s="3">
        <v>60.01</v>
      </c>
      <c r="H300" s="6">
        <v>4</v>
      </c>
      <c r="I300" s="3">
        <v>12.002000000000001</v>
      </c>
      <c r="J300" s="3">
        <v>252.042</v>
      </c>
      <c r="K300" s="2">
        <v>43487</v>
      </c>
      <c r="L300" s="1">
        <v>0.66249999999999998</v>
      </c>
      <c r="M300" t="s">
        <v>26</v>
      </c>
      <c r="N300" s="3">
        <v>240.04</v>
      </c>
      <c r="O300" s="4">
        <v>4.7619047620000003</v>
      </c>
      <c r="P300" s="5">
        <v>12.002000000000001</v>
      </c>
      <c r="Q300">
        <v>4.5</v>
      </c>
      <c r="R300" s="6">
        <f>DAY(SuperMarket_Analysis[[#This Row],[Date]])</f>
        <v>22</v>
      </c>
      <c r="S300" s="6" t="str">
        <f>TEXT(SuperMarket_Analysis[[#This Row],[Date]],"mmmm")</f>
        <v>January</v>
      </c>
      <c r="T300" s="6">
        <f>YEAR(SuperMarket_Analysis[[#This Row],[Date]])</f>
        <v>2019</v>
      </c>
    </row>
    <row r="301" spans="1:20" x14ac:dyDescent="0.3">
      <c r="A301" t="s">
        <v>332</v>
      </c>
      <c r="B301" t="s">
        <v>22</v>
      </c>
      <c r="C301" t="s">
        <v>23</v>
      </c>
      <c r="D301" t="s">
        <v>17</v>
      </c>
      <c r="E301" t="s">
        <v>18</v>
      </c>
      <c r="F301" t="s">
        <v>28</v>
      </c>
      <c r="G301" s="3">
        <v>88.61</v>
      </c>
      <c r="H301" s="6">
        <v>1</v>
      </c>
      <c r="I301" s="3">
        <v>4.4305000000000003</v>
      </c>
      <c r="J301" s="3">
        <v>93.040499999999994</v>
      </c>
      <c r="K301" s="2">
        <v>43509</v>
      </c>
      <c r="L301" s="1">
        <v>0.43125000000000002</v>
      </c>
      <c r="M301" t="s">
        <v>26</v>
      </c>
      <c r="N301" s="3">
        <v>88.61</v>
      </c>
      <c r="O301" s="4">
        <v>4.7619047620000003</v>
      </c>
      <c r="P301" s="5">
        <v>4.4305000000000003</v>
      </c>
      <c r="Q301">
        <v>7.7</v>
      </c>
      <c r="R301" s="6">
        <f>DAY(SuperMarket_Analysis[[#This Row],[Date]])</f>
        <v>13</v>
      </c>
      <c r="S301" s="6" t="str">
        <f>TEXT(SuperMarket_Analysis[[#This Row],[Date]],"mmmm")</f>
        <v>February</v>
      </c>
      <c r="T301" s="6">
        <f>YEAR(SuperMarket_Analysis[[#This Row],[Date]])</f>
        <v>2019</v>
      </c>
    </row>
    <row r="302" spans="1:20" x14ac:dyDescent="0.3">
      <c r="A302" t="s">
        <v>333</v>
      </c>
      <c r="B302" t="s">
        <v>22</v>
      </c>
      <c r="C302" t="s">
        <v>23</v>
      </c>
      <c r="D302" t="s">
        <v>24</v>
      </c>
      <c r="E302" t="s">
        <v>174</v>
      </c>
      <c r="F302" t="s">
        <v>42</v>
      </c>
      <c r="G302" s="3">
        <v>99.82</v>
      </c>
      <c r="H302" s="6">
        <v>2</v>
      </c>
      <c r="I302" s="3">
        <v>9.9819999999999993</v>
      </c>
      <c r="J302" s="3">
        <v>209.62200000000001</v>
      </c>
      <c r="K302" s="2">
        <v>43493</v>
      </c>
      <c r="L302" s="1">
        <v>0.75624999999999998</v>
      </c>
      <c r="M302" t="s">
        <v>29</v>
      </c>
      <c r="N302" s="3">
        <v>199.64</v>
      </c>
      <c r="O302" s="4">
        <v>4.7619047620000003</v>
      </c>
      <c r="P302" s="5">
        <v>9.9819999999999993</v>
      </c>
      <c r="Q302">
        <v>6.7</v>
      </c>
      <c r="R302" s="6">
        <f>DAY(SuperMarket_Analysis[[#This Row],[Date]])</f>
        <v>28</v>
      </c>
      <c r="S302" s="6" t="str">
        <f>TEXT(SuperMarket_Analysis[[#This Row],[Date]],"mmmm")</f>
        <v>January</v>
      </c>
      <c r="T302" s="6">
        <f>YEAR(SuperMarket_Analysis[[#This Row],[Date]])</f>
        <v>2019</v>
      </c>
    </row>
    <row r="303" spans="1:20" x14ac:dyDescent="0.3">
      <c r="A303" t="s">
        <v>334</v>
      </c>
      <c r="B303" t="s">
        <v>38</v>
      </c>
      <c r="C303" t="s">
        <v>39</v>
      </c>
      <c r="D303" t="s">
        <v>17</v>
      </c>
      <c r="E303" t="s">
        <v>174</v>
      </c>
      <c r="F303" t="s">
        <v>19</v>
      </c>
      <c r="G303" s="3">
        <v>39.01</v>
      </c>
      <c r="H303" s="6">
        <v>1</v>
      </c>
      <c r="I303" s="3">
        <v>1.9504999999999999</v>
      </c>
      <c r="J303" s="3">
        <v>40.960500000000003</v>
      </c>
      <c r="K303" s="2">
        <v>43543</v>
      </c>
      <c r="L303" s="1">
        <v>0.69861111111111107</v>
      </c>
      <c r="M303" t="s">
        <v>29</v>
      </c>
      <c r="N303" s="3">
        <v>39.01</v>
      </c>
      <c r="O303" s="4">
        <v>4.7619047620000003</v>
      </c>
      <c r="P303" s="5">
        <v>1.9504999999999999</v>
      </c>
      <c r="Q303">
        <v>4.7</v>
      </c>
      <c r="R303" s="6">
        <f>DAY(SuperMarket_Analysis[[#This Row],[Date]])</f>
        <v>19</v>
      </c>
      <c r="S303" s="6" t="str">
        <f>TEXT(SuperMarket_Analysis[[#This Row],[Date]],"mmmm")</f>
        <v>March</v>
      </c>
      <c r="T303" s="6">
        <f>YEAR(SuperMarket_Analysis[[#This Row],[Date]])</f>
        <v>2019</v>
      </c>
    </row>
    <row r="304" spans="1:20" x14ac:dyDescent="0.3">
      <c r="A304" t="s">
        <v>335</v>
      </c>
      <c r="B304" t="s">
        <v>22</v>
      </c>
      <c r="C304" t="s">
        <v>23</v>
      </c>
      <c r="D304" t="s">
        <v>24</v>
      </c>
      <c r="E304" t="s">
        <v>174</v>
      </c>
      <c r="F304" t="s">
        <v>40</v>
      </c>
      <c r="G304" s="3">
        <v>48.61</v>
      </c>
      <c r="H304" s="6">
        <v>1</v>
      </c>
      <c r="I304" s="3">
        <v>2.4304999999999999</v>
      </c>
      <c r="J304" s="3">
        <v>51.040500000000002</v>
      </c>
      <c r="K304" s="2">
        <v>43491</v>
      </c>
      <c r="L304" s="1">
        <v>0.64652777777777781</v>
      </c>
      <c r="M304" t="s">
        <v>26</v>
      </c>
      <c r="N304" s="3">
        <v>48.61</v>
      </c>
      <c r="O304" s="4">
        <v>4.7619047620000003</v>
      </c>
      <c r="P304" s="5">
        <v>2.4304999999999999</v>
      </c>
      <c r="Q304">
        <v>4.4000000000000004</v>
      </c>
      <c r="R304" s="6">
        <f>DAY(SuperMarket_Analysis[[#This Row],[Date]])</f>
        <v>26</v>
      </c>
      <c r="S304" s="6" t="str">
        <f>TEXT(SuperMarket_Analysis[[#This Row],[Date]],"mmmm")</f>
        <v>January</v>
      </c>
      <c r="T304" s="6">
        <f>YEAR(SuperMarket_Analysis[[#This Row],[Date]])</f>
        <v>2019</v>
      </c>
    </row>
    <row r="305" spans="1:20" x14ac:dyDescent="0.3">
      <c r="A305" t="s">
        <v>336</v>
      </c>
      <c r="B305" t="s">
        <v>15</v>
      </c>
      <c r="C305" t="s">
        <v>16</v>
      </c>
      <c r="D305" t="s">
        <v>24</v>
      </c>
      <c r="E305" t="s">
        <v>18</v>
      </c>
      <c r="F305" t="s">
        <v>25</v>
      </c>
      <c r="G305" s="3">
        <v>51.19</v>
      </c>
      <c r="H305" s="6">
        <v>4</v>
      </c>
      <c r="I305" s="3">
        <v>10.238</v>
      </c>
      <c r="J305" s="3">
        <v>214.99799999999999</v>
      </c>
      <c r="K305" s="2">
        <v>43488</v>
      </c>
      <c r="L305" s="1">
        <v>0.71875</v>
      </c>
      <c r="M305" t="s">
        <v>29</v>
      </c>
      <c r="N305" s="3">
        <v>204.76</v>
      </c>
      <c r="O305" s="4">
        <v>4.7619047620000003</v>
      </c>
      <c r="P305" s="5">
        <v>10.238</v>
      </c>
      <c r="Q305">
        <v>4.7</v>
      </c>
      <c r="R305" s="6">
        <f>DAY(SuperMarket_Analysis[[#This Row],[Date]])</f>
        <v>23</v>
      </c>
      <c r="S305" s="6" t="str">
        <f>TEXT(SuperMarket_Analysis[[#This Row],[Date]],"mmmm")</f>
        <v>January</v>
      </c>
      <c r="T305" s="6">
        <f>YEAR(SuperMarket_Analysis[[#This Row],[Date]])</f>
        <v>2019</v>
      </c>
    </row>
    <row r="306" spans="1:20" x14ac:dyDescent="0.3">
      <c r="A306" t="s">
        <v>337</v>
      </c>
      <c r="B306" t="s">
        <v>38</v>
      </c>
      <c r="C306" t="s">
        <v>39</v>
      </c>
      <c r="D306" t="s">
        <v>24</v>
      </c>
      <c r="E306" t="s">
        <v>18</v>
      </c>
      <c r="F306" t="s">
        <v>25</v>
      </c>
      <c r="G306" s="3">
        <v>14.96</v>
      </c>
      <c r="H306" s="6">
        <v>8</v>
      </c>
      <c r="I306" s="3">
        <v>5.984</v>
      </c>
      <c r="J306" s="3">
        <v>125.664</v>
      </c>
      <c r="K306" s="2">
        <v>43518</v>
      </c>
      <c r="L306" s="1">
        <v>0.52013888888888893</v>
      </c>
      <c r="M306" t="s">
        <v>26</v>
      </c>
      <c r="N306" s="3">
        <v>119.68</v>
      </c>
      <c r="O306" s="4">
        <v>4.7619047620000003</v>
      </c>
      <c r="P306" s="5">
        <v>5.984</v>
      </c>
      <c r="Q306">
        <v>8.6</v>
      </c>
      <c r="R306" s="6">
        <f>DAY(SuperMarket_Analysis[[#This Row],[Date]])</f>
        <v>22</v>
      </c>
      <c r="S306" s="6" t="str">
        <f>TEXT(SuperMarket_Analysis[[#This Row],[Date]],"mmmm")</f>
        <v>February</v>
      </c>
      <c r="T306" s="6">
        <f>YEAR(SuperMarket_Analysis[[#This Row],[Date]])</f>
        <v>2019</v>
      </c>
    </row>
    <row r="307" spans="1:20" x14ac:dyDescent="0.3">
      <c r="A307" t="s">
        <v>338</v>
      </c>
      <c r="B307" t="s">
        <v>15</v>
      </c>
      <c r="C307" t="s">
        <v>16</v>
      </c>
      <c r="D307" t="s">
        <v>17</v>
      </c>
      <c r="E307" t="s">
        <v>174</v>
      </c>
      <c r="F307" t="s">
        <v>25</v>
      </c>
      <c r="G307" s="3">
        <v>72.2</v>
      </c>
      <c r="H307" s="6">
        <v>7</v>
      </c>
      <c r="I307" s="3">
        <v>25.27</v>
      </c>
      <c r="J307" s="3">
        <v>530.66999999999996</v>
      </c>
      <c r="K307" s="2">
        <v>43549</v>
      </c>
      <c r="L307" s="1">
        <v>0.84305555555555556</v>
      </c>
      <c r="M307" t="s">
        <v>20</v>
      </c>
      <c r="N307" s="3">
        <v>505.4</v>
      </c>
      <c r="O307" s="4">
        <v>4.7619047620000003</v>
      </c>
      <c r="P307" s="5">
        <v>25.27</v>
      </c>
      <c r="Q307">
        <v>4.3</v>
      </c>
      <c r="R307" s="6">
        <f>DAY(SuperMarket_Analysis[[#This Row],[Date]])</f>
        <v>25</v>
      </c>
      <c r="S307" s="6" t="str">
        <f>TEXT(SuperMarket_Analysis[[#This Row],[Date]],"mmmm")</f>
        <v>March</v>
      </c>
      <c r="T307" s="6">
        <f>YEAR(SuperMarket_Analysis[[#This Row],[Date]])</f>
        <v>2019</v>
      </c>
    </row>
    <row r="308" spans="1:20" x14ac:dyDescent="0.3">
      <c r="A308" t="s">
        <v>339</v>
      </c>
      <c r="B308" t="s">
        <v>15</v>
      </c>
      <c r="C308" t="s">
        <v>16</v>
      </c>
      <c r="D308" t="s">
        <v>24</v>
      </c>
      <c r="E308" t="s">
        <v>18</v>
      </c>
      <c r="F308" t="s">
        <v>32</v>
      </c>
      <c r="G308" s="3">
        <v>40.229999999999997</v>
      </c>
      <c r="H308" s="6">
        <v>7</v>
      </c>
      <c r="I308" s="3">
        <v>14.080500000000001</v>
      </c>
      <c r="J308" s="3">
        <v>295.69049999999999</v>
      </c>
      <c r="K308" s="2">
        <v>43485</v>
      </c>
      <c r="L308" s="1">
        <v>0.55694444444444446</v>
      </c>
      <c r="M308" t="s">
        <v>26</v>
      </c>
      <c r="N308" s="3">
        <v>281.61</v>
      </c>
      <c r="O308" s="4">
        <v>4.7619047620000003</v>
      </c>
      <c r="P308" s="5">
        <v>14.080500000000001</v>
      </c>
      <c r="Q308">
        <v>9.6</v>
      </c>
      <c r="R308" s="6">
        <f>DAY(SuperMarket_Analysis[[#This Row],[Date]])</f>
        <v>20</v>
      </c>
      <c r="S308" s="6" t="str">
        <f>TEXT(SuperMarket_Analysis[[#This Row],[Date]],"mmmm")</f>
        <v>January</v>
      </c>
      <c r="T308" s="6">
        <f>YEAR(SuperMarket_Analysis[[#This Row],[Date]])</f>
        <v>2019</v>
      </c>
    </row>
    <row r="309" spans="1:20" x14ac:dyDescent="0.3">
      <c r="A309" t="s">
        <v>340</v>
      </c>
      <c r="B309" t="s">
        <v>15</v>
      </c>
      <c r="C309" t="s">
        <v>16</v>
      </c>
      <c r="D309" t="s">
        <v>17</v>
      </c>
      <c r="E309" t="s">
        <v>18</v>
      </c>
      <c r="F309" t="s">
        <v>28</v>
      </c>
      <c r="G309" s="3">
        <v>88.79</v>
      </c>
      <c r="H309" s="6">
        <v>8</v>
      </c>
      <c r="I309" s="3">
        <v>35.515999999999998</v>
      </c>
      <c r="J309" s="3">
        <v>745.83600000000001</v>
      </c>
      <c r="K309" s="2">
        <v>43495</v>
      </c>
      <c r="L309" s="1">
        <v>0.71458333333333335</v>
      </c>
      <c r="M309" t="s">
        <v>26</v>
      </c>
      <c r="N309" s="3">
        <v>710.32</v>
      </c>
      <c r="O309" s="4">
        <v>4.7619047620000003</v>
      </c>
      <c r="P309" s="5">
        <v>35.515999999999998</v>
      </c>
      <c r="Q309">
        <v>4.0999999999999996</v>
      </c>
      <c r="R309" s="6">
        <f>DAY(SuperMarket_Analysis[[#This Row],[Date]])</f>
        <v>30</v>
      </c>
      <c r="S309" s="6" t="str">
        <f>TEXT(SuperMarket_Analysis[[#This Row],[Date]],"mmmm")</f>
        <v>January</v>
      </c>
      <c r="T309" s="6">
        <f>YEAR(SuperMarket_Analysis[[#This Row],[Date]])</f>
        <v>2019</v>
      </c>
    </row>
    <row r="310" spans="1:20" x14ac:dyDescent="0.3">
      <c r="A310" t="s">
        <v>341</v>
      </c>
      <c r="B310" t="s">
        <v>15</v>
      </c>
      <c r="C310" t="s">
        <v>16</v>
      </c>
      <c r="D310" t="s">
        <v>17</v>
      </c>
      <c r="E310" t="s">
        <v>18</v>
      </c>
      <c r="F310" t="s">
        <v>25</v>
      </c>
      <c r="G310" s="3">
        <v>26.48</v>
      </c>
      <c r="H310" s="6">
        <v>3</v>
      </c>
      <c r="I310" s="3">
        <v>3.972</v>
      </c>
      <c r="J310" s="3">
        <v>83.412000000000006</v>
      </c>
      <c r="K310" s="2">
        <v>43553</v>
      </c>
      <c r="L310" s="1">
        <v>0.44444444444444442</v>
      </c>
      <c r="M310" t="s">
        <v>20</v>
      </c>
      <c r="N310" s="3">
        <v>79.44</v>
      </c>
      <c r="O310" s="4">
        <v>4.7619047620000003</v>
      </c>
      <c r="P310" s="5">
        <v>3.972</v>
      </c>
      <c r="Q310">
        <v>4.7</v>
      </c>
      <c r="R310" s="6">
        <f>DAY(SuperMarket_Analysis[[#This Row],[Date]])</f>
        <v>29</v>
      </c>
      <c r="S310" s="6" t="str">
        <f>TEXT(SuperMarket_Analysis[[#This Row],[Date]],"mmmm")</f>
        <v>March</v>
      </c>
      <c r="T310" s="6">
        <f>YEAR(SuperMarket_Analysis[[#This Row],[Date]])</f>
        <v>2019</v>
      </c>
    </row>
    <row r="311" spans="1:20" x14ac:dyDescent="0.3">
      <c r="A311" t="s">
        <v>342</v>
      </c>
      <c r="B311" t="s">
        <v>15</v>
      </c>
      <c r="C311" t="s">
        <v>16</v>
      </c>
      <c r="D311" t="s">
        <v>24</v>
      </c>
      <c r="E311" t="s">
        <v>18</v>
      </c>
      <c r="F311" t="s">
        <v>42</v>
      </c>
      <c r="G311" s="3">
        <v>81.91</v>
      </c>
      <c r="H311" s="6">
        <v>2</v>
      </c>
      <c r="I311" s="3">
        <v>8.1910000000000007</v>
      </c>
      <c r="J311" s="3">
        <v>172.011</v>
      </c>
      <c r="K311" s="2">
        <v>43538</v>
      </c>
      <c r="L311" s="1">
        <v>0.73819444444444449</v>
      </c>
      <c r="M311" t="s">
        <v>26</v>
      </c>
      <c r="N311" s="3">
        <v>163.82</v>
      </c>
      <c r="O311" s="4">
        <v>4.7619047620000003</v>
      </c>
      <c r="P311" s="5">
        <v>8.1910000000000007</v>
      </c>
      <c r="Q311">
        <v>7.8</v>
      </c>
      <c r="R311" s="6">
        <f>DAY(SuperMarket_Analysis[[#This Row],[Date]])</f>
        <v>14</v>
      </c>
      <c r="S311" s="6" t="str">
        <f>TEXT(SuperMarket_Analysis[[#This Row],[Date]],"mmmm")</f>
        <v>March</v>
      </c>
      <c r="T311" s="6">
        <f>YEAR(SuperMarket_Analysis[[#This Row],[Date]])</f>
        <v>2019</v>
      </c>
    </row>
    <row r="312" spans="1:20" x14ac:dyDescent="0.3">
      <c r="A312" t="s">
        <v>343</v>
      </c>
      <c r="B312" t="s">
        <v>38</v>
      </c>
      <c r="C312" t="s">
        <v>39</v>
      </c>
      <c r="D312" t="s">
        <v>17</v>
      </c>
      <c r="E312" t="s">
        <v>174</v>
      </c>
      <c r="F312" t="s">
        <v>32</v>
      </c>
      <c r="G312" s="3">
        <v>79.930000000000007</v>
      </c>
      <c r="H312" s="6">
        <v>6</v>
      </c>
      <c r="I312" s="3">
        <v>23.978999999999999</v>
      </c>
      <c r="J312" s="3">
        <v>503.55900000000003</v>
      </c>
      <c r="K312" s="2">
        <v>43495</v>
      </c>
      <c r="L312" s="1">
        <v>0.58611111111111114</v>
      </c>
      <c r="M312" t="s">
        <v>26</v>
      </c>
      <c r="N312" s="3">
        <v>479.58</v>
      </c>
      <c r="O312" s="4">
        <v>4.7619047620000003</v>
      </c>
      <c r="P312" s="5">
        <v>23.978999999999999</v>
      </c>
      <c r="Q312">
        <v>5.5</v>
      </c>
      <c r="R312" s="6">
        <f>DAY(SuperMarket_Analysis[[#This Row],[Date]])</f>
        <v>30</v>
      </c>
      <c r="S312" s="6" t="str">
        <f>TEXT(SuperMarket_Analysis[[#This Row],[Date]],"mmmm")</f>
        <v>January</v>
      </c>
      <c r="T312" s="6">
        <f>YEAR(SuperMarket_Analysis[[#This Row],[Date]])</f>
        <v>2019</v>
      </c>
    </row>
    <row r="313" spans="1:20" x14ac:dyDescent="0.3">
      <c r="A313" t="s">
        <v>344</v>
      </c>
      <c r="B313" t="s">
        <v>22</v>
      </c>
      <c r="C313" t="s">
        <v>23</v>
      </c>
      <c r="D313" t="s">
        <v>17</v>
      </c>
      <c r="E313" t="s">
        <v>174</v>
      </c>
      <c r="F313" t="s">
        <v>42</v>
      </c>
      <c r="G313" s="3">
        <v>69.33</v>
      </c>
      <c r="H313" s="6">
        <v>2</v>
      </c>
      <c r="I313" s="3">
        <v>6.9329999999999998</v>
      </c>
      <c r="J313" s="3">
        <v>145.59299999999999</v>
      </c>
      <c r="K313" s="2">
        <v>43544</v>
      </c>
      <c r="L313" s="1">
        <v>0.79513888888888884</v>
      </c>
      <c r="M313" t="s">
        <v>20</v>
      </c>
      <c r="N313" s="3">
        <v>138.66</v>
      </c>
      <c r="O313" s="4">
        <v>4.7619047620000003</v>
      </c>
      <c r="P313" s="5">
        <v>6.9329999999999998</v>
      </c>
      <c r="Q313">
        <v>9.6999999999999993</v>
      </c>
      <c r="R313" s="6">
        <f>DAY(SuperMarket_Analysis[[#This Row],[Date]])</f>
        <v>20</v>
      </c>
      <c r="S313" s="6" t="str">
        <f>TEXT(SuperMarket_Analysis[[#This Row],[Date]],"mmmm")</f>
        <v>March</v>
      </c>
      <c r="T313" s="6">
        <f>YEAR(SuperMarket_Analysis[[#This Row],[Date]])</f>
        <v>2019</v>
      </c>
    </row>
    <row r="314" spans="1:20" x14ac:dyDescent="0.3">
      <c r="A314" t="s">
        <v>345</v>
      </c>
      <c r="B314" t="s">
        <v>15</v>
      </c>
      <c r="C314" t="s">
        <v>16</v>
      </c>
      <c r="D314" t="s">
        <v>17</v>
      </c>
      <c r="E314" t="s">
        <v>18</v>
      </c>
      <c r="F314" t="s">
        <v>40</v>
      </c>
      <c r="G314" s="3">
        <v>14.23</v>
      </c>
      <c r="H314" s="6">
        <v>5</v>
      </c>
      <c r="I314" s="3">
        <v>3.5575000000000001</v>
      </c>
      <c r="J314" s="3">
        <v>74.707499999999996</v>
      </c>
      <c r="K314" s="2">
        <v>43544</v>
      </c>
      <c r="L314" s="1">
        <v>0.42222222222222222</v>
      </c>
      <c r="M314" t="s">
        <v>29</v>
      </c>
      <c r="N314" s="3">
        <v>71.150000000000006</v>
      </c>
      <c r="O314" s="4">
        <v>4.7619047620000003</v>
      </c>
      <c r="P314" s="5">
        <v>3.5575000000000001</v>
      </c>
      <c r="Q314">
        <v>4.4000000000000004</v>
      </c>
      <c r="R314" s="6">
        <f>DAY(SuperMarket_Analysis[[#This Row],[Date]])</f>
        <v>20</v>
      </c>
      <c r="S314" s="6" t="str">
        <f>TEXT(SuperMarket_Analysis[[#This Row],[Date]],"mmmm")</f>
        <v>March</v>
      </c>
      <c r="T314" s="6">
        <f>YEAR(SuperMarket_Analysis[[#This Row],[Date]])</f>
        <v>2019</v>
      </c>
    </row>
    <row r="315" spans="1:20" x14ac:dyDescent="0.3">
      <c r="A315" t="s">
        <v>346</v>
      </c>
      <c r="B315" t="s">
        <v>15</v>
      </c>
      <c r="C315" t="s">
        <v>16</v>
      </c>
      <c r="D315" t="s">
        <v>17</v>
      </c>
      <c r="E315" t="s">
        <v>18</v>
      </c>
      <c r="F315" t="s">
        <v>19</v>
      </c>
      <c r="G315" s="3">
        <v>15.55</v>
      </c>
      <c r="H315" s="6">
        <v>9</v>
      </c>
      <c r="I315" s="3">
        <v>6.9974999999999996</v>
      </c>
      <c r="J315" s="3">
        <v>146.94749999999999</v>
      </c>
      <c r="K315" s="2">
        <v>43482</v>
      </c>
      <c r="L315" s="1">
        <v>0.55000000000000004</v>
      </c>
      <c r="M315" t="s">
        <v>26</v>
      </c>
      <c r="N315" s="3">
        <v>139.94999999999999</v>
      </c>
      <c r="O315" s="4">
        <v>4.7619047620000003</v>
      </c>
      <c r="P315" s="5">
        <v>6.9974999999999996</v>
      </c>
      <c r="Q315">
        <v>5</v>
      </c>
      <c r="R315" s="6">
        <f>DAY(SuperMarket_Analysis[[#This Row],[Date]])</f>
        <v>17</v>
      </c>
      <c r="S315" s="6" t="str">
        <f>TEXT(SuperMarket_Analysis[[#This Row],[Date]],"mmmm")</f>
        <v>January</v>
      </c>
      <c r="T315" s="6">
        <f>YEAR(SuperMarket_Analysis[[#This Row],[Date]])</f>
        <v>2019</v>
      </c>
    </row>
    <row r="316" spans="1:20" x14ac:dyDescent="0.3">
      <c r="A316" t="s">
        <v>347</v>
      </c>
      <c r="B316" t="s">
        <v>22</v>
      </c>
      <c r="C316" t="s">
        <v>23</v>
      </c>
      <c r="D316" t="s">
        <v>17</v>
      </c>
      <c r="E316" t="s">
        <v>18</v>
      </c>
      <c r="F316" t="s">
        <v>25</v>
      </c>
      <c r="G316" s="3">
        <v>78.13</v>
      </c>
      <c r="H316" s="6">
        <v>10</v>
      </c>
      <c r="I316" s="3">
        <v>39.064999999999998</v>
      </c>
      <c r="J316" s="3">
        <v>820.36500000000001</v>
      </c>
      <c r="K316" s="2">
        <v>43521</v>
      </c>
      <c r="L316" s="1">
        <v>0.86875000000000002</v>
      </c>
      <c r="M316" t="s">
        <v>26</v>
      </c>
      <c r="N316" s="3">
        <v>781.3</v>
      </c>
      <c r="O316" s="4">
        <v>4.7619047620000003</v>
      </c>
      <c r="P316" s="5">
        <v>39.064999999999998</v>
      </c>
      <c r="Q316">
        <v>4.4000000000000004</v>
      </c>
      <c r="R316" s="6">
        <f>DAY(SuperMarket_Analysis[[#This Row],[Date]])</f>
        <v>25</v>
      </c>
      <c r="S316" s="6" t="str">
        <f>TEXT(SuperMarket_Analysis[[#This Row],[Date]],"mmmm")</f>
        <v>February</v>
      </c>
      <c r="T316" s="6">
        <f>YEAR(SuperMarket_Analysis[[#This Row],[Date]])</f>
        <v>2019</v>
      </c>
    </row>
    <row r="317" spans="1:20" x14ac:dyDescent="0.3">
      <c r="A317" t="s">
        <v>348</v>
      </c>
      <c r="B317" t="s">
        <v>22</v>
      </c>
      <c r="C317" t="s">
        <v>23</v>
      </c>
      <c r="D317" t="s">
        <v>17</v>
      </c>
      <c r="E317" t="s">
        <v>174</v>
      </c>
      <c r="F317" t="s">
        <v>40</v>
      </c>
      <c r="G317" s="3">
        <v>99.37</v>
      </c>
      <c r="H317" s="6">
        <v>2</v>
      </c>
      <c r="I317" s="3">
        <v>9.9369999999999994</v>
      </c>
      <c r="J317" s="3">
        <v>208.67699999999999</v>
      </c>
      <c r="K317" s="2">
        <v>43494</v>
      </c>
      <c r="L317" s="1">
        <v>0.72847222222222219</v>
      </c>
      <c r="M317" t="s">
        <v>26</v>
      </c>
      <c r="N317" s="3">
        <v>198.74</v>
      </c>
      <c r="O317" s="4">
        <v>4.7619047620000003</v>
      </c>
      <c r="P317" s="5">
        <v>9.9369999999999994</v>
      </c>
      <c r="Q317">
        <v>5.2</v>
      </c>
      <c r="R317" s="6">
        <f>DAY(SuperMarket_Analysis[[#This Row],[Date]])</f>
        <v>29</v>
      </c>
      <c r="S317" s="6" t="str">
        <f>TEXT(SuperMarket_Analysis[[#This Row],[Date]],"mmmm")</f>
        <v>January</v>
      </c>
      <c r="T317" s="6">
        <f>YEAR(SuperMarket_Analysis[[#This Row],[Date]])</f>
        <v>2019</v>
      </c>
    </row>
    <row r="318" spans="1:20" x14ac:dyDescent="0.3">
      <c r="A318" t="s">
        <v>349</v>
      </c>
      <c r="B318" t="s">
        <v>22</v>
      </c>
      <c r="C318" t="s">
        <v>23</v>
      </c>
      <c r="D318" t="s">
        <v>17</v>
      </c>
      <c r="E318" t="s">
        <v>18</v>
      </c>
      <c r="F318" t="s">
        <v>40</v>
      </c>
      <c r="G318" s="3">
        <v>21.08</v>
      </c>
      <c r="H318" s="6">
        <v>3</v>
      </c>
      <c r="I318" s="3">
        <v>3.1619999999999999</v>
      </c>
      <c r="J318" s="3">
        <v>66.402000000000001</v>
      </c>
      <c r="K318" s="2">
        <v>43478</v>
      </c>
      <c r="L318" s="1">
        <v>0.43402777777777779</v>
      </c>
      <c r="M318" t="s">
        <v>26</v>
      </c>
      <c r="N318" s="3">
        <v>63.24</v>
      </c>
      <c r="O318" s="4">
        <v>4.7619047620000003</v>
      </c>
      <c r="P318" s="5">
        <v>3.1619999999999999</v>
      </c>
      <c r="Q318">
        <v>7.3</v>
      </c>
      <c r="R318" s="6">
        <f>DAY(SuperMarket_Analysis[[#This Row],[Date]])</f>
        <v>13</v>
      </c>
      <c r="S318" s="6" t="str">
        <f>TEXT(SuperMarket_Analysis[[#This Row],[Date]],"mmmm")</f>
        <v>January</v>
      </c>
      <c r="T318" s="6">
        <f>YEAR(SuperMarket_Analysis[[#This Row],[Date]])</f>
        <v>2019</v>
      </c>
    </row>
    <row r="319" spans="1:20" x14ac:dyDescent="0.3">
      <c r="A319" t="s">
        <v>350</v>
      </c>
      <c r="B319" t="s">
        <v>22</v>
      </c>
      <c r="C319" t="s">
        <v>23</v>
      </c>
      <c r="D319" t="s">
        <v>17</v>
      </c>
      <c r="E319" t="s">
        <v>174</v>
      </c>
      <c r="F319" t="s">
        <v>25</v>
      </c>
      <c r="G319" s="3">
        <v>74.790000000000006</v>
      </c>
      <c r="H319" s="6">
        <v>5</v>
      </c>
      <c r="I319" s="3">
        <v>18.697500000000002</v>
      </c>
      <c r="J319" s="3">
        <v>392.64749999999998</v>
      </c>
      <c r="K319" s="2">
        <v>43546</v>
      </c>
      <c r="L319" s="1">
        <v>0.48194444444444445</v>
      </c>
      <c r="M319" t="s">
        <v>26</v>
      </c>
      <c r="N319" s="3">
        <v>373.95</v>
      </c>
      <c r="O319" s="4">
        <v>4.7619047620000003</v>
      </c>
      <c r="P319" s="5">
        <v>18.697500000000002</v>
      </c>
      <c r="Q319">
        <v>4.9000000000000004</v>
      </c>
      <c r="R319" s="6">
        <f>DAY(SuperMarket_Analysis[[#This Row],[Date]])</f>
        <v>22</v>
      </c>
      <c r="S319" s="6" t="str">
        <f>TEXT(SuperMarket_Analysis[[#This Row],[Date]],"mmmm")</f>
        <v>March</v>
      </c>
      <c r="T319" s="6">
        <f>YEAR(SuperMarket_Analysis[[#This Row],[Date]])</f>
        <v>2019</v>
      </c>
    </row>
    <row r="320" spans="1:20" x14ac:dyDescent="0.3">
      <c r="A320" t="s">
        <v>351</v>
      </c>
      <c r="B320" t="s">
        <v>22</v>
      </c>
      <c r="C320" t="s">
        <v>23</v>
      </c>
      <c r="D320" t="s">
        <v>17</v>
      </c>
      <c r="E320" t="s">
        <v>18</v>
      </c>
      <c r="F320" t="s">
        <v>19</v>
      </c>
      <c r="G320" s="3">
        <v>29.67</v>
      </c>
      <c r="H320" s="6">
        <v>7</v>
      </c>
      <c r="I320" s="3">
        <v>10.384499999999999</v>
      </c>
      <c r="J320" s="3">
        <v>218.0745</v>
      </c>
      <c r="K320" s="2">
        <v>43516</v>
      </c>
      <c r="L320" s="1">
        <v>0.79027777777777775</v>
      </c>
      <c r="M320" t="s">
        <v>29</v>
      </c>
      <c r="N320" s="3">
        <v>207.69</v>
      </c>
      <c r="O320" s="4">
        <v>4.7619047620000003</v>
      </c>
      <c r="P320" s="5">
        <v>10.384499999999999</v>
      </c>
      <c r="Q320">
        <v>8.1</v>
      </c>
      <c r="R320" s="6">
        <f>DAY(SuperMarket_Analysis[[#This Row],[Date]])</f>
        <v>20</v>
      </c>
      <c r="S320" s="6" t="str">
        <f>TEXT(SuperMarket_Analysis[[#This Row],[Date]],"mmmm")</f>
        <v>February</v>
      </c>
      <c r="T320" s="6">
        <f>YEAR(SuperMarket_Analysis[[#This Row],[Date]])</f>
        <v>2019</v>
      </c>
    </row>
    <row r="321" spans="1:20" x14ac:dyDescent="0.3">
      <c r="A321" t="s">
        <v>352</v>
      </c>
      <c r="B321" t="s">
        <v>22</v>
      </c>
      <c r="C321" t="s">
        <v>23</v>
      </c>
      <c r="D321" t="s">
        <v>17</v>
      </c>
      <c r="E321" t="s">
        <v>174</v>
      </c>
      <c r="F321" t="s">
        <v>19</v>
      </c>
      <c r="G321" s="3">
        <v>44.07</v>
      </c>
      <c r="H321" s="6">
        <v>4</v>
      </c>
      <c r="I321" s="3">
        <v>8.8140000000000001</v>
      </c>
      <c r="J321" s="3">
        <v>185.09399999999999</v>
      </c>
      <c r="K321" s="2">
        <v>43479</v>
      </c>
      <c r="L321" s="1">
        <v>0.68611111111111112</v>
      </c>
      <c r="M321" t="s">
        <v>20</v>
      </c>
      <c r="N321" s="3">
        <v>176.28</v>
      </c>
      <c r="O321" s="4">
        <v>4.7619047620000003</v>
      </c>
      <c r="P321" s="5">
        <v>8.8140000000000001</v>
      </c>
      <c r="Q321">
        <v>8.4</v>
      </c>
      <c r="R321" s="6">
        <f>DAY(SuperMarket_Analysis[[#This Row],[Date]])</f>
        <v>14</v>
      </c>
      <c r="S321" s="6" t="str">
        <f>TEXT(SuperMarket_Analysis[[#This Row],[Date]],"mmmm")</f>
        <v>January</v>
      </c>
      <c r="T321" s="6">
        <f>YEAR(SuperMarket_Analysis[[#This Row],[Date]])</f>
        <v>2019</v>
      </c>
    </row>
    <row r="322" spans="1:20" x14ac:dyDescent="0.3">
      <c r="A322" t="s">
        <v>353</v>
      </c>
      <c r="B322" t="s">
        <v>22</v>
      </c>
      <c r="C322" t="s">
        <v>23</v>
      </c>
      <c r="D322" t="s">
        <v>24</v>
      </c>
      <c r="E322" t="s">
        <v>18</v>
      </c>
      <c r="F322" t="s">
        <v>40</v>
      </c>
      <c r="G322" s="3">
        <v>22.93</v>
      </c>
      <c r="H322" s="6">
        <v>9</v>
      </c>
      <c r="I322" s="3">
        <v>10.3185</v>
      </c>
      <c r="J322" s="3">
        <v>216.6885</v>
      </c>
      <c r="K322" s="2">
        <v>43550</v>
      </c>
      <c r="L322" s="1">
        <v>0.85138888888888886</v>
      </c>
      <c r="M322" t="s">
        <v>26</v>
      </c>
      <c r="N322" s="3">
        <v>206.37</v>
      </c>
      <c r="O322" s="4">
        <v>4.7619047620000003</v>
      </c>
      <c r="P322" s="5">
        <v>10.3185</v>
      </c>
      <c r="Q322">
        <v>5.5</v>
      </c>
      <c r="R322" s="6">
        <f>DAY(SuperMarket_Analysis[[#This Row],[Date]])</f>
        <v>26</v>
      </c>
      <c r="S322" s="6" t="str">
        <f>TEXT(SuperMarket_Analysis[[#This Row],[Date]],"mmmm")</f>
        <v>March</v>
      </c>
      <c r="T322" s="6">
        <f>YEAR(SuperMarket_Analysis[[#This Row],[Date]])</f>
        <v>2019</v>
      </c>
    </row>
    <row r="323" spans="1:20" x14ac:dyDescent="0.3">
      <c r="A323" t="s">
        <v>354</v>
      </c>
      <c r="B323" t="s">
        <v>22</v>
      </c>
      <c r="C323" t="s">
        <v>23</v>
      </c>
      <c r="D323" t="s">
        <v>24</v>
      </c>
      <c r="E323" t="s">
        <v>18</v>
      </c>
      <c r="F323" t="s">
        <v>19</v>
      </c>
      <c r="G323" s="3">
        <v>39.42</v>
      </c>
      <c r="H323" s="6">
        <v>1</v>
      </c>
      <c r="I323" s="3">
        <v>1.9710000000000001</v>
      </c>
      <c r="J323" s="3">
        <v>41.390999999999998</v>
      </c>
      <c r="K323" s="2">
        <v>43509</v>
      </c>
      <c r="L323" s="1">
        <v>0.63055555555555554</v>
      </c>
      <c r="M323" t="s">
        <v>26</v>
      </c>
      <c r="N323" s="3">
        <v>39.42</v>
      </c>
      <c r="O323" s="4">
        <v>4.7619047620000003</v>
      </c>
      <c r="P323" s="5">
        <v>1.9710000000000001</v>
      </c>
      <c r="Q323">
        <v>8.4</v>
      </c>
      <c r="R323" s="6">
        <f>DAY(SuperMarket_Analysis[[#This Row],[Date]])</f>
        <v>13</v>
      </c>
      <c r="S323" s="6" t="str">
        <f>TEXT(SuperMarket_Analysis[[#This Row],[Date]],"mmmm")</f>
        <v>February</v>
      </c>
      <c r="T323" s="6">
        <f>YEAR(SuperMarket_Analysis[[#This Row],[Date]])</f>
        <v>2019</v>
      </c>
    </row>
    <row r="324" spans="1:20" x14ac:dyDescent="0.3">
      <c r="A324" t="s">
        <v>355</v>
      </c>
      <c r="B324" t="s">
        <v>15</v>
      </c>
      <c r="C324" t="s">
        <v>16</v>
      </c>
      <c r="D324" t="s">
        <v>24</v>
      </c>
      <c r="E324" t="s">
        <v>174</v>
      </c>
      <c r="F324" t="s">
        <v>19</v>
      </c>
      <c r="G324" s="3">
        <v>15.26</v>
      </c>
      <c r="H324" s="6">
        <v>6</v>
      </c>
      <c r="I324" s="3">
        <v>4.5780000000000003</v>
      </c>
      <c r="J324" s="3">
        <v>96.138000000000005</v>
      </c>
      <c r="K324" s="2">
        <v>43479</v>
      </c>
      <c r="L324" s="1">
        <v>0.75208333333333333</v>
      </c>
      <c r="M324" t="s">
        <v>20</v>
      </c>
      <c r="N324" s="3">
        <v>91.56</v>
      </c>
      <c r="O324" s="4">
        <v>4.7619047620000003</v>
      </c>
      <c r="P324" s="5">
        <v>4.5780000000000003</v>
      </c>
      <c r="Q324">
        <v>9.8000000000000007</v>
      </c>
      <c r="R324" s="6">
        <f>DAY(SuperMarket_Analysis[[#This Row],[Date]])</f>
        <v>14</v>
      </c>
      <c r="S324" s="6" t="str">
        <f>TEXT(SuperMarket_Analysis[[#This Row],[Date]],"mmmm")</f>
        <v>January</v>
      </c>
      <c r="T324" s="6">
        <f>YEAR(SuperMarket_Analysis[[#This Row],[Date]])</f>
        <v>2019</v>
      </c>
    </row>
    <row r="325" spans="1:20" x14ac:dyDescent="0.3">
      <c r="A325" t="s">
        <v>356</v>
      </c>
      <c r="B325" t="s">
        <v>15</v>
      </c>
      <c r="C325" t="s">
        <v>16</v>
      </c>
      <c r="D325" t="s">
        <v>24</v>
      </c>
      <c r="E325" t="s">
        <v>18</v>
      </c>
      <c r="F325" t="s">
        <v>42</v>
      </c>
      <c r="G325" s="3">
        <v>61.77</v>
      </c>
      <c r="H325" s="6">
        <v>5</v>
      </c>
      <c r="I325" s="3">
        <v>15.442500000000001</v>
      </c>
      <c r="J325" s="3">
        <v>324.29250000000002</v>
      </c>
      <c r="K325" s="2">
        <v>43484</v>
      </c>
      <c r="L325" s="1">
        <v>0.55625000000000002</v>
      </c>
      <c r="M325" t="s">
        <v>26</v>
      </c>
      <c r="N325" s="3">
        <v>308.85000000000002</v>
      </c>
      <c r="O325" s="4">
        <v>4.7619047620000003</v>
      </c>
      <c r="P325" s="5">
        <v>15.442500000000001</v>
      </c>
      <c r="Q325">
        <v>6.7</v>
      </c>
      <c r="R325" s="6">
        <f>DAY(SuperMarket_Analysis[[#This Row],[Date]])</f>
        <v>19</v>
      </c>
      <c r="S325" s="6" t="str">
        <f>TEXT(SuperMarket_Analysis[[#This Row],[Date]],"mmmm")</f>
        <v>January</v>
      </c>
      <c r="T325" s="6">
        <f>YEAR(SuperMarket_Analysis[[#This Row],[Date]])</f>
        <v>2019</v>
      </c>
    </row>
    <row r="326" spans="1:20" x14ac:dyDescent="0.3">
      <c r="A326" t="s">
        <v>357</v>
      </c>
      <c r="B326" t="s">
        <v>15</v>
      </c>
      <c r="C326" t="s">
        <v>16</v>
      </c>
      <c r="D326" t="s">
        <v>24</v>
      </c>
      <c r="E326" t="s">
        <v>174</v>
      </c>
      <c r="F326" t="s">
        <v>28</v>
      </c>
      <c r="G326" s="3">
        <v>21.52</v>
      </c>
      <c r="H326" s="6">
        <v>6</v>
      </c>
      <c r="I326" s="3">
        <v>6.4560000000000004</v>
      </c>
      <c r="J326" s="3">
        <v>135.57599999999999</v>
      </c>
      <c r="K326" s="2">
        <v>43551</v>
      </c>
      <c r="L326" s="1">
        <v>0.53333333333333333</v>
      </c>
      <c r="M326" t="s">
        <v>29</v>
      </c>
      <c r="N326" s="3">
        <v>129.12</v>
      </c>
      <c r="O326" s="4">
        <v>4.7619047620000003</v>
      </c>
      <c r="P326" s="5">
        <v>6.4560000000000004</v>
      </c>
      <c r="Q326">
        <v>9.4</v>
      </c>
      <c r="R326" s="6">
        <f>DAY(SuperMarket_Analysis[[#This Row],[Date]])</f>
        <v>27</v>
      </c>
      <c r="S326" s="6" t="str">
        <f>TEXT(SuperMarket_Analysis[[#This Row],[Date]],"mmmm")</f>
        <v>March</v>
      </c>
      <c r="T326" s="6">
        <f>YEAR(SuperMarket_Analysis[[#This Row],[Date]])</f>
        <v>2019</v>
      </c>
    </row>
    <row r="327" spans="1:20" x14ac:dyDescent="0.3">
      <c r="A327" t="s">
        <v>358</v>
      </c>
      <c r="B327" t="s">
        <v>38</v>
      </c>
      <c r="C327" t="s">
        <v>39</v>
      </c>
      <c r="D327" t="s">
        <v>24</v>
      </c>
      <c r="E327" t="s">
        <v>174</v>
      </c>
      <c r="F327" t="s">
        <v>32</v>
      </c>
      <c r="G327" s="3">
        <v>97.74</v>
      </c>
      <c r="H327" s="6">
        <v>4</v>
      </c>
      <c r="I327" s="3">
        <v>19.547999999999998</v>
      </c>
      <c r="J327" s="3">
        <v>410.50799999999998</v>
      </c>
      <c r="K327" s="2">
        <v>43538</v>
      </c>
      <c r="L327" s="1">
        <v>0.82847222222222228</v>
      </c>
      <c r="M327" t="s">
        <v>20</v>
      </c>
      <c r="N327" s="3">
        <v>390.96</v>
      </c>
      <c r="O327" s="4">
        <v>4.7619047620000003</v>
      </c>
      <c r="P327" s="5">
        <v>19.547999999999998</v>
      </c>
      <c r="Q327">
        <v>6.4</v>
      </c>
      <c r="R327" s="6">
        <f>DAY(SuperMarket_Analysis[[#This Row],[Date]])</f>
        <v>14</v>
      </c>
      <c r="S327" s="6" t="str">
        <f>TEXT(SuperMarket_Analysis[[#This Row],[Date]],"mmmm")</f>
        <v>March</v>
      </c>
      <c r="T327" s="6">
        <f>YEAR(SuperMarket_Analysis[[#This Row],[Date]])</f>
        <v>2019</v>
      </c>
    </row>
    <row r="328" spans="1:20" x14ac:dyDescent="0.3">
      <c r="A328" t="s">
        <v>359</v>
      </c>
      <c r="B328" t="s">
        <v>15</v>
      </c>
      <c r="C328" t="s">
        <v>16</v>
      </c>
      <c r="D328" t="s">
        <v>17</v>
      </c>
      <c r="E328" t="s">
        <v>174</v>
      </c>
      <c r="F328" t="s">
        <v>40</v>
      </c>
      <c r="G328" s="3">
        <v>99.78</v>
      </c>
      <c r="H328" s="6">
        <v>5</v>
      </c>
      <c r="I328" s="3">
        <v>24.945</v>
      </c>
      <c r="J328" s="3">
        <v>523.84500000000003</v>
      </c>
      <c r="K328" s="2">
        <v>43492</v>
      </c>
      <c r="L328" s="1">
        <v>0.79791666666666672</v>
      </c>
      <c r="M328" t="s">
        <v>26</v>
      </c>
      <c r="N328" s="3">
        <v>498.9</v>
      </c>
      <c r="O328" s="4">
        <v>4.7619047620000003</v>
      </c>
      <c r="P328" s="5">
        <v>24.945</v>
      </c>
      <c r="Q328">
        <v>5.4</v>
      </c>
      <c r="R328" s="6">
        <f>DAY(SuperMarket_Analysis[[#This Row],[Date]])</f>
        <v>27</v>
      </c>
      <c r="S328" s="6" t="str">
        <f>TEXT(SuperMarket_Analysis[[#This Row],[Date]],"mmmm")</f>
        <v>January</v>
      </c>
      <c r="T328" s="6">
        <f>YEAR(SuperMarket_Analysis[[#This Row],[Date]])</f>
        <v>2019</v>
      </c>
    </row>
    <row r="329" spans="1:20" x14ac:dyDescent="0.3">
      <c r="A329" t="s">
        <v>360</v>
      </c>
      <c r="B329" t="s">
        <v>22</v>
      </c>
      <c r="C329" t="s">
        <v>23</v>
      </c>
      <c r="D329" t="s">
        <v>17</v>
      </c>
      <c r="E329" t="s">
        <v>174</v>
      </c>
      <c r="F329" t="s">
        <v>40</v>
      </c>
      <c r="G329" s="3">
        <v>94.26</v>
      </c>
      <c r="H329" s="6">
        <v>4</v>
      </c>
      <c r="I329" s="3">
        <v>18.852</v>
      </c>
      <c r="J329" s="3">
        <v>395.892</v>
      </c>
      <c r="K329" s="2">
        <v>43539</v>
      </c>
      <c r="L329" s="1">
        <v>0.6875</v>
      </c>
      <c r="M329" t="s">
        <v>26</v>
      </c>
      <c r="N329" s="3">
        <v>377.04</v>
      </c>
      <c r="O329" s="4">
        <v>4.7619047620000003</v>
      </c>
      <c r="P329" s="5">
        <v>18.852</v>
      </c>
      <c r="Q329">
        <v>8.6</v>
      </c>
      <c r="R329" s="6">
        <f>DAY(SuperMarket_Analysis[[#This Row],[Date]])</f>
        <v>15</v>
      </c>
      <c r="S329" s="6" t="str">
        <f>TEXT(SuperMarket_Analysis[[#This Row],[Date]],"mmmm")</f>
        <v>March</v>
      </c>
      <c r="T329" s="6">
        <f>YEAR(SuperMarket_Analysis[[#This Row],[Date]])</f>
        <v>2019</v>
      </c>
    </row>
    <row r="330" spans="1:20" x14ac:dyDescent="0.3">
      <c r="A330" t="s">
        <v>361</v>
      </c>
      <c r="B330" t="s">
        <v>38</v>
      </c>
      <c r="C330" t="s">
        <v>39</v>
      </c>
      <c r="D330" t="s">
        <v>17</v>
      </c>
      <c r="E330" t="s">
        <v>174</v>
      </c>
      <c r="F330" t="s">
        <v>19</v>
      </c>
      <c r="G330" s="3">
        <v>51.13</v>
      </c>
      <c r="H330" s="6">
        <v>4</v>
      </c>
      <c r="I330" s="3">
        <v>10.226000000000001</v>
      </c>
      <c r="J330" s="3">
        <v>214.74600000000001</v>
      </c>
      <c r="K330" s="2">
        <v>43511</v>
      </c>
      <c r="L330" s="1">
        <v>0.42430555555555555</v>
      </c>
      <c r="M330" t="s">
        <v>29</v>
      </c>
      <c r="N330" s="3">
        <v>204.52</v>
      </c>
      <c r="O330" s="4">
        <v>4.7619047620000003</v>
      </c>
      <c r="P330" s="5">
        <v>10.226000000000001</v>
      </c>
      <c r="Q330">
        <v>4</v>
      </c>
      <c r="R330" s="6">
        <f>DAY(SuperMarket_Analysis[[#This Row],[Date]])</f>
        <v>15</v>
      </c>
      <c r="S330" s="6" t="str">
        <f>TEXT(SuperMarket_Analysis[[#This Row],[Date]],"mmmm")</f>
        <v>February</v>
      </c>
      <c r="T330" s="6">
        <f>YEAR(SuperMarket_Analysis[[#This Row],[Date]])</f>
        <v>2019</v>
      </c>
    </row>
    <row r="331" spans="1:20" x14ac:dyDescent="0.3">
      <c r="A331" t="s">
        <v>362</v>
      </c>
      <c r="B331" t="s">
        <v>15</v>
      </c>
      <c r="C331" t="s">
        <v>16</v>
      </c>
      <c r="D331" t="s">
        <v>17</v>
      </c>
      <c r="E331" t="s">
        <v>174</v>
      </c>
      <c r="F331" t="s">
        <v>25</v>
      </c>
      <c r="G331" s="3">
        <v>36.36</v>
      </c>
      <c r="H331" s="6">
        <v>4</v>
      </c>
      <c r="I331" s="3">
        <v>7.2720000000000002</v>
      </c>
      <c r="J331" s="3">
        <v>152.71199999999999</v>
      </c>
      <c r="K331" s="2">
        <v>43513</v>
      </c>
      <c r="L331" s="1">
        <v>0.54652777777777772</v>
      </c>
      <c r="M331" t="s">
        <v>26</v>
      </c>
      <c r="N331" s="3">
        <v>145.44</v>
      </c>
      <c r="O331" s="4">
        <v>4.7619047620000003</v>
      </c>
      <c r="P331" s="5">
        <v>7.2720000000000002</v>
      </c>
      <c r="Q331">
        <v>7.6</v>
      </c>
      <c r="R331" s="6">
        <f>DAY(SuperMarket_Analysis[[#This Row],[Date]])</f>
        <v>17</v>
      </c>
      <c r="S331" s="6" t="str">
        <f>TEXT(SuperMarket_Analysis[[#This Row],[Date]],"mmmm")</f>
        <v>February</v>
      </c>
      <c r="T331" s="6">
        <f>YEAR(SuperMarket_Analysis[[#This Row],[Date]])</f>
        <v>2019</v>
      </c>
    </row>
    <row r="332" spans="1:20" x14ac:dyDescent="0.3">
      <c r="A332" t="s">
        <v>363</v>
      </c>
      <c r="B332" t="s">
        <v>38</v>
      </c>
      <c r="C332" t="s">
        <v>39</v>
      </c>
      <c r="D332" t="s">
        <v>24</v>
      </c>
      <c r="E332" t="s">
        <v>174</v>
      </c>
      <c r="F332" t="s">
        <v>28</v>
      </c>
      <c r="G332" s="3">
        <v>22.02</v>
      </c>
      <c r="H332" s="6">
        <v>9</v>
      </c>
      <c r="I332" s="3">
        <v>9.9090000000000007</v>
      </c>
      <c r="J332" s="3">
        <v>208.089</v>
      </c>
      <c r="K332" s="2">
        <v>43491</v>
      </c>
      <c r="L332" s="1">
        <v>0.78333333333333333</v>
      </c>
      <c r="M332" t="s">
        <v>26</v>
      </c>
      <c r="N332" s="3">
        <v>198.18</v>
      </c>
      <c r="O332" s="4">
        <v>4.7619047620000003</v>
      </c>
      <c r="P332" s="5">
        <v>9.9090000000000007</v>
      </c>
      <c r="Q332">
        <v>6.8</v>
      </c>
      <c r="R332" s="6">
        <f>DAY(SuperMarket_Analysis[[#This Row],[Date]])</f>
        <v>26</v>
      </c>
      <c r="S332" s="6" t="str">
        <f>TEXT(SuperMarket_Analysis[[#This Row],[Date]],"mmmm")</f>
        <v>January</v>
      </c>
      <c r="T332" s="6">
        <f>YEAR(SuperMarket_Analysis[[#This Row],[Date]])</f>
        <v>2019</v>
      </c>
    </row>
    <row r="333" spans="1:20" x14ac:dyDescent="0.3">
      <c r="A333" t="s">
        <v>364</v>
      </c>
      <c r="B333" t="s">
        <v>15</v>
      </c>
      <c r="C333" t="s">
        <v>16</v>
      </c>
      <c r="D333" t="s">
        <v>24</v>
      </c>
      <c r="E333" t="s">
        <v>174</v>
      </c>
      <c r="F333" t="s">
        <v>40</v>
      </c>
      <c r="G333" s="3">
        <v>32.9</v>
      </c>
      <c r="H333" s="6">
        <v>3</v>
      </c>
      <c r="I333" s="3">
        <v>4.9349999999999996</v>
      </c>
      <c r="J333" s="3">
        <v>103.63500000000001</v>
      </c>
      <c r="K333" s="2">
        <v>43548</v>
      </c>
      <c r="L333" s="1">
        <v>0.7270833333333333</v>
      </c>
      <c r="M333" t="s">
        <v>29</v>
      </c>
      <c r="N333" s="3">
        <v>98.7</v>
      </c>
      <c r="O333" s="4">
        <v>4.7619047620000003</v>
      </c>
      <c r="P333" s="5">
        <v>4.9349999999999996</v>
      </c>
      <c r="Q333">
        <v>9.1</v>
      </c>
      <c r="R333" s="6">
        <f>DAY(SuperMarket_Analysis[[#This Row],[Date]])</f>
        <v>24</v>
      </c>
      <c r="S333" s="6" t="str">
        <f>TEXT(SuperMarket_Analysis[[#This Row],[Date]],"mmmm")</f>
        <v>March</v>
      </c>
      <c r="T333" s="6">
        <f>YEAR(SuperMarket_Analysis[[#This Row],[Date]])</f>
        <v>2019</v>
      </c>
    </row>
    <row r="334" spans="1:20" x14ac:dyDescent="0.3">
      <c r="A334" t="s">
        <v>365</v>
      </c>
      <c r="B334" t="s">
        <v>15</v>
      </c>
      <c r="C334" t="s">
        <v>16</v>
      </c>
      <c r="D334" t="s">
        <v>24</v>
      </c>
      <c r="E334" t="s">
        <v>174</v>
      </c>
      <c r="F334" t="s">
        <v>42</v>
      </c>
      <c r="G334" s="3">
        <v>77.02</v>
      </c>
      <c r="H334" s="6">
        <v>5</v>
      </c>
      <c r="I334" s="3">
        <v>19.254999999999999</v>
      </c>
      <c r="J334" s="3">
        <v>404.35500000000002</v>
      </c>
      <c r="K334" s="2">
        <v>43488</v>
      </c>
      <c r="L334" s="1">
        <v>0.66597222222222219</v>
      </c>
      <c r="M334" t="s">
        <v>26</v>
      </c>
      <c r="N334" s="3">
        <v>385.1</v>
      </c>
      <c r="O334" s="4">
        <v>4.7619047620000003</v>
      </c>
      <c r="P334" s="5">
        <v>19.254999999999999</v>
      </c>
      <c r="Q334">
        <v>5.5</v>
      </c>
      <c r="R334" s="6">
        <f>DAY(SuperMarket_Analysis[[#This Row],[Date]])</f>
        <v>23</v>
      </c>
      <c r="S334" s="6" t="str">
        <f>TEXT(SuperMarket_Analysis[[#This Row],[Date]],"mmmm")</f>
        <v>January</v>
      </c>
      <c r="T334" s="6">
        <f>YEAR(SuperMarket_Analysis[[#This Row],[Date]])</f>
        <v>2019</v>
      </c>
    </row>
    <row r="335" spans="1:20" x14ac:dyDescent="0.3">
      <c r="A335" t="s">
        <v>366</v>
      </c>
      <c r="B335" t="s">
        <v>15</v>
      </c>
      <c r="C335" t="s">
        <v>16</v>
      </c>
      <c r="D335" t="s">
        <v>17</v>
      </c>
      <c r="E335" t="s">
        <v>174</v>
      </c>
      <c r="F335" t="s">
        <v>40</v>
      </c>
      <c r="G335" s="3">
        <v>23.48</v>
      </c>
      <c r="H335" s="6">
        <v>2</v>
      </c>
      <c r="I335" s="3">
        <v>2.3479999999999999</v>
      </c>
      <c r="J335" s="3">
        <v>49.308</v>
      </c>
      <c r="K335" s="2">
        <v>43491</v>
      </c>
      <c r="L335" s="1">
        <v>0.47291666666666665</v>
      </c>
      <c r="M335" t="s">
        <v>29</v>
      </c>
      <c r="N335" s="3">
        <v>46.96</v>
      </c>
      <c r="O335" s="4">
        <v>4.7619047620000003</v>
      </c>
      <c r="P335" s="5">
        <v>2.3479999999999999</v>
      </c>
      <c r="Q335">
        <v>7.9</v>
      </c>
      <c r="R335" s="6">
        <f>DAY(SuperMarket_Analysis[[#This Row],[Date]])</f>
        <v>26</v>
      </c>
      <c r="S335" s="6" t="str">
        <f>TEXT(SuperMarket_Analysis[[#This Row],[Date]],"mmmm")</f>
        <v>January</v>
      </c>
      <c r="T335" s="6">
        <f>YEAR(SuperMarket_Analysis[[#This Row],[Date]])</f>
        <v>2019</v>
      </c>
    </row>
    <row r="336" spans="1:20" x14ac:dyDescent="0.3">
      <c r="A336" t="s">
        <v>367</v>
      </c>
      <c r="B336" t="s">
        <v>22</v>
      </c>
      <c r="C336" t="s">
        <v>23</v>
      </c>
      <c r="D336" t="s">
        <v>17</v>
      </c>
      <c r="E336" t="s">
        <v>174</v>
      </c>
      <c r="F336" t="s">
        <v>32</v>
      </c>
      <c r="G336" s="3">
        <v>14.7</v>
      </c>
      <c r="H336" s="6">
        <v>5</v>
      </c>
      <c r="I336" s="3">
        <v>3.6749999999999998</v>
      </c>
      <c r="J336" s="3">
        <v>77.174999999999997</v>
      </c>
      <c r="K336" s="2">
        <v>43538</v>
      </c>
      <c r="L336" s="1">
        <v>0.57499999999999996</v>
      </c>
      <c r="M336" t="s">
        <v>20</v>
      </c>
      <c r="N336" s="3">
        <v>73.5</v>
      </c>
      <c r="O336" s="4">
        <v>4.7619047620000003</v>
      </c>
      <c r="P336" s="5">
        <v>3.6749999999999998</v>
      </c>
      <c r="Q336">
        <v>8.5</v>
      </c>
      <c r="R336" s="6">
        <f>DAY(SuperMarket_Analysis[[#This Row],[Date]])</f>
        <v>14</v>
      </c>
      <c r="S336" s="6" t="str">
        <f>TEXT(SuperMarket_Analysis[[#This Row],[Date]],"mmmm")</f>
        <v>March</v>
      </c>
      <c r="T336" s="6">
        <f>YEAR(SuperMarket_Analysis[[#This Row],[Date]])</f>
        <v>2019</v>
      </c>
    </row>
    <row r="337" spans="1:20" x14ac:dyDescent="0.3">
      <c r="A337" t="s">
        <v>368</v>
      </c>
      <c r="B337" t="s">
        <v>15</v>
      </c>
      <c r="C337" t="s">
        <v>16</v>
      </c>
      <c r="D337" t="s">
        <v>17</v>
      </c>
      <c r="E337" t="s">
        <v>18</v>
      </c>
      <c r="F337" t="s">
        <v>25</v>
      </c>
      <c r="G337" s="3">
        <v>28.45</v>
      </c>
      <c r="H337" s="6">
        <v>5</v>
      </c>
      <c r="I337" s="3">
        <v>7.1124999999999998</v>
      </c>
      <c r="J337" s="3">
        <v>149.36250000000001</v>
      </c>
      <c r="K337" s="2">
        <v>43541</v>
      </c>
      <c r="L337" s="1">
        <v>0.4284722222222222</v>
      </c>
      <c r="M337" t="s">
        <v>29</v>
      </c>
      <c r="N337" s="3">
        <v>142.25</v>
      </c>
      <c r="O337" s="4">
        <v>4.7619047620000003</v>
      </c>
      <c r="P337" s="5">
        <v>7.1124999999999998</v>
      </c>
      <c r="Q337">
        <v>9.1</v>
      </c>
      <c r="R337" s="6">
        <f>DAY(SuperMarket_Analysis[[#This Row],[Date]])</f>
        <v>17</v>
      </c>
      <c r="S337" s="6" t="str">
        <f>TEXT(SuperMarket_Analysis[[#This Row],[Date]],"mmmm")</f>
        <v>March</v>
      </c>
      <c r="T337" s="6">
        <f>YEAR(SuperMarket_Analysis[[#This Row],[Date]])</f>
        <v>2019</v>
      </c>
    </row>
    <row r="338" spans="1:20" x14ac:dyDescent="0.3">
      <c r="A338" t="s">
        <v>369</v>
      </c>
      <c r="B338" t="s">
        <v>15</v>
      </c>
      <c r="C338" t="s">
        <v>16</v>
      </c>
      <c r="D338" t="s">
        <v>24</v>
      </c>
      <c r="E338" t="s">
        <v>174</v>
      </c>
      <c r="F338" t="s">
        <v>42</v>
      </c>
      <c r="G338" s="3">
        <v>76.400000000000006</v>
      </c>
      <c r="H338" s="6">
        <v>9</v>
      </c>
      <c r="I338" s="3">
        <v>34.380000000000003</v>
      </c>
      <c r="J338" s="3">
        <v>721.98</v>
      </c>
      <c r="K338" s="2">
        <v>43552</v>
      </c>
      <c r="L338" s="1">
        <v>0.65902777777777777</v>
      </c>
      <c r="M338" t="s">
        <v>20</v>
      </c>
      <c r="N338" s="3">
        <v>687.6</v>
      </c>
      <c r="O338" s="4">
        <v>4.7619047620000003</v>
      </c>
      <c r="P338" s="5">
        <v>34.380000000000003</v>
      </c>
      <c r="Q338">
        <v>7.5</v>
      </c>
      <c r="R338" s="6">
        <f>DAY(SuperMarket_Analysis[[#This Row],[Date]])</f>
        <v>28</v>
      </c>
      <c r="S338" s="6" t="str">
        <f>TEXT(SuperMarket_Analysis[[#This Row],[Date]],"mmmm")</f>
        <v>March</v>
      </c>
      <c r="T338" s="6">
        <f>YEAR(SuperMarket_Analysis[[#This Row],[Date]])</f>
        <v>2019</v>
      </c>
    </row>
    <row r="339" spans="1:20" x14ac:dyDescent="0.3">
      <c r="A339" t="s">
        <v>370</v>
      </c>
      <c r="B339" t="s">
        <v>38</v>
      </c>
      <c r="C339" t="s">
        <v>39</v>
      </c>
      <c r="D339" t="s">
        <v>24</v>
      </c>
      <c r="E339" t="s">
        <v>18</v>
      </c>
      <c r="F339" t="s">
        <v>32</v>
      </c>
      <c r="G339" s="3">
        <v>57.95</v>
      </c>
      <c r="H339" s="6">
        <v>6</v>
      </c>
      <c r="I339" s="3">
        <v>17.385000000000002</v>
      </c>
      <c r="J339" s="3">
        <v>365.08499999999998</v>
      </c>
      <c r="K339" s="2">
        <v>43488</v>
      </c>
      <c r="L339" s="1">
        <v>0.54305555555555551</v>
      </c>
      <c r="M339" t="s">
        <v>26</v>
      </c>
      <c r="N339" s="3">
        <v>347.7</v>
      </c>
      <c r="O339" s="4">
        <v>4.7619047620000003</v>
      </c>
      <c r="P339" s="5">
        <v>17.385000000000002</v>
      </c>
      <c r="Q339">
        <v>5.2</v>
      </c>
      <c r="R339" s="6">
        <f>DAY(SuperMarket_Analysis[[#This Row],[Date]])</f>
        <v>23</v>
      </c>
      <c r="S339" s="6" t="str">
        <f>TEXT(SuperMarket_Analysis[[#This Row],[Date]],"mmmm")</f>
        <v>January</v>
      </c>
      <c r="T339" s="6">
        <f>YEAR(SuperMarket_Analysis[[#This Row],[Date]])</f>
        <v>2019</v>
      </c>
    </row>
    <row r="340" spans="1:20" x14ac:dyDescent="0.3">
      <c r="A340" t="s">
        <v>371</v>
      </c>
      <c r="B340" t="s">
        <v>22</v>
      </c>
      <c r="C340" t="s">
        <v>23</v>
      </c>
      <c r="D340" t="s">
        <v>24</v>
      </c>
      <c r="E340" t="s">
        <v>18</v>
      </c>
      <c r="F340" t="s">
        <v>25</v>
      </c>
      <c r="G340" s="3">
        <v>47.65</v>
      </c>
      <c r="H340" s="6">
        <v>3</v>
      </c>
      <c r="I340" s="3">
        <v>7.1475</v>
      </c>
      <c r="J340" s="3">
        <v>150.0975</v>
      </c>
      <c r="K340" s="2">
        <v>43482</v>
      </c>
      <c r="L340" s="1">
        <v>0.54027777777777775</v>
      </c>
      <c r="M340" t="s">
        <v>29</v>
      </c>
      <c r="N340" s="3">
        <v>142.94999999999999</v>
      </c>
      <c r="O340" s="4">
        <v>4.7619047620000003</v>
      </c>
      <c r="P340" s="5">
        <v>7.1475</v>
      </c>
      <c r="Q340">
        <v>9.5</v>
      </c>
      <c r="R340" s="6">
        <f>DAY(SuperMarket_Analysis[[#This Row],[Date]])</f>
        <v>17</v>
      </c>
      <c r="S340" s="6" t="str">
        <f>TEXT(SuperMarket_Analysis[[#This Row],[Date]],"mmmm")</f>
        <v>January</v>
      </c>
      <c r="T340" s="6">
        <f>YEAR(SuperMarket_Analysis[[#This Row],[Date]])</f>
        <v>2019</v>
      </c>
    </row>
    <row r="341" spans="1:20" x14ac:dyDescent="0.3">
      <c r="A341" t="s">
        <v>372</v>
      </c>
      <c r="B341" t="s">
        <v>38</v>
      </c>
      <c r="C341" t="s">
        <v>39</v>
      </c>
      <c r="D341" t="s">
        <v>17</v>
      </c>
      <c r="E341" t="s">
        <v>18</v>
      </c>
      <c r="F341" t="s">
        <v>40</v>
      </c>
      <c r="G341" s="3">
        <v>42.82</v>
      </c>
      <c r="H341" s="6">
        <v>9</v>
      </c>
      <c r="I341" s="3">
        <v>19.268999999999998</v>
      </c>
      <c r="J341" s="3">
        <v>404.649</v>
      </c>
      <c r="K341" s="2">
        <v>43489</v>
      </c>
      <c r="L341" s="1">
        <v>0.6430555555555556</v>
      </c>
      <c r="M341" t="s">
        <v>29</v>
      </c>
      <c r="N341" s="3">
        <v>385.38</v>
      </c>
      <c r="O341" s="4">
        <v>4.7619047620000003</v>
      </c>
      <c r="P341" s="5">
        <v>19.268999999999998</v>
      </c>
      <c r="Q341">
        <v>8.9</v>
      </c>
      <c r="R341" s="6">
        <f>DAY(SuperMarket_Analysis[[#This Row],[Date]])</f>
        <v>24</v>
      </c>
      <c r="S341" s="6" t="str">
        <f>TEXT(SuperMarket_Analysis[[#This Row],[Date]],"mmmm")</f>
        <v>January</v>
      </c>
      <c r="T341" s="6">
        <f>YEAR(SuperMarket_Analysis[[#This Row],[Date]])</f>
        <v>2019</v>
      </c>
    </row>
    <row r="342" spans="1:20" x14ac:dyDescent="0.3">
      <c r="A342" t="s">
        <v>373</v>
      </c>
      <c r="B342" t="s">
        <v>38</v>
      </c>
      <c r="C342" t="s">
        <v>39</v>
      </c>
      <c r="D342" t="s">
        <v>17</v>
      </c>
      <c r="E342" t="s">
        <v>174</v>
      </c>
      <c r="F342" t="s">
        <v>25</v>
      </c>
      <c r="G342" s="3">
        <v>48.09</v>
      </c>
      <c r="H342" s="6">
        <v>3</v>
      </c>
      <c r="I342" s="3">
        <v>7.2134999999999998</v>
      </c>
      <c r="J342" s="3">
        <v>151.48349999999999</v>
      </c>
      <c r="K342" s="2">
        <v>43484</v>
      </c>
      <c r="L342" s="1">
        <v>0.76597222222222228</v>
      </c>
      <c r="M342" t="s">
        <v>29</v>
      </c>
      <c r="N342" s="3">
        <v>144.27000000000001</v>
      </c>
      <c r="O342" s="4">
        <v>4.7619047620000003</v>
      </c>
      <c r="P342" s="5">
        <v>7.2134999999999998</v>
      </c>
      <c r="Q342">
        <v>7.8</v>
      </c>
      <c r="R342" s="6">
        <f>DAY(SuperMarket_Analysis[[#This Row],[Date]])</f>
        <v>19</v>
      </c>
      <c r="S342" s="6" t="str">
        <f>TEXT(SuperMarket_Analysis[[#This Row],[Date]],"mmmm")</f>
        <v>January</v>
      </c>
      <c r="T342" s="6">
        <f>YEAR(SuperMarket_Analysis[[#This Row],[Date]])</f>
        <v>2019</v>
      </c>
    </row>
    <row r="343" spans="1:20" x14ac:dyDescent="0.3">
      <c r="A343" t="s">
        <v>374</v>
      </c>
      <c r="B343" t="s">
        <v>38</v>
      </c>
      <c r="C343" t="s">
        <v>39</v>
      </c>
      <c r="D343" t="s">
        <v>17</v>
      </c>
      <c r="E343" t="s">
        <v>18</v>
      </c>
      <c r="F343" t="s">
        <v>19</v>
      </c>
      <c r="G343" s="3">
        <v>55.97</v>
      </c>
      <c r="H343" s="6">
        <v>7</v>
      </c>
      <c r="I343" s="3">
        <v>19.589500000000001</v>
      </c>
      <c r="J343" s="3">
        <v>411.37950000000001</v>
      </c>
      <c r="K343" s="2">
        <v>43544</v>
      </c>
      <c r="L343" s="1">
        <v>0.79583333333333328</v>
      </c>
      <c r="M343" t="s">
        <v>20</v>
      </c>
      <c r="N343" s="3">
        <v>391.79</v>
      </c>
      <c r="O343" s="4">
        <v>4.7619047620000003</v>
      </c>
      <c r="P343" s="5">
        <v>19.589500000000001</v>
      </c>
      <c r="Q343">
        <v>8.9</v>
      </c>
      <c r="R343" s="6">
        <f>DAY(SuperMarket_Analysis[[#This Row],[Date]])</f>
        <v>20</v>
      </c>
      <c r="S343" s="6" t="str">
        <f>TEXT(SuperMarket_Analysis[[#This Row],[Date]],"mmmm")</f>
        <v>March</v>
      </c>
      <c r="T343" s="6">
        <f>YEAR(SuperMarket_Analysis[[#This Row],[Date]])</f>
        <v>2019</v>
      </c>
    </row>
    <row r="344" spans="1:20" x14ac:dyDescent="0.3">
      <c r="A344" t="s">
        <v>375</v>
      </c>
      <c r="B344" t="s">
        <v>38</v>
      </c>
      <c r="C344" t="s">
        <v>39</v>
      </c>
      <c r="D344" t="s">
        <v>17</v>
      </c>
      <c r="E344" t="s">
        <v>18</v>
      </c>
      <c r="F344" t="s">
        <v>19</v>
      </c>
      <c r="G344" s="3">
        <v>76.900000000000006</v>
      </c>
      <c r="H344" s="6">
        <v>7</v>
      </c>
      <c r="I344" s="3">
        <v>26.914999999999999</v>
      </c>
      <c r="J344" s="3">
        <v>565.21500000000003</v>
      </c>
      <c r="K344" s="2">
        <v>43478</v>
      </c>
      <c r="L344" s="1">
        <v>0.84791666666666665</v>
      </c>
      <c r="M344" t="s">
        <v>26</v>
      </c>
      <c r="N344" s="3">
        <v>538.29999999999995</v>
      </c>
      <c r="O344" s="4">
        <v>4.7619047620000003</v>
      </c>
      <c r="P344" s="5">
        <v>26.914999999999999</v>
      </c>
      <c r="Q344">
        <v>7.7</v>
      </c>
      <c r="R344" s="6">
        <f>DAY(SuperMarket_Analysis[[#This Row],[Date]])</f>
        <v>13</v>
      </c>
      <c r="S344" s="6" t="str">
        <f>TEXT(SuperMarket_Analysis[[#This Row],[Date]],"mmmm")</f>
        <v>January</v>
      </c>
      <c r="T344" s="6">
        <f>YEAR(SuperMarket_Analysis[[#This Row],[Date]])</f>
        <v>2019</v>
      </c>
    </row>
    <row r="345" spans="1:20" x14ac:dyDescent="0.3">
      <c r="A345" t="s">
        <v>376</v>
      </c>
      <c r="B345" t="s">
        <v>22</v>
      </c>
      <c r="C345" t="s">
        <v>23</v>
      </c>
      <c r="D345" t="s">
        <v>24</v>
      </c>
      <c r="E345" t="s">
        <v>18</v>
      </c>
      <c r="F345" t="s">
        <v>40</v>
      </c>
      <c r="G345" s="3">
        <v>97.03</v>
      </c>
      <c r="H345" s="6">
        <v>5</v>
      </c>
      <c r="I345" s="3">
        <v>24.2575</v>
      </c>
      <c r="J345" s="3">
        <v>509.40750000000003</v>
      </c>
      <c r="K345" s="2">
        <v>43538</v>
      </c>
      <c r="L345" s="1">
        <v>0.68333333333333335</v>
      </c>
      <c r="M345" t="s">
        <v>20</v>
      </c>
      <c r="N345" s="3">
        <v>485.15</v>
      </c>
      <c r="O345" s="4">
        <v>4.7619047620000003</v>
      </c>
      <c r="P345" s="5">
        <v>24.2575</v>
      </c>
      <c r="Q345">
        <v>9.3000000000000007</v>
      </c>
      <c r="R345" s="6">
        <f>DAY(SuperMarket_Analysis[[#This Row],[Date]])</f>
        <v>14</v>
      </c>
      <c r="S345" s="6" t="str">
        <f>TEXT(SuperMarket_Analysis[[#This Row],[Date]],"mmmm")</f>
        <v>March</v>
      </c>
      <c r="T345" s="6">
        <f>YEAR(SuperMarket_Analysis[[#This Row],[Date]])</f>
        <v>2019</v>
      </c>
    </row>
    <row r="346" spans="1:20" x14ac:dyDescent="0.3">
      <c r="A346" t="s">
        <v>377</v>
      </c>
      <c r="B346" t="s">
        <v>15</v>
      </c>
      <c r="C346" t="s">
        <v>16</v>
      </c>
      <c r="D346" t="s">
        <v>24</v>
      </c>
      <c r="E346" t="s">
        <v>174</v>
      </c>
      <c r="F346" t="s">
        <v>32</v>
      </c>
      <c r="G346" s="3">
        <v>44.65</v>
      </c>
      <c r="H346" s="6">
        <v>3</v>
      </c>
      <c r="I346" s="3">
        <v>6.6974999999999998</v>
      </c>
      <c r="J346" s="3">
        <v>140.64750000000001</v>
      </c>
      <c r="K346" s="2">
        <v>43488</v>
      </c>
      <c r="L346" s="1">
        <v>0.62777777777777777</v>
      </c>
      <c r="M346" t="s">
        <v>26</v>
      </c>
      <c r="N346" s="3">
        <v>133.94999999999999</v>
      </c>
      <c r="O346" s="4">
        <v>4.7619047620000003</v>
      </c>
      <c r="P346" s="5">
        <v>6.6974999999999998</v>
      </c>
      <c r="Q346">
        <v>6.2</v>
      </c>
      <c r="R346" s="6">
        <f>DAY(SuperMarket_Analysis[[#This Row],[Date]])</f>
        <v>23</v>
      </c>
      <c r="S346" s="6" t="str">
        <f>TEXT(SuperMarket_Analysis[[#This Row],[Date]],"mmmm")</f>
        <v>January</v>
      </c>
      <c r="T346" s="6">
        <f>YEAR(SuperMarket_Analysis[[#This Row],[Date]])</f>
        <v>2019</v>
      </c>
    </row>
    <row r="347" spans="1:20" x14ac:dyDescent="0.3">
      <c r="A347" t="s">
        <v>378</v>
      </c>
      <c r="B347" t="s">
        <v>15</v>
      </c>
      <c r="C347" t="s">
        <v>16</v>
      </c>
      <c r="D347" t="s">
        <v>24</v>
      </c>
      <c r="E347" t="s">
        <v>18</v>
      </c>
      <c r="F347" t="s">
        <v>42</v>
      </c>
      <c r="G347" s="3">
        <v>77.930000000000007</v>
      </c>
      <c r="H347" s="6">
        <v>9</v>
      </c>
      <c r="I347" s="3">
        <v>35.0685</v>
      </c>
      <c r="J347" s="3">
        <v>736.43849999999998</v>
      </c>
      <c r="K347" s="2">
        <v>43552</v>
      </c>
      <c r="L347" s="1">
        <v>0.67361111111111116</v>
      </c>
      <c r="M347" t="s">
        <v>20</v>
      </c>
      <c r="N347" s="3">
        <v>701.37</v>
      </c>
      <c r="O347" s="4">
        <v>4.7619047620000003</v>
      </c>
      <c r="P347" s="5">
        <v>35.0685</v>
      </c>
      <c r="Q347">
        <v>7.6</v>
      </c>
      <c r="R347" s="6">
        <f>DAY(SuperMarket_Analysis[[#This Row],[Date]])</f>
        <v>28</v>
      </c>
      <c r="S347" s="6" t="str">
        <f>TEXT(SuperMarket_Analysis[[#This Row],[Date]],"mmmm")</f>
        <v>March</v>
      </c>
      <c r="T347" s="6">
        <f>YEAR(SuperMarket_Analysis[[#This Row],[Date]])</f>
        <v>2019</v>
      </c>
    </row>
    <row r="348" spans="1:20" x14ac:dyDescent="0.3">
      <c r="A348" t="s">
        <v>379</v>
      </c>
      <c r="B348" t="s">
        <v>15</v>
      </c>
      <c r="C348" t="s">
        <v>16</v>
      </c>
      <c r="D348" t="s">
        <v>17</v>
      </c>
      <c r="E348" t="s">
        <v>174</v>
      </c>
      <c r="F348" t="s">
        <v>25</v>
      </c>
      <c r="G348" s="3">
        <v>71.95</v>
      </c>
      <c r="H348" s="6">
        <v>1</v>
      </c>
      <c r="I348" s="3">
        <v>3.5975000000000001</v>
      </c>
      <c r="J348" s="3">
        <v>75.547499999999999</v>
      </c>
      <c r="K348" s="2">
        <v>43544</v>
      </c>
      <c r="L348" s="1">
        <v>0.50972222222222219</v>
      </c>
      <c r="M348" t="s">
        <v>26</v>
      </c>
      <c r="N348" s="3">
        <v>71.95</v>
      </c>
      <c r="O348" s="4">
        <v>4.7619047620000003</v>
      </c>
      <c r="P348" s="5">
        <v>3.5975000000000001</v>
      </c>
      <c r="Q348">
        <v>7.3</v>
      </c>
      <c r="R348" s="6">
        <f>DAY(SuperMarket_Analysis[[#This Row],[Date]])</f>
        <v>20</v>
      </c>
      <c r="S348" s="6" t="str">
        <f>TEXT(SuperMarket_Analysis[[#This Row],[Date]],"mmmm")</f>
        <v>March</v>
      </c>
      <c r="T348" s="6">
        <f>YEAR(SuperMarket_Analysis[[#This Row],[Date]])</f>
        <v>2019</v>
      </c>
    </row>
    <row r="349" spans="1:20" x14ac:dyDescent="0.3">
      <c r="A349" t="s">
        <v>380</v>
      </c>
      <c r="B349" t="s">
        <v>22</v>
      </c>
      <c r="C349" t="s">
        <v>23</v>
      </c>
      <c r="D349" t="s">
        <v>17</v>
      </c>
      <c r="E349" t="s">
        <v>18</v>
      </c>
      <c r="F349" t="s">
        <v>28</v>
      </c>
      <c r="G349" s="3">
        <v>89.25</v>
      </c>
      <c r="H349" s="6">
        <v>8</v>
      </c>
      <c r="I349" s="3">
        <v>35.700000000000003</v>
      </c>
      <c r="J349" s="3">
        <v>749.7</v>
      </c>
      <c r="K349" s="2">
        <v>43482</v>
      </c>
      <c r="L349" s="1">
        <v>0.42569444444444443</v>
      </c>
      <c r="M349" t="s">
        <v>26</v>
      </c>
      <c r="N349" s="3">
        <v>714</v>
      </c>
      <c r="O349" s="4">
        <v>4.7619047620000003</v>
      </c>
      <c r="P349" s="5">
        <v>35.700000000000003</v>
      </c>
      <c r="Q349">
        <v>4.7</v>
      </c>
      <c r="R349" s="6">
        <f>DAY(SuperMarket_Analysis[[#This Row],[Date]])</f>
        <v>17</v>
      </c>
      <c r="S349" s="6" t="str">
        <f>TEXT(SuperMarket_Analysis[[#This Row],[Date]],"mmmm")</f>
        <v>January</v>
      </c>
      <c r="T349" s="6">
        <f>YEAR(SuperMarket_Analysis[[#This Row],[Date]])</f>
        <v>2019</v>
      </c>
    </row>
    <row r="350" spans="1:20" x14ac:dyDescent="0.3">
      <c r="A350" t="s">
        <v>381</v>
      </c>
      <c r="B350" t="s">
        <v>15</v>
      </c>
      <c r="C350" t="s">
        <v>16</v>
      </c>
      <c r="D350" t="s">
        <v>24</v>
      </c>
      <c r="E350" t="s">
        <v>174</v>
      </c>
      <c r="F350" t="s">
        <v>25</v>
      </c>
      <c r="G350" s="3">
        <v>26.02</v>
      </c>
      <c r="H350" s="6">
        <v>7</v>
      </c>
      <c r="I350" s="3">
        <v>9.1069999999999993</v>
      </c>
      <c r="J350" s="3">
        <v>191.24700000000001</v>
      </c>
      <c r="K350" s="2">
        <v>43512</v>
      </c>
      <c r="L350" s="1">
        <v>0.73472222222222228</v>
      </c>
      <c r="M350" t="s">
        <v>26</v>
      </c>
      <c r="N350" s="3">
        <v>182.14</v>
      </c>
      <c r="O350" s="4">
        <v>4.7619047620000003</v>
      </c>
      <c r="P350" s="5">
        <v>9.1069999999999993</v>
      </c>
      <c r="Q350">
        <v>5.0999999999999996</v>
      </c>
      <c r="R350" s="6">
        <f>DAY(SuperMarket_Analysis[[#This Row],[Date]])</f>
        <v>16</v>
      </c>
      <c r="S350" s="6" t="str">
        <f>TEXT(SuperMarket_Analysis[[#This Row],[Date]],"mmmm")</f>
        <v>February</v>
      </c>
      <c r="T350" s="6">
        <f>YEAR(SuperMarket_Analysis[[#This Row],[Date]])</f>
        <v>2019</v>
      </c>
    </row>
    <row r="351" spans="1:20" x14ac:dyDescent="0.3">
      <c r="A351" t="s">
        <v>382</v>
      </c>
      <c r="B351" t="s">
        <v>38</v>
      </c>
      <c r="C351" t="s">
        <v>39</v>
      </c>
      <c r="D351" t="s">
        <v>24</v>
      </c>
      <c r="E351" t="s">
        <v>18</v>
      </c>
      <c r="F351" t="s">
        <v>19</v>
      </c>
      <c r="G351" s="3">
        <v>13.5</v>
      </c>
      <c r="H351" s="6">
        <v>10</v>
      </c>
      <c r="I351" s="3">
        <v>6.75</v>
      </c>
      <c r="J351" s="3">
        <v>141.75</v>
      </c>
      <c r="K351" s="2">
        <v>43491</v>
      </c>
      <c r="L351" s="1">
        <v>0.46250000000000002</v>
      </c>
      <c r="M351" t="s">
        <v>29</v>
      </c>
      <c r="N351" s="3">
        <v>135</v>
      </c>
      <c r="O351" s="4">
        <v>4.7619047620000003</v>
      </c>
      <c r="P351" s="5">
        <v>6.75</v>
      </c>
      <c r="Q351">
        <v>4.8</v>
      </c>
      <c r="R351" s="6">
        <f>DAY(SuperMarket_Analysis[[#This Row],[Date]])</f>
        <v>26</v>
      </c>
      <c r="S351" s="6" t="str">
        <f>TEXT(SuperMarket_Analysis[[#This Row],[Date]],"mmmm")</f>
        <v>January</v>
      </c>
      <c r="T351" s="6">
        <f>YEAR(SuperMarket_Analysis[[#This Row],[Date]])</f>
        <v>2019</v>
      </c>
    </row>
    <row r="352" spans="1:20" x14ac:dyDescent="0.3">
      <c r="A352" t="s">
        <v>383</v>
      </c>
      <c r="B352" t="s">
        <v>22</v>
      </c>
      <c r="C352" t="s">
        <v>23</v>
      </c>
      <c r="D352" t="s">
        <v>17</v>
      </c>
      <c r="E352" t="s">
        <v>18</v>
      </c>
      <c r="F352" t="s">
        <v>42</v>
      </c>
      <c r="G352" s="3">
        <v>99.3</v>
      </c>
      <c r="H352" s="6">
        <v>10</v>
      </c>
      <c r="I352" s="3">
        <v>49.65</v>
      </c>
      <c r="J352" s="3">
        <v>1042.6500000000001</v>
      </c>
      <c r="K352" s="2">
        <v>43538</v>
      </c>
      <c r="L352" s="1">
        <v>0.62013888888888891</v>
      </c>
      <c r="M352" t="s">
        <v>29</v>
      </c>
      <c r="N352" s="3">
        <v>993</v>
      </c>
      <c r="O352" s="4">
        <v>4.7619047620000003</v>
      </c>
      <c r="P352" s="5">
        <v>49.65</v>
      </c>
      <c r="Q352">
        <v>6.6</v>
      </c>
      <c r="R352" s="6">
        <f>DAY(SuperMarket_Analysis[[#This Row],[Date]])</f>
        <v>14</v>
      </c>
      <c r="S352" s="6" t="str">
        <f>TEXT(SuperMarket_Analysis[[#This Row],[Date]],"mmmm")</f>
        <v>March</v>
      </c>
      <c r="T352" s="6">
        <f>YEAR(SuperMarket_Analysis[[#This Row],[Date]])</f>
        <v>2019</v>
      </c>
    </row>
    <row r="353" spans="1:20" x14ac:dyDescent="0.3">
      <c r="A353" t="s">
        <v>384</v>
      </c>
      <c r="B353" t="s">
        <v>15</v>
      </c>
      <c r="C353" t="s">
        <v>16</v>
      </c>
      <c r="D353" t="s">
        <v>24</v>
      </c>
      <c r="E353" t="s">
        <v>174</v>
      </c>
      <c r="F353" t="s">
        <v>25</v>
      </c>
      <c r="G353" s="3">
        <v>51.69</v>
      </c>
      <c r="H353" s="6">
        <v>7</v>
      </c>
      <c r="I353" s="3">
        <v>18.0915</v>
      </c>
      <c r="J353" s="3">
        <v>379.92149999999998</v>
      </c>
      <c r="K353" s="2">
        <v>43490</v>
      </c>
      <c r="L353" s="1">
        <v>0.76527777777777772</v>
      </c>
      <c r="M353" t="s">
        <v>26</v>
      </c>
      <c r="N353" s="3">
        <v>361.83</v>
      </c>
      <c r="O353" s="4">
        <v>4.7619047620000003</v>
      </c>
      <c r="P353" s="5">
        <v>18.0915</v>
      </c>
      <c r="Q353">
        <v>5.5</v>
      </c>
      <c r="R353" s="6">
        <f>DAY(SuperMarket_Analysis[[#This Row],[Date]])</f>
        <v>25</v>
      </c>
      <c r="S353" s="6" t="str">
        <f>TEXT(SuperMarket_Analysis[[#This Row],[Date]],"mmmm")</f>
        <v>January</v>
      </c>
      <c r="T353" s="6">
        <f>YEAR(SuperMarket_Analysis[[#This Row],[Date]])</f>
        <v>2019</v>
      </c>
    </row>
    <row r="354" spans="1:20" x14ac:dyDescent="0.3">
      <c r="A354" t="s">
        <v>385</v>
      </c>
      <c r="B354" t="s">
        <v>38</v>
      </c>
      <c r="C354" t="s">
        <v>39</v>
      </c>
      <c r="D354" t="s">
        <v>17</v>
      </c>
      <c r="E354" t="s">
        <v>18</v>
      </c>
      <c r="F354" t="s">
        <v>42</v>
      </c>
      <c r="G354" s="3">
        <v>54.73</v>
      </c>
      <c r="H354" s="6">
        <v>7</v>
      </c>
      <c r="I354" s="3">
        <v>19.1555</v>
      </c>
      <c r="J354" s="3">
        <v>402.26549999999997</v>
      </c>
      <c r="K354" s="2">
        <v>43491</v>
      </c>
      <c r="L354" s="1">
        <v>0.79305555555555551</v>
      </c>
      <c r="M354" t="s">
        <v>29</v>
      </c>
      <c r="N354" s="3">
        <v>383.11</v>
      </c>
      <c r="O354" s="4">
        <v>4.7619047620000003</v>
      </c>
      <c r="P354" s="5">
        <v>19.1555</v>
      </c>
      <c r="Q354">
        <v>8.5</v>
      </c>
      <c r="R354" s="6">
        <f>DAY(SuperMarket_Analysis[[#This Row],[Date]])</f>
        <v>26</v>
      </c>
      <c r="S354" s="6" t="str">
        <f>TEXT(SuperMarket_Analysis[[#This Row],[Date]],"mmmm")</f>
        <v>January</v>
      </c>
      <c r="T354" s="6">
        <f>YEAR(SuperMarket_Analysis[[#This Row],[Date]])</f>
        <v>2019</v>
      </c>
    </row>
    <row r="355" spans="1:20" x14ac:dyDescent="0.3">
      <c r="A355" t="s">
        <v>386</v>
      </c>
      <c r="B355" t="s">
        <v>38</v>
      </c>
      <c r="C355" t="s">
        <v>39</v>
      </c>
      <c r="D355" t="s">
        <v>17</v>
      </c>
      <c r="E355" t="s">
        <v>174</v>
      </c>
      <c r="F355" t="s">
        <v>28</v>
      </c>
      <c r="G355" s="3">
        <v>27</v>
      </c>
      <c r="H355" s="6">
        <v>9</v>
      </c>
      <c r="I355" s="3">
        <v>12.15</v>
      </c>
      <c r="J355" s="3">
        <v>255.15</v>
      </c>
      <c r="K355" s="2">
        <v>43484</v>
      </c>
      <c r="L355" s="1">
        <v>0.59444444444444444</v>
      </c>
      <c r="M355" t="s">
        <v>26</v>
      </c>
      <c r="N355" s="3">
        <v>243</v>
      </c>
      <c r="O355" s="4">
        <v>4.7619047620000003</v>
      </c>
      <c r="P355" s="5">
        <v>12.15</v>
      </c>
      <c r="Q355">
        <v>4.8</v>
      </c>
      <c r="R355" s="6">
        <f>DAY(SuperMarket_Analysis[[#This Row],[Date]])</f>
        <v>19</v>
      </c>
      <c r="S355" s="6" t="str">
        <f>TEXT(SuperMarket_Analysis[[#This Row],[Date]],"mmmm")</f>
        <v>January</v>
      </c>
      <c r="T355" s="6">
        <f>YEAR(SuperMarket_Analysis[[#This Row],[Date]])</f>
        <v>2019</v>
      </c>
    </row>
    <row r="356" spans="1:20" x14ac:dyDescent="0.3">
      <c r="A356" t="s">
        <v>387</v>
      </c>
      <c r="B356" t="s">
        <v>22</v>
      </c>
      <c r="C356" t="s">
        <v>23</v>
      </c>
      <c r="D356" t="s">
        <v>24</v>
      </c>
      <c r="E356" t="s">
        <v>18</v>
      </c>
      <c r="F356" t="s">
        <v>25</v>
      </c>
      <c r="G356" s="3">
        <v>30.24</v>
      </c>
      <c r="H356" s="6">
        <v>1</v>
      </c>
      <c r="I356" s="3">
        <v>1.512</v>
      </c>
      <c r="J356" s="3">
        <v>31.751999999999999</v>
      </c>
      <c r="K356" s="2">
        <v>43480</v>
      </c>
      <c r="L356" s="1">
        <v>0.65555555555555556</v>
      </c>
      <c r="M356" t="s">
        <v>26</v>
      </c>
      <c r="N356" s="3">
        <v>30.24</v>
      </c>
      <c r="O356" s="4">
        <v>4.7619047620000003</v>
      </c>
      <c r="P356" s="5">
        <v>1.512</v>
      </c>
      <c r="Q356">
        <v>8.4</v>
      </c>
      <c r="R356" s="6">
        <f>DAY(SuperMarket_Analysis[[#This Row],[Date]])</f>
        <v>15</v>
      </c>
      <c r="S356" s="6" t="str">
        <f>TEXT(SuperMarket_Analysis[[#This Row],[Date]],"mmmm")</f>
        <v>January</v>
      </c>
      <c r="T356" s="6">
        <f>YEAR(SuperMarket_Analysis[[#This Row],[Date]])</f>
        <v>2019</v>
      </c>
    </row>
    <row r="357" spans="1:20" x14ac:dyDescent="0.3">
      <c r="A357" t="s">
        <v>388</v>
      </c>
      <c r="B357" t="s">
        <v>38</v>
      </c>
      <c r="C357" t="s">
        <v>39</v>
      </c>
      <c r="D357" t="s">
        <v>17</v>
      </c>
      <c r="E357" t="s">
        <v>18</v>
      </c>
      <c r="F357" t="s">
        <v>40</v>
      </c>
      <c r="G357" s="3">
        <v>89.14</v>
      </c>
      <c r="H357" s="6">
        <v>4</v>
      </c>
      <c r="I357" s="3">
        <v>17.827999999999999</v>
      </c>
      <c r="J357" s="3">
        <v>374.38799999999998</v>
      </c>
      <c r="K357" s="2">
        <v>43542</v>
      </c>
      <c r="L357" s="1">
        <v>0.51388888888888884</v>
      </c>
      <c r="M357" t="s">
        <v>29</v>
      </c>
      <c r="N357" s="3">
        <v>356.56</v>
      </c>
      <c r="O357" s="4">
        <v>4.7619047620000003</v>
      </c>
      <c r="P357" s="5">
        <v>17.827999999999999</v>
      </c>
      <c r="Q357">
        <v>7.8</v>
      </c>
      <c r="R357" s="6">
        <f>DAY(SuperMarket_Analysis[[#This Row],[Date]])</f>
        <v>18</v>
      </c>
      <c r="S357" s="6" t="str">
        <f>TEXT(SuperMarket_Analysis[[#This Row],[Date]],"mmmm")</f>
        <v>March</v>
      </c>
      <c r="T357" s="6">
        <f>YEAR(SuperMarket_Analysis[[#This Row],[Date]])</f>
        <v>2019</v>
      </c>
    </row>
    <row r="358" spans="1:20" x14ac:dyDescent="0.3">
      <c r="A358" t="s">
        <v>389</v>
      </c>
      <c r="B358" t="s">
        <v>22</v>
      </c>
      <c r="C358" t="s">
        <v>23</v>
      </c>
      <c r="D358" t="s">
        <v>24</v>
      </c>
      <c r="E358" t="s">
        <v>18</v>
      </c>
      <c r="F358" t="s">
        <v>42</v>
      </c>
      <c r="G358" s="3">
        <v>37.549999999999997</v>
      </c>
      <c r="H358" s="6">
        <v>10</v>
      </c>
      <c r="I358" s="3">
        <v>18.774999999999999</v>
      </c>
      <c r="J358" s="3">
        <v>394.27499999999998</v>
      </c>
      <c r="K358" s="2">
        <v>43544</v>
      </c>
      <c r="L358" s="1">
        <v>0.83402777777777781</v>
      </c>
      <c r="M358" t="s">
        <v>29</v>
      </c>
      <c r="N358" s="3">
        <v>375.5</v>
      </c>
      <c r="O358" s="4">
        <v>4.7619047620000003</v>
      </c>
      <c r="P358" s="5">
        <v>18.774999999999999</v>
      </c>
      <c r="Q358">
        <v>9.3000000000000007</v>
      </c>
      <c r="R358" s="6">
        <f>DAY(SuperMarket_Analysis[[#This Row],[Date]])</f>
        <v>20</v>
      </c>
      <c r="S358" s="6" t="str">
        <f>TEXT(SuperMarket_Analysis[[#This Row],[Date]],"mmmm")</f>
        <v>March</v>
      </c>
      <c r="T358" s="6">
        <f>YEAR(SuperMarket_Analysis[[#This Row],[Date]])</f>
        <v>2019</v>
      </c>
    </row>
    <row r="359" spans="1:20" x14ac:dyDescent="0.3">
      <c r="A359" t="s">
        <v>390</v>
      </c>
      <c r="B359" t="s">
        <v>22</v>
      </c>
      <c r="C359" t="s">
        <v>23</v>
      </c>
      <c r="D359" t="s">
        <v>24</v>
      </c>
      <c r="E359" t="s">
        <v>18</v>
      </c>
      <c r="F359" t="s">
        <v>32</v>
      </c>
      <c r="G359" s="3">
        <v>95.44</v>
      </c>
      <c r="H359" s="6">
        <v>10</v>
      </c>
      <c r="I359" s="3">
        <v>47.72</v>
      </c>
      <c r="J359" s="3">
        <v>1002.12</v>
      </c>
      <c r="K359" s="2">
        <v>43480</v>
      </c>
      <c r="L359" s="1">
        <v>0.57291666666666663</v>
      </c>
      <c r="M359" t="s">
        <v>26</v>
      </c>
      <c r="N359" s="3">
        <v>954.4</v>
      </c>
      <c r="O359" s="4">
        <v>4.7619047620000003</v>
      </c>
      <c r="P359" s="5">
        <v>47.72</v>
      </c>
      <c r="Q359">
        <v>5.2</v>
      </c>
      <c r="R359" s="6">
        <f>DAY(SuperMarket_Analysis[[#This Row],[Date]])</f>
        <v>15</v>
      </c>
      <c r="S359" s="6" t="str">
        <f>TEXT(SuperMarket_Analysis[[#This Row],[Date]],"mmmm")</f>
        <v>January</v>
      </c>
      <c r="T359" s="6">
        <f>YEAR(SuperMarket_Analysis[[#This Row],[Date]])</f>
        <v>2019</v>
      </c>
    </row>
    <row r="360" spans="1:20" x14ac:dyDescent="0.3">
      <c r="A360" t="s">
        <v>391</v>
      </c>
      <c r="B360" t="s">
        <v>38</v>
      </c>
      <c r="C360" t="s">
        <v>39</v>
      </c>
      <c r="D360" t="s">
        <v>24</v>
      </c>
      <c r="E360" t="s">
        <v>174</v>
      </c>
      <c r="F360" t="s">
        <v>25</v>
      </c>
      <c r="G360" s="3">
        <v>27.5</v>
      </c>
      <c r="H360" s="6">
        <v>3</v>
      </c>
      <c r="I360" s="3">
        <v>4.125</v>
      </c>
      <c r="J360" s="3">
        <v>86.625</v>
      </c>
      <c r="K360" s="2">
        <v>43543</v>
      </c>
      <c r="L360" s="1">
        <v>0.65277777777777779</v>
      </c>
      <c r="M360" t="s">
        <v>20</v>
      </c>
      <c r="N360" s="3">
        <v>82.5</v>
      </c>
      <c r="O360" s="4">
        <v>4.7619047620000003</v>
      </c>
      <c r="P360" s="5">
        <v>4.125</v>
      </c>
      <c r="Q360">
        <v>6.5</v>
      </c>
      <c r="R360" s="6">
        <f>DAY(SuperMarket_Analysis[[#This Row],[Date]])</f>
        <v>19</v>
      </c>
      <c r="S360" s="6" t="str">
        <f>TEXT(SuperMarket_Analysis[[#This Row],[Date]],"mmmm")</f>
        <v>March</v>
      </c>
      <c r="T360" s="6">
        <f>YEAR(SuperMarket_Analysis[[#This Row],[Date]])</f>
        <v>2019</v>
      </c>
    </row>
    <row r="361" spans="1:20" x14ac:dyDescent="0.3">
      <c r="A361" t="s">
        <v>392</v>
      </c>
      <c r="B361" t="s">
        <v>38</v>
      </c>
      <c r="C361" t="s">
        <v>39</v>
      </c>
      <c r="D361" t="s">
        <v>24</v>
      </c>
      <c r="E361" t="s">
        <v>174</v>
      </c>
      <c r="F361" t="s">
        <v>32</v>
      </c>
      <c r="G361" s="3">
        <v>74.97</v>
      </c>
      <c r="H361" s="6">
        <v>1</v>
      </c>
      <c r="I361" s="3">
        <v>3.7484999999999999</v>
      </c>
      <c r="J361" s="3">
        <v>78.718500000000006</v>
      </c>
      <c r="K361" s="2">
        <v>43523</v>
      </c>
      <c r="L361" s="1">
        <v>0.70694444444444449</v>
      </c>
      <c r="M361" t="s">
        <v>26</v>
      </c>
      <c r="N361" s="3">
        <v>74.97</v>
      </c>
      <c r="O361" s="4">
        <v>4.7619047620000003</v>
      </c>
      <c r="P361" s="5">
        <v>3.7484999999999999</v>
      </c>
      <c r="Q361">
        <v>5.6</v>
      </c>
      <c r="R361" s="6">
        <f>DAY(SuperMarket_Analysis[[#This Row],[Date]])</f>
        <v>27</v>
      </c>
      <c r="S361" s="6" t="str">
        <f>TEXT(SuperMarket_Analysis[[#This Row],[Date]],"mmmm")</f>
        <v>February</v>
      </c>
      <c r="T361" s="6">
        <f>YEAR(SuperMarket_Analysis[[#This Row],[Date]])</f>
        <v>2019</v>
      </c>
    </row>
    <row r="362" spans="1:20" x14ac:dyDescent="0.3">
      <c r="A362" t="s">
        <v>393</v>
      </c>
      <c r="B362" t="s">
        <v>15</v>
      </c>
      <c r="C362" t="s">
        <v>16</v>
      </c>
      <c r="D362" t="s">
        <v>17</v>
      </c>
      <c r="E362" t="s">
        <v>174</v>
      </c>
      <c r="F362" t="s">
        <v>40</v>
      </c>
      <c r="G362" s="3">
        <v>80.959999999999994</v>
      </c>
      <c r="H362" s="6">
        <v>8</v>
      </c>
      <c r="I362" s="3">
        <v>32.384</v>
      </c>
      <c r="J362" s="3">
        <v>680.06399999999996</v>
      </c>
      <c r="K362" s="2">
        <v>43519</v>
      </c>
      <c r="L362" s="1">
        <v>0.46666666666666667</v>
      </c>
      <c r="M362" t="s">
        <v>29</v>
      </c>
      <c r="N362" s="3">
        <v>647.67999999999995</v>
      </c>
      <c r="O362" s="4">
        <v>4.7619047620000003</v>
      </c>
      <c r="P362" s="5">
        <v>32.384</v>
      </c>
      <c r="Q362">
        <v>7.4</v>
      </c>
      <c r="R362" s="6">
        <f>DAY(SuperMarket_Analysis[[#This Row],[Date]])</f>
        <v>23</v>
      </c>
      <c r="S362" s="6" t="str">
        <f>TEXT(SuperMarket_Analysis[[#This Row],[Date]],"mmmm")</f>
        <v>February</v>
      </c>
      <c r="T362" s="6">
        <f>YEAR(SuperMarket_Analysis[[#This Row],[Date]])</f>
        <v>2019</v>
      </c>
    </row>
    <row r="363" spans="1:20" x14ac:dyDescent="0.3">
      <c r="A363" t="s">
        <v>394</v>
      </c>
      <c r="B363" t="s">
        <v>22</v>
      </c>
      <c r="C363" t="s">
        <v>23</v>
      </c>
      <c r="D363" t="s">
        <v>24</v>
      </c>
      <c r="E363" t="s">
        <v>18</v>
      </c>
      <c r="F363" t="s">
        <v>40</v>
      </c>
      <c r="G363" s="3">
        <v>94.47</v>
      </c>
      <c r="H363" s="6">
        <v>8</v>
      </c>
      <c r="I363" s="3">
        <v>37.787999999999997</v>
      </c>
      <c r="J363" s="3">
        <v>793.548</v>
      </c>
      <c r="K363" s="2">
        <v>43543</v>
      </c>
      <c r="L363" s="1">
        <v>0.6333333333333333</v>
      </c>
      <c r="M363" t="s">
        <v>26</v>
      </c>
      <c r="N363" s="3">
        <v>755.76</v>
      </c>
      <c r="O363" s="4">
        <v>4.7619047620000003</v>
      </c>
      <c r="P363" s="5">
        <v>37.787999999999997</v>
      </c>
      <c r="Q363">
        <v>9.1</v>
      </c>
      <c r="R363" s="6">
        <f>DAY(SuperMarket_Analysis[[#This Row],[Date]])</f>
        <v>19</v>
      </c>
      <c r="S363" s="6" t="str">
        <f>TEXT(SuperMarket_Analysis[[#This Row],[Date]],"mmmm")</f>
        <v>March</v>
      </c>
      <c r="T363" s="6">
        <f>YEAR(SuperMarket_Analysis[[#This Row],[Date]])</f>
        <v>2019</v>
      </c>
    </row>
    <row r="364" spans="1:20" x14ac:dyDescent="0.3">
      <c r="A364" t="s">
        <v>395</v>
      </c>
      <c r="B364" t="s">
        <v>22</v>
      </c>
      <c r="C364" t="s">
        <v>23</v>
      </c>
      <c r="D364" t="s">
        <v>24</v>
      </c>
      <c r="E364" t="s">
        <v>174</v>
      </c>
      <c r="F364" t="s">
        <v>40</v>
      </c>
      <c r="G364" s="3">
        <v>99.79</v>
      </c>
      <c r="H364" s="6">
        <v>2</v>
      </c>
      <c r="I364" s="3">
        <v>9.9789999999999992</v>
      </c>
      <c r="J364" s="3">
        <v>209.559</v>
      </c>
      <c r="K364" s="2">
        <v>43551</v>
      </c>
      <c r="L364" s="1">
        <v>0.85902777777777772</v>
      </c>
      <c r="M364" t="s">
        <v>20</v>
      </c>
      <c r="N364" s="3">
        <v>199.58</v>
      </c>
      <c r="O364" s="4">
        <v>4.7619047620000003</v>
      </c>
      <c r="P364" s="5">
        <v>9.9789999999999992</v>
      </c>
      <c r="Q364">
        <v>8</v>
      </c>
      <c r="R364" s="6">
        <f>DAY(SuperMarket_Analysis[[#This Row],[Date]])</f>
        <v>27</v>
      </c>
      <c r="S364" s="6" t="str">
        <f>TEXT(SuperMarket_Analysis[[#This Row],[Date]],"mmmm")</f>
        <v>March</v>
      </c>
      <c r="T364" s="6">
        <f>YEAR(SuperMarket_Analysis[[#This Row],[Date]])</f>
        <v>2019</v>
      </c>
    </row>
    <row r="365" spans="1:20" x14ac:dyDescent="0.3">
      <c r="A365" t="s">
        <v>396</v>
      </c>
      <c r="B365" t="s">
        <v>15</v>
      </c>
      <c r="C365" t="s">
        <v>16</v>
      </c>
      <c r="D365" t="s">
        <v>24</v>
      </c>
      <c r="E365" t="s">
        <v>174</v>
      </c>
      <c r="F365" t="s">
        <v>28</v>
      </c>
      <c r="G365" s="3">
        <v>73.22</v>
      </c>
      <c r="H365" s="6">
        <v>6</v>
      </c>
      <c r="I365" s="3">
        <v>21.966000000000001</v>
      </c>
      <c r="J365" s="3">
        <v>461.286</v>
      </c>
      <c r="K365" s="2">
        <v>43554</v>
      </c>
      <c r="L365" s="1">
        <v>0.73888888888888893</v>
      </c>
      <c r="M365" t="s">
        <v>26</v>
      </c>
      <c r="N365" s="3">
        <v>439.32</v>
      </c>
      <c r="O365" s="4">
        <v>4.7619047620000003</v>
      </c>
      <c r="P365" s="5">
        <v>21.966000000000001</v>
      </c>
      <c r="Q365">
        <v>7.2</v>
      </c>
      <c r="R365" s="6">
        <f>DAY(SuperMarket_Analysis[[#This Row],[Date]])</f>
        <v>30</v>
      </c>
      <c r="S365" s="6" t="str">
        <f>TEXT(SuperMarket_Analysis[[#This Row],[Date]],"mmmm")</f>
        <v>March</v>
      </c>
      <c r="T365" s="6">
        <f>YEAR(SuperMarket_Analysis[[#This Row],[Date]])</f>
        <v>2019</v>
      </c>
    </row>
    <row r="366" spans="1:20" x14ac:dyDescent="0.3">
      <c r="A366" t="s">
        <v>397</v>
      </c>
      <c r="B366" t="s">
        <v>22</v>
      </c>
      <c r="C366" t="s">
        <v>23</v>
      </c>
      <c r="D366" t="s">
        <v>24</v>
      </c>
      <c r="E366" t="s">
        <v>18</v>
      </c>
      <c r="F366" t="s">
        <v>40</v>
      </c>
      <c r="G366" s="3">
        <v>41.24</v>
      </c>
      <c r="H366" s="6">
        <v>4</v>
      </c>
      <c r="I366" s="3">
        <v>8.2479999999999993</v>
      </c>
      <c r="J366" s="3">
        <v>173.208</v>
      </c>
      <c r="K366" s="2">
        <v>43512</v>
      </c>
      <c r="L366" s="1">
        <v>0.68263888888888891</v>
      </c>
      <c r="M366" t="s">
        <v>26</v>
      </c>
      <c r="N366" s="3">
        <v>164.96</v>
      </c>
      <c r="O366" s="4">
        <v>4.7619047620000003</v>
      </c>
      <c r="P366" s="5">
        <v>8.2479999999999993</v>
      </c>
      <c r="Q366">
        <v>7.1</v>
      </c>
      <c r="R366" s="6">
        <f>DAY(SuperMarket_Analysis[[#This Row],[Date]])</f>
        <v>16</v>
      </c>
      <c r="S366" s="6" t="str">
        <f>TEXT(SuperMarket_Analysis[[#This Row],[Date]],"mmmm")</f>
        <v>February</v>
      </c>
      <c r="T366" s="6">
        <f>YEAR(SuperMarket_Analysis[[#This Row],[Date]])</f>
        <v>2019</v>
      </c>
    </row>
    <row r="367" spans="1:20" x14ac:dyDescent="0.3">
      <c r="A367" t="s">
        <v>398</v>
      </c>
      <c r="B367" t="s">
        <v>22</v>
      </c>
      <c r="C367" t="s">
        <v>23</v>
      </c>
      <c r="D367" t="s">
        <v>24</v>
      </c>
      <c r="E367" t="s">
        <v>18</v>
      </c>
      <c r="F367" t="s">
        <v>42</v>
      </c>
      <c r="G367" s="3">
        <v>81.680000000000007</v>
      </c>
      <c r="H367" s="6">
        <v>4</v>
      </c>
      <c r="I367" s="3">
        <v>16.335999999999999</v>
      </c>
      <c r="J367" s="3">
        <v>343.05599999999998</v>
      </c>
      <c r="K367" s="2">
        <v>43483</v>
      </c>
      <c r="L367" s="1">
        <v>0.5083333333333333</v>
      </c>
      <c r="M367" t="s">
        <v>26</v>
      </c>
      <c r="N367" s="3">
        <v>326.72000000000003</v>
      </c>
      <c r="O367" s="4">
        <v>4.7619047620000003</v>
      </c>
      <c r="P367" s="5">
        <v>16.335999999999999</v>
      </c>
      <c r="Q367">
        <v>9.1</v>
      </c>
      <c r="R367" s="6">
        <f>DAY(SuperMarket_Analysis[[#This Row],[Date]])</f>
        <v>18</v>
      </c>
      <c r="S367" s="6" t="str">
        <f>TEXT(SuperMarket_Analysis[[#This Row],[Date]],"mmmm")</f>
        <v>January</v>
      </c>
      <c r="T367" s="6">
        <f>YEAR(SuperMarket_Analysis[[#This Row],[Date]])</f>
        <v>2019</v>
      </c>
    </row>
    <row r="368" spans="1:20" x14ac:dyDescent="0.3">
      <c r="A368" t="s">
        <v>399</v>
      </c>
      <c r="B368" t="s">
        <v>22</v>
      </c>
      <c r="C368" t="s">
        <v>23</v>
      </c>
      <c r="D368" t="s">
        <v>24</v>
      </c>
      <c r="E368" t="s">
        <v>18</v>
      </c>
      <c r="F368" t="s">
        <v>25</v>
      </c>
      <c r="G368" s="3">
        <v>51.32</v>
      </c>
      <c r="H368" s="6">
        <v>9</v>
      </c>
      <c r="I368" s="3">
        <v>23.094000000000001</v>
      </c>
      <c r="J368" s="3">
        <v>484.97399999999999</v>
      </c>
      <c r="K368" s="2">
        <v>43554</v>
      </c>
      <c r="L368" s="1">
        <v>0.81458333333333333</v>
      </c>
      <c r="M368" t="s">
        <v>26</v>
      </c>
      <c r="N368" s="3">
        <v>461.88</v>
      </c>
      <c r="O368" s="4">
        <v>4.7619047620000003</v>
      </c>
      <c r="P368" s="5">
        <v>23.094000000000001</v>
      </c>
      <c r="Q368">
        <v>5.6</v>
      </c>
      <c r="R368" s="6">
        <f>DAY(SuperMarket_Analysis[[#This Row],[Date]])</f>
        <v>30</v>
      </c>
      <c r="S368" s="6" t="str">
        <f>TEXT(SuperMarket_Analysis[[#This Row],[Date]],"mmmm")</f>
        <v>March</v>
      </c>
      <c r="T368" s="6">
        <f>YEAR(SuperMarket_Analysis[[#This Row],[Date]])</f>
        <v>2019</v>
      </c>
    </row>
    <row r="369" spans="1:20" x14ac:dyDescent="0.3">
      <c r="A369" t="s">
        <v>400</v>
      </c>
      <c r="B369" t="s">
        <v>15</v>
      </c>
      <c r="C369" t="s">
        <v>16</v>
      </c>
      <c r="D369" t="s">
        <v>17</v>
      </c>
      <c r="E369" t="s">
        <v>174</v>
      </c>
      <c r="F369" t="s">
        <v>28</v>
      </c>
      <c r="G369" s="3">
        <v>65.94</v>
      </c>
      <c r="H369" s="6">
        <v>4</v>
      </c>
      <c r="I369" s="3">
        <v>13.188000000000001</v>
      </c>
      <c r="J369" s="3">
        <v>276.94799999999998</v>
      </c>
      <c r="K369" s="2">
        <v>43544</v>
      </c>
      <c r="L369" s="1">
        <v>0.43680555555555556</v>
      </c>
      <c r="M369" t="s">
        <v>26</v>
      </c>
      <c r="N369" s="3">
        <v>263.76</v>
      </c>
      <c r="O369" s="4">
        <v>4.7619047620000003</v>
      </c>
      <c r="P369" s="5">
        <v>13.188000000000001</v>
      </c>
      <c r="Q369">
        <v>6</v>
      </c>
      <c r="R369" s="6">
        <f>DAY(SuperMarket_Analysis[[#This Row],[Date]])</f>
        <v>20</v>
      </c>
      <c r="S369" s="6" t="str">
        <f>TEXT(SuperMarket_Analysis[[#This Row],[Date]],"mmmm")</f>
        <v>March</v>
      </c>
      <c r="T369" s="6">
        <f>YEAR(SuperMarket_Analysis[[#This Row],[Date]])</f>
        <v>2019</v>
      </c>
    </row>
    <row r="370" spans="1:20" x14ac:dyDescent="0.3">
      <c r="A370" t="s">
        <v>401</v>
      </c>
      <c r="B370" t="s">
        <v>22</v>
      </c>
      <c r="C370" t="s">
        <v>23</v>
      </c>
      <c r="D370" t="s">
        <v>24</v>
      </c>
      <c r="E370" t="s">
        <v>18</v>
      </c>
      <c r="F370" t="s">
        <v>32</v>
      </c>
      <c r="G370" s="3">
        <v>14.36</v>
      </c>
      <c r="H370" s="6">
        <v>10</v>
      </c>
      <c r="I370" s="3">
        <v>7.18</v>
      </c>
      <c r="J370" s="3">
        <v>150.78</v>
      </c>
      <c r="K370" s="2">
        <v>43481</v>
      </c>
      <c r="L370" s="1">
        <v>0.60277777777777775</v>
      </c>
      <c r="M370" t="s">
        <v>26</v>
      </c>
      <c r="N370" s="3">
        <v>143.6</v>
      </c>
      <c r="O370" s="4">
        <v>4.7619047620000003</v>
      </c>
      <c r="P370" s="5">
        <v>7.18</v>
      </c>
      <c r="Q370">
        <v>5.4</v>
      </c>
      <c r="R370" s="6">
        <f>DAY(SuperMarket_Analysis[[#This Row],[Date]])</f>
        <v>16</v>
      </c>
      <c r="S370" s="6" t="str">
        <f>TEXT(SuperMarket_Analysis[[#This Row],[Date]],"mmmm")</f>
        <v>January</v>
      </c>
      <c r="T370" s="6">
        <f>YEAR(SuperMarket_Analysis[[#This Row],[Date]])</f>
        <v>2019</v>
      </c>
    </row>
    <row r="371" spans="1:20" x14ac:dyDescent="0.3">
      <c r="A371" t="s">
        <v>402</v>
      </c>
      <c r="B371" t="s">
        <v>15</v>
      </c>
      <c r="C371" t="s">
        <v>16</v>
      </c>
      <c r="D371" t="s">
        <v>17</v>
      </c>
      <c r="E371" t="s">
        <v>174</v>
      </c>
      <c r="F371" t="s">
        <v>25</v>
      </c>
      <c r="G371" s="3">
        <v>21.5</v>
      </c>
      <c r="H371" s="6">
        <v>9</v>
      </c>
      <c r="I371" s="3">
        <v>9.6750000000000007</v>
      </c>
      <c r="J371" s="3">
        <v>203.17500000000001</v>
      </c>
      <c r="K371" s="2">
        <v>43520</v>
      </c>
      <c r="L371" s="1">
        <v>0.53194444444444444</v>
      </c>
      <c r="M371" t="s">
        <v>29</v>
      </c>
      <c r="N371" s="3">
        <v>193.5</v>
      </c>
      <c r="O371" s="4">
        <v>4.7619047620000003</v>
      </c>
      <c r="P371" s="5">
        <v>9.6750000000000007</v>
      </c>
      <c r="Q371">
        <v>7.8</v>
      </c>
      <c r="R371" s="6">
        <f>DAY(SuperMarket_Analysis[[#This Row],[Date]])</f>
        <v>24</v>
      </c>
      <c r="S371" s="6" t="str">
        <f>TEXT(SuperMarket_Analysis[[#This Row],[Date]],"mmmm")</f>
        <v>February</v>
      </c>
      <c r="T371" s="6">
        <f>YEAR(SuperMarket_Analysis[[#This Row],[Date]])</f>
        <v>2019</v>
      </c>
    </row>
    <row r="372" spans="1:20" x14ac:dyDescent="0.3">
      <c r="A372" t="s">
        <v>403</v>
      </c>
      <c r="B372" t="s">
        <v>38</v>
      </c>
      <c r="C372" t="s">
        <v>39</v>
      </c>
      <c r="D372" t="s">
        <v>17</v>
      </c>
      <c r="E372" t="s">
        <v>18</v>
      </c>
      <c r="F372" t="s">
        <v>25</v>
      </c>
      <c r="G372" s="3">
        <v>26.26</v>
      </c>
      <c r="H372" s="6">
        <v>7</v>
      </c>
      <c r="I372" s="3">
        <v>9.1910000000000007</v>
      </c>
      <c r="J372" s="3">
        <v>193.011</v>
      </c>
      <c r="K372" s="2">
        <v>43480</v>
      </c>
      <c r="L372" s="1">
        <v>0.81944444444444442</v>
      </c>
      <c r="M372" t="s">
        <v>26</v>
      </c>
      <c r="N372" s="3">
        <v>183.82</v>
      </c>
      <c r="O372" s="4">
        <v>4.7619047620000003</v>
      </c>
      <c r="P372" s="5">
        <v>9.1910000000000007</v>
      </c>
      <c r="Q372">
        <v>9.9</v>
      </c>
      <c r="R372" s="6">
        <f>DAY(SuperMarket_Analysis[[#This Row],[Date]])</f>
        <v>15</v>
      </c>
      <c r="S372" s="6" t="str">
        <f>TEXT(SuperMarket_Analysis[[#This Row],[Date]],"mmmm")</f>
        <v>January</v>
      </c>
      <c r="T372" s="6">
        <f>YEAR(SuperMarket_Analysis[[#This Row],[Date]])</f>
        <v>2019</v>
      </c>
    </row>
    <row r="373" spans="1:20" x14ac:dyDescent="0.3">
      <c r="A373" t="s">
        <v>404</v>
      </c>
      <c r="B373" t="s">
        <v>38</v>
      </c>
      <c r="C373" t="s">
        <v>39</v>
      </c>
      <c r="D373" t="s">
        <v>24</v>
      </c>
      <c r="E373" t="s">
        <v>18</v>
      </c>
      <c r="F373" t="s">
        <v>42</v>
      </c>
      <c r="G373" s="3">
        <v>60.96</v>
      </c>
      <c r="H373" s="6">
        <v>2</v>
      </c>
      <c r="I373" s="3">
        <v>6.0960000000000001</v>
      </c>
      <c r="J373" s="3">
        <v>128.01599999999999</v>
      </c>
      <c r="K373" s="2">
        <v>43487</v>
      </c>
      <c r="L373" s="1">
        <v>0.81874999999999998</v>
      </c>
      <c r="M373" t="s">
        <v>29</v>
      </c>
      <c r="N373" s="3">
        <v>121.92</v>
      </c>
      <c r="O373" s="4">
        <v>4.7619047620000003</v>
      </c>
      <c r="P373" s="5">
        <v>6.0960000000000001</v>
      </c>
      <c r="Q373">
        <v>4.9000000000000004</v>
      </c>
      <c r="R373" s="6">
        <f>DAY(SuperMarket_Analysis[[#This Row],[Date]])</f>
        <v>22</v>
      </c>
      <c r="S373" s="6" t="str">
        <f>TEXT(SuperMarket_Analysis[[#This Row],[Date]],"mmmm")</f>
        <v>January</v>
      </c>
      <c r="T373" s="6">
        <f>YEAR(SuperMarket_Analysis[[#This Row],[Date]])</f>
        <v>2019</v>
      </c>
    </row>
    <row r="374" spans="1:20" x14ac:dyDescent="0.3">
      <c r="A374" t="s">
        <v>405</v>
      </c>
      <c r="B374" t="s">
        <v>22</v>
      </c>
      <c r="C374" t="s">
        <v>23</v>
      </c>
      <c r="D374" t="s">
        <v>24</v>
      </c>
      <c r="E374" t="s">
        <v>18</v>
      </c>
      <c r="F374" t="s">
        <v>28</v>
      </c>
      <c r="G374" s="3">
        <v>70.11</v>
      </c>
      <c r="H374" s="6">
        <v>6</v>
      </c>
      <c r="I374" s="3">
        <v>21.033000000000001</v>
      </c>
      <c r="J374" s="3">
        <v>441.69299999999998</v>
      </c>
      <c r="K374" s="2">
        <v>43512</v>
      </c>
      <c r="L374" s="1">
        <v>0.74583333333333335</v>
      </c>
      <c r="M374" t="s">
        <v>20</v>
      </c>
      <c r="N374" s="3">
        <v>420.66</v>
      </c>
      <c r="O374" s="4">
        <v>4.7619047620000003</v>
      </c>
      <c r="P374" s="5">
        <v>21.033000000000001</v>
      </c>
      <c r="Q374">
        <v>5.2</v>
      </c>
      <c r="R374" s="6">
        <f>DAY(SuperMarket_Analysis[[#This Row],[Date]])</f>
        <v>16</v>
      </c>
      <c r="S374" s="6" t="str">
        <f>TEXT(SuperMarket_Analysis[[#This Row],[Date]],"mmmm")</f>
        <v>February</v>
      </c>
      <c r="T374" s="6">
        <f>YEAR(SuperMarket_Analysis[[#This Row],[Date]])</f>
        <v>2019</v>
      </c>
    </row>
    <row r="375" spans="1:20" x14ac:dyDescent="0.3">
      <c r="A375" t="s">
        <v>406</v>
      </c>
      <c r="B375" t="s">
        <v>22</v>
      </c>
      <c r="C375" t="s">
        <v>23</v>
      </c>
      <c r="D375" t="s">
        <v>24</v>
      </c>
      <c r="E375" t="s">
        <v>174</v>
      </c>
      <c r="F375" t="s">
        <v>42</v>
      </c>
      <c r="G375" s="3">
        <v>42.08</v>
      </c>
      <c r="H375" s="6">
        <v>6</v>
      </c>
      <c r="I375" s="3">
        <v>12.624000000000001</v>
      </c>
      <c r="J375" s="3">
        <v>265.10399999999998</v>
      </c>
      <c r="K375" s="2">
        <v>43538</v>
      </c>
      <c r="L375" s="1">
        <v>0.51736111111111116</v>
      </c>
      <c r="M375" t="s">
        <v>26</v>
      </c>
      <c r="N375" s="3">
        <v>252.48</v>
      </c>
      <c r="O375" s="4">
        <v>4.7619047620000003</v>
      </c>
      <c r="P375" s="5">
        <v>12.624000000000001</v>
      </c>
      <c r="Q375">
        <v>8.9</v>
      </c>
      <c r="R375" s="6">
        <f>DAY(SuperMarket_Analysis[[#This Row],[Date]])</f>
        <v>14</v>
      </c>
      <c r="S375" s="6" t="str">
        <f>TEXT(SuperMarket_Analysis[[#This Row],[Date]],"mmmm")</f>
        <v>March</v>
      </c>
      <c r="T375" s="6">
        <f>YEAR(SuperMarket_Analysis[[#This Row],[Date]])</f>
        <v>2019</v>
      </c>
    </row>
    <row r="376" spans="1:20" x14ac:dyDescent="0.3">
      <c r="A376" t="s">
        <v>407</v>
      </c>
      <c r="B376" t="s">
        <v>15</v>
      </c>
      <c r="C376" t="s">
        <v>16</v>
      </c>
      <c r="D376" t="s">
        <v>24</v>
      </c>
      <c r="E376" t="s">
        <v>18</v>
      </c>
      <c r="F376" t="s">
        <v>28</v>
      </c>
      <c r="G376" s="3">
        <v>67.09</v>
      </c>
      <c r="H376" s="6">
        <v>5</v>
      </c>
      <c r="I376" s="3">
        <v>16.772500000000001</v>
      </c>
      <c r="J376" s="3">
        <v>352.22250000000003</v>
      </c>
      <c r="K376" s="2">
        <v>43523</v>
      </c>
      <c r="L376" s="1">
        <v>0.69930555555555551</v>
      </c>
      <c r="M376" t="s">
        <v>29</v>
      </c>
      <c r="N376" s="3">
        <v>335.45</v>
      </c>
      <c r="O376" s="4">
        <v>4.7619047620000003</v>
      </c>
      <c r="P376" s="5">
        <v>16.772500000000001</v>
      </c>
      <c r="Q376">
        <v>9.1</v>
      </c>
      <c r="R376" s="6">
        <f>DAY(SuperMarket_Analysis[[#This Row],[Date]])</f>
        <v>27</v>
      </c>
      <c r="S376" s="6" t="str">
        <f>TEXT(SuperMarket_Analysis[[#This Row],[Date]],"mmmm")</f>
        <v>February</v>
      </c>
      <c r="T376" s="6">
        <f>YEAR(SuperMarket_Analysis[[#This Row],[Date]])</f>
        <v>2019</v>
      </c>
    </row>
    <row r="377" spans="1:20" x14ac:dyDescent="0.3">
      <c r="A377" t="s">
        <v>408</v>
      </c>
      <c r="B377" t="s">
        <v>15</v>
      </c>
      <c r="C377" t="s">
        <v>16</v>
      </c>
      <c r="D377" t="s">
        <v>17</v>
      </c>
      <c r="E377" t="s">
        <v>18</v>
      </c>
      <c r="F377" t="s">
        <v>42</v>
      </c>
      <c r="G377" s="3">
        <v>96.7</v>
      </c>
      <c r="H377" s="6">
        <v>5</v>
      </c>
      <c r="I377" s="3">
        <v>24.175000000000001</v>
      </c>
      <c r="J377" s="3">
        <v>507.67500000000001</v>
      </c>
      <c r="K377" s="2">
        <v>43483</v>
      </c>
      <c r="L377" s="1">
        <v>0.53611111111111109</v>
      </c>
      <c r="M377" t="s">
        <v>20</v>
      </c>
      <c r="N377" s="3">
        <v>483.5</v>
      </c>
      <c r="O377" s="4">
        <v>4.7619047620000003</v>
      </c>
      <c r="P377" s="5">
        <v>24.175000000000001</v>
      </c>
      <c r="Q377">
        <v>7</v>
      </c>
      <c r="R377" s="6">
        <f>DAY(SuperMarket_Analysis[[#This Row],[Date]])</f>
        <v>18</v>
      </c>
      <c r="S377" s="6" t="str">
        <f>TEXT(SuperMarket_Analysis[[#This Row],[Date]],"mmmm")</f>
        <v>January</v>
      </c>
      <c r="T377" s="6">
        <f>YEAR(SuperMarket_Analysis[[#This Row],[Date]])</f>
        <v>2019</v>
      </c>
    </row>
    <row r="378" spans="1:20" x14ac:dyDescent="0.3">
      <c r="A378" t="s">
        <v>409</v>
      </c>
      <c r="B378" t="s">
        <v>38</v>
      </c>
      <c r="C378" t="s">
        <v>39</v>
      </c>
      <c r="D378" t="s">
        <v>17</v>
      </c>
      <c r="E378" t="s">
        <v>18</v>
      </c>
      <c r="F378" t="s">
        <v>28</v>
      </c>
      <c r="G378" s="3">
        <v>35.380000000000003</v>
      </c>
      <c r="H378" s="6">
        <v>9</v>
      </c>
      <c r="I378" s="3">
        <v>15.920999999999999</v>
      </c>
      <c r="J378" s="3">
        <v>334.34100000000001</v>
      </c>
      <c r="K378" s="2">
        <v>43494</v>
      </c>
      <c r="L378" s="1">
        <v>0.82638888888888884</v>
      </c>
      <c r="M378" t="s">
        <v>29</v>
      </c>
      <c r="N378" s="3">
        <v>318.42</v>
      </c>
      <c r="O378" s="4">
        <v>4.7619047620000003</v>
      </c>
      <c r="P378" s="5">
        <v>15.920999999999999</v>
      </c>
      <c r="Q378">
        <v>9.6</v>
      </c>
      <c r="R378" s="6">
        <f>DAY(SuperMarket_Analysis[[#This Row],[Date]])</f>
        <v>29</v>
      </c>
      <c r="S378" s="6" t="str">
        <f>TEXT(SuperMarket_Analysis[[#This Row],[Date]],"mmmm")</f>
        <v>January</v>
      </c>
      <c r="T378" s="6">
        <f>YEAR(SuperMarket_Analysis[[#This Row],[Date]])</f>
        <v>2019</v>
      </c>
    </row>
    <row r="379" spans="1:20" x14ac:dyDescent="0.3">
      <c r="A379" t="s">
        <v>410</v>
      </c>
      <c r="B379" t="s">
        <v>22</v>
      </c>
      <c r="C379" t="s">
        <v>23</v>
      </c>
      <c r="D379" t="s">
        <v>24</v>
      </c>
      <c r="E379" t="s">
        <v>174</v>
      </c>
      <c r="F379" t="s">
        <v>32</v>
      </c>
      <c r="G379" s="3">
        <v>95.49</v>
      </c>
      <c r="H379" s="6">
        <v>7</v>
      </c>
      <c r="I379" s="3">
        <v>33.421500000000002</v>
      </c>
      <c r="J379" s="3">
        <v>701.85149999999999</v>
      </c>
      <c r="K379" s="2">
        <v>43522</v>
      </c>
      <c r="L379" s="1">
        <v>0.76180555555555551</v>
      </c>
      <c r="M379" t="s">
        <v>20</v>
      </c>
      <c r="N379" s="3">
        <v>668.43</v>
      </c>
      <c r="O379" s="4">
        <v>4.7619047620000003</v>
      </c>
      <c r="P379" s="5">
        <v>33.421500000000002</v>
      </c>
      <c r="Q379">
        <v>8.6999999999999993</v>
      </c>
      <c r="R379" s="6">
        <f>DAY(SuperMarket_Analysis[[#This Row],[Date]])</f>
        <v>26</v>
      </c>
      <c r="S379" s="6" t="str">
        <f>TEXT(SuperMarket_Analysis[[#This Row],[Date]],"mmmm")</f>
        <v>February</v>
      </c>
      <c r="T379" s="6">
        <f>YEAR(SuperMarket_Analysis[[#This Row],[Date]])</f>
        <v>2019</v>
      </c>
    </row>
    <row r="380" spans="1:20" x14ac:dyDescent="0.3">
      <c r="A380" t="s">
        <v>411</v>
      </c>
      <c r="B380" t="s">
        <v>22</v>
      </c>
      <c r="C380" t="s">
        <v>23</v>
      </c>
      <c r="D380" t="s">
        <v>17</v>
      </c>
      <c r="E380" t="s">
        <v>174</v>
      </c>
      <c r="F380" t="s">
        <v>42</v>
      </c>
      <c r="G380" s="3">
        <v>96.98</v>
      </c>
      <c r="H380" s="6">
        <v>4</v>
      </c>
      <c r="I380" s="3">
        <v>19.396000000000001</v>
      </c>
      <c r="J380" s="3">
        <v>407.31599999999997</v>
      </c>
      <c r="K380" s="2">
        <v>43481</v>
      </c>
      <c r="L380" s="1">
        <v>0.72222222222222221</v>
      </c>
      <c r="M380" t="s">
        <v>20</v>
      </c>
      <c r="N380" s="3">
        <v>387.92</v>
      </c>
      <c r="O380" s="4">
        <v>4.7619047620000003</v>
      </c>
      <c r="P380" s="5">
        <v>19.396000000000001</v>
      </c>
      <c r="Q380">
        <v>9.4</v>
      </c>
      <c r="R380" s="6">
        <f>DAY(SuperMarket_Analysis[[#This Row],[Date]])</f>
        <v>16</v>
      </c>
      <c r="S380" s="6" t="str">
        <f>TEXT(SuperMarket_Analysis[[#This Row],[Date]],"mmmm")</f>
        <v>January</v>
      </c>
      <c r="T380" s="6">
        <f>YEAR(SuperMarket_Analysis[[#This Row],[Date]])</f>
        <v>2019</v>
      </c>
    </row>
    <row r="381" spans="1:20" x14ac:dyDescent="0.3">
      <c r="A381" t="s">
        <v>412</v>
      </c>
      <c r="B381" t="s">
        <v>38</v>
      </c>
      <c r="C381" t="s">
        <v>39</v>
      </c>
      <c r="D381" t="s">
        <v>24</v>
      </c>
      <c r="E381" t="s">
        <v>18</v>
      </c>
      <c r="F381" t="s">
        <v>25</v>
      </c>
      <c r="G381" s="3">
        <v>23.65</v>
      </c>
      <c r="H381" s="6">
        <v>4</v>
      </c>
      <c r="I381" s="3">
        <v>4.7300000000000004</v>
      </c>
      <c r="J381" s="3">
        <v>99.33</v>
      </c>
      <c r="K381" s="2">
        <v>43548</v>
      </c>
      <c r="L381" s="1">
        <v>0.56388888888888888</v>
      </c>
      <c r="M381" t="s">
        <v>29</v>
      </c>
      <c r="N381" s="3">
        <v>94.6</v>
      </c>
      <c r="O381" s="4">
        <v>4.7619047620000003</v>
      </c>
      <c r="P381" s="5">
        <v>4.7300000000000004</v>
      </c>
      <c r="Q381">
        <v>4</v>
      </c>
      <c r="R381" s="6">
        <f>DAY(SuperMarket_Analysis[[#This Row],[Date]])</f>
        <v>24</v>
      </c>
      <c r="S381" s="6" t="str">
        <f>TEXT(SuperMarket_Analysis[[#This Row],[Date]],"mmmm")</f>
        <v>March</v>
      </c>
      <c r="T381" s="6">
        <f>YEAR(SuperMarket_Analysis[[#This Row],[Date]])</f>
        <v>2019</v>
      </c>
    </row>
    <row r="382" spans="1:20" x14ac:dyDescent="0.3">
      <c r="A382" t="s">
        <v>413</v>
      </c>
      <c r="B382" t="s">
        <v>15</v>
      </c>
      <c r="C382" t="s">
        <v>16</v>
      </c>
      <c r="D382" t="s">
        <v>17</v>
      </c>
      <c r="E382" t="s">
        <v>174</v>
      </c>
      <c r="F382" t="s">
        <v>32</v>
      </c>
      <c r="G382" s="3">
        <v>82.33</v>
      </c>
      <c r="H382" s="6">
        <v>4</v>
      </c>
      <c r="I382" s="3">
        <v>16.466000000000001</v>
      </c>
      <c r="J382" s="3">
        <v>345.786</v>
      </c>
      <c r="K382" s="2">
        <v>43517</v>
      </c>
      <c r="L382" s="1">
        <v>0.44236111111111109</v>
      </c>
      <c r="M382" t="s">
        <v>29</v>
      </c>
      <c r="N382" s="3">
        <v>329.32</v>
      </c>
      <c r="O382" s="4">
        <v>4.7619047620000003</v>
      </c>
      <c r="P382" s="5">
        <v>16.466000000000001</v>
      </c>
      <c r="Q382">
        <v>7.5</v>
      </c>
      <c r="R382" s="6">
        <f>DAY(SuperMarket_Analysis[[#This Row],[Date]])</f>
        <v>21</v>
      </c>
      <c r="S382" s="6" t="str">
        <f>TEXT(SuperMarket_Analysis[[#This Row],[Date]],"mmmm")</f>
        <v>February</v>
      </c>
      <c r="T382" s="6">
        <f>YEAR(SuperMarket_Analysis[[#This Row],[Date]])</f>
        <v>2019</v>
      </c>
    </row>
    <row r="383" spans="1:20" x14ac:dyDescent="0.3">
      <c r="A383" t="s">
        <v>414</v>
      </c>
      <c r="B383" t="s">
        <v>22</v>
      </c>
      <c r="C383" t="s">
        <v>23</v>
      </c>
      <c r="D383" t="s">
        <v>24</v>
      </c>
      <c r="E383" t="s">
        <v>18</v>
      </c>
      <c r="F383" t="s">
        <v>25</v>
      </c>
      <c r="G383" s="3">
        <v>26.61</v>
      </c>
      <c r="H383" s="6">
        <v>2</v>
      </c>
      <c r="I383" s="3">
        <v>2.661</v>
      </c>
      <c r="J383" s="3">
        <v>55.881</v>
      </c>
      <c r="K383" s="2">
        <v>43516</v>
      </c>
      <c r="L383" s="1">
        <v>0.60763888888888884</v>
      </c>
      <c r="M383" t="s">
        <v>26</v>
      </c>
      <c r="N383" s="3">
        <v>53.22</v>
      </c>
      <c r="O383" s="4">
        <v>4.7619047620000003</v>
      </c>
      <c r="P383" s="5">
        <v>2.661</v>
      </c>
      <c r="Q383">
        <v>4.2</v>
      </c>
      <c r="R383" s="6">
        <f>DAY(SuperMarket_Analysis[[#This Row],[Date]])</f>
        <v>20</v>
      </c>
      <c r="S383" s="6" t="str">
        <f>TEXT(SuperMarket_Analysis[[#This Row],[Date]],"mmmm")</f>
        <v>February</v>
      </c>
      <c r="T383" s="6">
        <f>YEAR(SuperMarket_Analysis[[#This Row],[Date]])</f>
        <v>2019</v>
      </c>
    </row>
    <row r="384" spans="1:20" x14ac:dyDescent="0.3">
      <c r="A384" t="s">
        <v>415</v>
      </c>
      <c r="B384" t="s">
        <v>38</v>
      </c>
      <c r="C384" t="s">
        <v>39</v>
      </c>
      <c r="D384" t="s">
        <v>24</v>
      </c>
      <c r="E384" t="s">
        <v>18</v>
      </c>
      <c r="F384" t="s">
        <v>40</v>
      </c>
      <c r="G384" s="3">
        <v>99.69</v>
      </c>
      <c r="H384" s="6">
        <v>5</v>
      </c>
      <c r="I384" s="3">
        <v>24.922499999999999</v>
      </c>
      <c r="J384" s="3">
        <v>523.37249999999995</v>
      </c>
      <c r="K384" s="2">
        <v>43519</v>
      </c>
      <c r="L384" s="1">
        <v>0.50624999999999998</v>
      </c>
      <c r="M384" t="s">
        <v>26</v>
      </c>
      <c r="N384" s="3">
        <v>498.45</v>
      </c>
      <c r="O384" s="4">
        <v>4.7619047620000003</v>
      </c>
      <c r="P384" s="5">
        <v>24.922499999999999</v>
      </c>
      <c r="Q384">
        <v>9.9</v>
      </c>
      <c r="R384" s="6">
        <f>DAY(SuperMarket_Analysis[[#This Row],[Date]])</f>
        <v>23</v>
      </c>
      <c r="S384" s="6" t="str">
        <f>TEXT(SuperMarket_Analysis[[#This Row],[Date]],"mmmm")</f>
        <v>February</v>
      </c>
      <c r="T384" s="6">
        <f>YEAR(SuperMarket_Analysis[[#This Row],[Date]])</f>
        <v>2019</v>
      </c>
    </row>
    <row r="385" spans="1:20" x14ac:dyDescent="0.3">
      <c r="A385" t="s">
        <v>416</v>
      </c>
      <c r="B385" t="s">
        <v>22</v>
      </c>
      <c r="C385" t="s">
        <v>23</v>
      </c>
      <c r="D385" t="s">
        <v>17</v>
      </c>
      <c r="E385" t="s">
        <v>18</v>
      </c>
      <c r="F385" t="s">
        <v>40</v>
      </c>
      <c r="G385" s="3">
        <v>74.89</v>
      </c>
      <c r="H385" s="6">
        <v>4</v>
      </c>
      <c r="I385" s="3">
        <v>14.978</v>
      </c>
      <c r="J385" s="3">
        <v>314.53800000000001</v>
      </c>
      <c r="K385" s="2">
        <v>43512</v>
      </c>
      <c r="L385" s="1">
        <v>0.64722222222222225</v>
      </c>
      <c r="M385" t="s">
        <v>20</v>
      </c>
      <c r="N385" s="3">
        <v>299.56</v>
      </c>
      <c r="O385" s="4">
        <v>4.7619047620000003</v>
      </c>
      <c r="P385" s="5">
        <v>14.978</v>
      </c>
      <c r="Q385">
        <v>4.2</v>
      </c>
      <c r="R385" s="6">
        <f>DAY(SuperMarket_Analysis[[#This Row],[Date]])</f>
        <v>16</v>
      </c>
      <c r="S385" s="6" t="str">
        <f>TEXT(SuperMarket_Analysis[[#This Row],[Date]],"mmmm")</f>
        <v>February</v>
      </c>
      <c r="T385" s="6">
        <f>YEAR(SuperMarket_Analysis[[#This Row],[Date]])</f>
        <v>2019</v>
      </c>
    </row>
    <row r="386" spans="1:20" x14ac:dyDescent="0.3">
      <c r="A386" t="s">
        <v>417</v>
      </c>
      <c r="B386" t="s">
        <v>15</v>
      </c>
      <c r="C386" t="s">
        <v>16</v>
      </c>
      <c r="D386" t="s">
        <v>24</v>
      </c>
      <c r="E386" t="s">
        <v>18</v>
      </c>
      <c r="F386" t="s">
        <v>40</v>
      </c>
      <c r="G386" s="3">
        <v>40.94</v>
      </c>
      <c r="H386" s="6">
        <v>5</v>
      </c>
      <c r="I386" s="3">
        <v>10.234999999999999</v>
      </c>
      <c r="J386" s="3">
        <v>214.935</v>
      </c>
      <c r="K386" s="2">
        <v>43482</v>
      </c>
      <c r="L386" s="1">
        <v>0.58194444444444449</v>
      </c>
      <c r="M386" t="s">
        <v>20</v>
      </c>
      <c r="N386" s="3">
        <v>204.7</v>
      </c>
      <c r="O386" s="4">
        <v>4.7619047620000003</v>
      </c>
      <c r="P386" s="5">
        <v>10.234999999999999</v>
      </c>
      <c r="Q386">
        <v>9.9</v>
      </c>
      <c r="R386" s="6">
        <f>DAY(SuperMarket_Analysis[[#This Row],[Date]])</f>
        <v>17</v>
      </c>
      <c r="S386" s="6" t="str">
        <f>TEXT(SuperMarket_Analysis[[#This Row],[Date]],"mmmm")</f>
        <v>January</v>
      </c>
      <c r="T386" s="6">
        <f>YEAR(SuperMarket_Analysis[[#This Row],[Date]])</f>
        <v>2019</v>
      </c>
    </row>
    <row r="387" spans="1:20" x14ac:dyDescent="0.3">
      <c r="A387" t="s">
        <v>418</v>
      </c>
      <c r="B387" t="s">
        <v>38</v>
      </c>
      <c r="C387" t="s">
        <v>39</v>
      </c>
      <c r="D387" t="s">
        <v>17</v>
      </c>
      <c r="E387" t="s">
        <v>174</v>
      </c>
      <c r="F387" t="s">
        <v>32</v>
      </c>
      <c r="G387" s="3">
        <v>75.819999999999993</v>
      </c>
      <c r="H387" s="6">
        <v>1</v>
      </c>
      <c r="I387" s="3">
        <v>3.7909999999999999</v>
      </c>
      <c r="J387" s="3">
        <v>79.611000000000004</v>
      </c>
      <c r="K387" s="2">
        <v>43479</v>
      </c>
      <c r="L387" s="1">
        <v>0.55486111111111114</v>
      </c>
      <c r="M387" t="s">
        <v>26</v>
      </c>
      <c r="N387" s="3">
        <v>75.819999999999993</v>
      </c>
      <c r="O387" s="4">
        <v>4.7619047620000003</v>
      </c>
      <c r="P387" s="5">
        <v>3.7909999999999999</v>
      </c>
      <c r="Q387">
        <v>5.8</v>
      </c>
      <c r="R387" s="6">
        <f>DAY(SuperMarket_Analysis[[#This Row],[Date]])</f>
        <v>14</v>
      </c>
      <c r="S387" s="6" t="str">
        <f>TEXT(SuperMarket_Analysis[[#This Row],[Date]],"mmmm")</f>
        <v>January</v>
      </c>
      <c r="T387" s="6">
        <f>YEAR(SuperMarket_Analysis[[#This Row],[Date]])</f>
        <v>2019</v>
      </c>
    </row>
    <row r="388" spans="1:20" x14ac:dyDescent="0.3">
      <c r="A388" t="s">
        <v>419</v>
      </c>
      <c r="B388" t="s">
        <v>22</v>
      </c>
      <c r="C388" t="s">
        <v>23</v>
      </c>
      <c r="D388" t="s">
        <v>24</v>
      </c>
      <c r="E388" t="s">
        <v>174</v>
      </c>
      <c r="F388" t="s">
        <v>40</v>
      </c>
      <c r="G388" s="3">
        <v>46.77</v>
      </c>
      <c r="H388" s="6">
        <v>6</v>
      </c>
      <c r="I388" s="3">
        <v>14.031000000000001</v>
      </c>
      <c r="J388" s="3">
        <v>294.65100000000001</v>
      </c>
      <c r="K388" s="2">
        <v>43554</v>
      </c>
      <c r="L388" s="1">
        <v>0.56736111111111109</v>
      </c>
      <c r="M388" t="s">
        <v>26</v>
      </c>
      <c r="N388" s="3">
        <v>280.62</v>
      </c>
      <c r="O388" s="4">
        <v>4.7619047620000003</v>
      </c>
      <c r="P388" s="5">
        <v>14.031000000000001</v>
      </c>
      <c r="Q388">
        <v>6</v>
      </c>
      <c r="R388" s="6">
        <f>DAY(SuperMarket_Analysis[[#This Row],[Date]])</f>
        <v>30</v>
      </c>
      <c r="S388" s="6" t="str">
        <f>TEXT(SuperMarket_Analysis[[#This Row],[Date]],"mmmm")</f>
        <v>March</v>
      </c>
      <c r="T388" s="6">
        <f>YEAR(SuperMarket_Analysis[[#This Row],[Date]])</f>
        <v>2019</v>
      </c>
    </row>
    <row r="389" spans="1:20" x14ac:dyDescent="0.3">
      <c r="A389" t="s">
        <v>420</v>
      </c>
      <c r="B389" t="s">
        <v>15</v>
      </c>
      <c r="C389" t="s">
        <v>16</v>
      </c>
      <c r="D389" t="s">
        <v>24</v>
      </c>
      <c r="E389" t="s">
        <v>18</v>
      </c>
      <c r="F389" t="s">
        <v>19</v>
      </c>
      <c r="G389" s="3">
        <v>32.32</v>
      </c>
      <c r="H389" s="6">
        <v>10</v>
      </c>
      <c r="I389" s="3">
        <v>16.16</v>
      </c>
      <c r="J389" s="3">
        <v>339.36</v>
      </c>
      <c r="K389" s="2">
        <v>43511</v>
      </c>
      <c r="L389" s="1">
        <v>0.7006944444444444</v>
      </c>
      <c r="M389" t="s">
        <v>29</v>
      </c>
      <c r="N389" s="3">
        <v>323.2</v>
      </c>
      <c r="O389" s="4">
        <v>4.7619047620000003</v>
      </c>
      <c r="P389" s="5">
        <v>16.16</v>
      </c>
      <c r="Q389">
        <v>10</v>
      </c>
      <c r="R389" s="6">
        <f>DAY(SuperMarket_Analysis[[#This Row],[Date]])</f>
        <v>15</v>
      </c>
      <c r="S389" s="6" t="str">
        <f>TEXT(SuperMarket_Analysis[[#This Row],[Date]],"mmmm")</f>
        <v>February</v>
      </c>
      <c r="T389" s="6">
        <f>YEAR(SuperMarket_Analysis[[#This Row],[Date]])</f>
        <v>2019</v>
      </c>
    </row>
    <row r="390" spans="1:20" x14ac:dyDescent="0.3">
      <c r="A390" t="s">
        <v>421</v>
      </c>
      <c r="B390" t="s">
        <v>22</v>
      </c>
      <c r="C390" t="s">
        <v>23</v>
      </c>
      <c r="D390" t="s">
        <v>17</v>
      </c>
      <c r="E390" t="s">
        <v>18</v>
      </c>
      <c r="F390" t="s">
        <v>42</v>
      </c>
      <c r="G390" s="3">
        <v>54.07</v>
      </c>
      <c r="H390" s="6">
        <v>9</v>
      </c>
      <c r="I390" s="3">
        <v>24.331499999999998</v>
      </c>
      <c r="J390" s="3">
        <v>510.9615</v>
      </c>
      <c r="K390" s="2">
        <v>43520</v>
      </c>
      <c r="L390" s="1">
        <v>0.62152777777777779</v>
      </c>
      <c r="M390" t="s">
        <v>20</v>
      </c>
      <c r="N390" s="3">
        <v>486.63</v>
      </c>
      <c r="O390" s="4">
        <v>4.7619047620000003</v>
      </c>
      <c r="P390" s="5">
        <v>24.331499999999998</v>
      </c>
      <c r="Q390">
        <v>9.5</v>
      </c>
      <c r="R390" s="6">
        <f>DAY(SuperMarket_Analysis[[#This Row],[Date]])</f>
        <v>24</v>
      </c>
      <c r="S390" s="6" t="str">
        <f>TEXT(SuperMarket_Analysis[[#This Row],[Date]],"mmmm")</f>
        <v>February</v>
      </c>
      <c r="T390" s="6">
        <f>YEAR(SuperMarket_Analysis[[#This Row],[Date]])</f>
        <v>2019</v>
      </c>
    </row>
    <row r="391" spans="1:20" x14ac:dyDescent="0.3">
      <c r="A391" t="s">
        <v>422</v>
      </c>
      <c r="B391" t="s">
        <v>38</v>
      </c>
      <c r="C391" t="s">
        <v>39</v>
      </c>
      <c r="D391" t="s">
        <v>24</v>
      </c>
      <c r="E391" t="s">
        <v>174</v>
      </c>
      <c r="F391" t="s">
        <v>40</v>
      </c>
      <c r="G391" s="3">
        <v>18.22</v>
      </c>
      <c r="H391" s="6">
        <v>7</v>
      </c>
      <c r="I391" s="3">
        <v>6.3769999999999998</v>
      </c>
      <c r="J391" s="3">
        <v>133.917</v>
      </c>
      <c r="K391" s="2">
        <v>43515</v>
      </c>
      <c r="L391" s="1">
        <v>0.58611111111111114</v>
      </c>
      <c r="M391" t="s">
        <v>29</v>
      </c>
      <c r="N391" s="3">
        <v>127.54</v>
      </c>
      <c r="O391" s="4">
        <v>4.7619047620000003</v>
      </c>
      <c r="P391" s="5">
        <v>6.3769999999999998</v>
      </c>
      <c r="Q391">
        <v>6.6</v>
      </c>
      <c r="R391" s="6">
        <f>DAY(SuperMarket_Analysis[[#This Row],[Date]])</f>
        <v>19</v>
      </c>
      <c r="S391" s="6" t="str">
        <f>TEXT(SuperMarket_Analysis[[#This Row],[Date]],"mmmm")</f>
        <v>February</v>
      </c>
      <c r="T391" s="6">
        <f>YEAR(SuperMarket_Analysis[[#This Row],[Date]])</f>
        <v>2019</v>
      </c>
    </row>
    <row r="392" spans="1:20" x14ac:dyDescent="0.3">
      <c r="A392" t="s">
        <v>423</v>
      </c>
      <c r="B392" t="s">
        <v>22</v>
      </c>
      <c r="C392" t="s">
        <v>23</v>
      </c>
      <c r="D392" t="s">
        <v>17</v>
      </c>
      <c r="E392" t="s">
        <v>18</v>
      </c>
      <c r="F392" t="s">
        <v>42</v>
      </c>
      <c r="G392" s="3">
        <v>80.48</v>
      </c>
      <c r="H392" s="6">
        <v>3</v>
      </c>
      <c r="I392" s="3">
        <v>12.071999999999999</v>
      </c>
      <c r="J392" s="3">
        <v>253.512</v>
      </c>
      <c r="K392" s="2">
        <v>43519</v>
      </c>
      <c r="L392" s="1">
        <v>0.52152777777777781</v>
      </c>
      <c r="M392" t="s">
        <v>26</v>
      </c>
      <c r="N392" s="3">
        <v>241.44</v>
      </c>
      <c r="O392" s="4">
        <v>4.7619047620000003</v>
      </c>
      <c r="P392" s="5">
        <v>12.071999999999999</v>
      </c>
      <c r="Q392">
        <v>8.1</v>
      </c>
      <c r="R392" s="6">
        <f>DAY(SuperMarket_Analysis[[#This Row],[Date]])</f>
        <v>23</v>
      </c>
      <c r="S392" s="6" t="str">
        <f>TEXT(SuperMarket_Analysis[[#This Row],[Date]],"mmmm")</f>
        <v>February</v>
      </c>
      <c r="T392" s="6">
        <f>YEAR(SuperMarket_Analysis[[#This Row],[Date]])</f>
        <v>2019</v>
      </c>
    </row>
    <row r="393" spans="1:20" x14ac:dyDescent="0.3">
      <c r="A393" t="s">
        <v>424</v>
      </c>
      <c r="B393" t="s">
        <v>38</v>
      </c>
      <c r="C393" t="s">
        <v>39</v>
      </c>
      <c r="D393" t="s">
        <v>24</v>
      </c>
      <c r="E393" t="s">
        <v>18</v>
      </c>
      <c r="F393" t="s">
        <v>42</v>
      </c>
      <c r="G393" s="3">
        <v>37.950000000000003</v>
      </c>
      <c r="H393" s="6">
        <v>10</v>
      </c>
      <c r="I393" s="3">
        <v>18.975000000000001</v>
      </c>
      <c r="J393" s="3">
        <v>398.47500000000002</v>
      </c>
      <c r="K393" s="2">
        <v>43479</v>
      </c>
      <c r="L393" s="1">
        <v>0.61875000000000002</v>
      </c>
      <c r="M393" t="s">
        <v>26</v>
      </c>
      <c r="N393" s="3">
        <v>379.5</v>
      </c>
      <c r="O393" s="4">
        <v>4.7619047620000003</v>
      </c>
      <c r="P393" s="5">
        <v>18.975000000000001</v>
      </c>
      <c r="Q393">
        <v>9.6999999999999993</v>
      </c>
      <c r="R393" s="6">
        <f>DAY(SuperMarket_Analysis[[#This Row],[Date]])</f>
        <v>14</v>
      </c>
      <c r="S393" s="6" t="str">
        <f>TEXT(SuperMarket_Analysis[[#This Row],[Date]],"mmmm")</f>
        <v>January</v>
      </c>
      <c r="T393" s="6">
        <f>YEAR(SuperMarket_Analysis[[#This Row],[Date]])</f>
        <v>2019</v>
      </c>
    </row>
    <row r="394" spans="1:20" x14ac:dyDescent="0.3">
      <c r="A394" t="s">
        <v>425</v>
      </c>
      <c r="B394" t="s">
        <v>15</v>
      </c>
      <c r="C394" t="s">
        <v>16</v>
      </c>
      <c r="D394" t="s">
        <v>17</v>
      </c>
      <c r="E394" t="s">
        <v>174</v>
      </c>
      <c r="F394" t="s">
        <v>25</v>
      </c>
      <c r="G394" s="3">
        <v>76.819999999999993</v>
      </c>
      <c r="H394" s="6">
        <v>1</v>
      </c>
      <c r="I394" s="3">
        <v>3.8410000000000002</v>
      </c>
      <c r="J394" s="3">
        <v>80.661000000000001</v>
      </c>
      <c r="K394" s="2">
        <v>43523</v>
      </c>
      <c r="L394" s="1">
        <v>0.76875000000000004</v>
      </c>
      <c r="M394" t="s">
        <v>20</v>
      </c>
      <c r="N394" s="3">
        <v>76.819999999999993</v>
      </c>
      <c r="O394" s="4">
        <v>4.7619047620000003</v>
      </c>
      <c r="P394" s="5">
        <v>3.8410000000000002</v>
      </c>
      <c r="Q394">
        <v>7.2</v>
      </c>
      <c r="R394" s="6">
        <f>DAY(SuperMarket_Analysis[[#This Row],[Date]])</f>
        <v>27</v>
      </c>
      <c r="S394" s="6" t="str">
        <f>TEXT(SuperMarket_Analysis[[#This Row],[Date]],"mmmm")</f>
        <v>February</v>
      </c>
      <c r="T394" s="6">
        <f>YEAR(SuperMarket_Analysis[[#This Row],[Date]])</f>
        <v>2019</v>
      </c>
    </row>
    <row r="395" spans="1:20" x14ac:dyDescent="0.3">
      <c r="A395" t="s">
        <v>426</v>
      </c>
      <c r="B395" t="s">
        <v>15</v>
      </c>
      <c r="C395" t="s">
        <v>16</v>
      </c>
      <c r="D395" t="s">
        <v>17</v>
      </c>
      <c r="E395" t="s">
        <v>18</v>
      </c>
      <c r="F395" t="s">
        <v>32</v>
      </c>
      <c r="G395" s="3">
        <v>52.26</v>
      </c>
      <c r="H395" s="6">
        <v>10</v>
      </c>
      <c r="I395" s="3">
        <v>26.13</v>
      </c>
      <c r="J395" s="3">
        <v>548.73</v>
      </c>
      <c r="K395" s="2">
        <v>43489</v>
      </c>
      <c r="L395" s="1">
        <v>0.53125</v>
      </c>
      <c r="M395" t="s">
        <v>29</v>
      </c>
      <c r="N395" s="3">
        <v>522.6</v>
      </c>
      <c r="O395" s="4">
        <v>4.7619047620000003</v>
      </c>
      <c r="P395" s="5">
        <v>26.13</v>
      </c>
      <c r="Q395">
        <v>6.2</v>
      </c>
      <c r="R395" s="6">
        <f>DAY(SuperMarket_Analysis[[#This Row],[Date]])</f>
        <v>24</v>
      </c>
      <c r="S395" s="6" t="str">
        <f>TEXT(SuperMarket_Analysis[[#This Row],[Date]],"mmmm")</f>
        <v>January</v>
      </c>
      <c r="T395" s="6">
        <f>YEAR(SuperMarket_Analysis[[#This Row],[Date]])</f>
        <v>2019</v>
      </c>
    </row>
    <row r="396" spans="1:20" x14ac:dyDescent="0.3">
      <c r="A396" t="s">
        <v>427</v>
      </c>
      <c r="B396" t="s">
        <v>15</v>
      </c>
      <c r="C396" t="s">
        <v>16</v>
      </c>
      <c r="D396" t="s">
        <v>24</v>
      </c>
      <c r="E396" t="s">
        <v>18</v>
      </c>
      <c r="F396" t="s">
        <v>19</v>
      </c>
      <c r="G396" s="3">
        <v>79.739999999999995</v>
      </c>
      <c r="H396" s="6">
        <v>1</v>
      </c>
      <c r="I396" s="3">
        <v>3.9870000000000001</v>
      </c>
      <c r="J396" s="3">
        <v>83.727000000000004</v>
      </c>
      <c r="K396" s="2">
        <v>43481</v>
      </c>
      <c r="L396" s="1">
        <v>0.44166666666666665</v>
      </c>
      <c r="M396" t="s">
        <v>20</v>
      </c>
      <c r="N396" s="3">
        <v>79.739999999999995</v>
      </c>
      <c r="O396" s="4">
        <v>4.7619047620000003</v>
      </c>
      <c r="P396" s="5">
        <v>3.9870000000000001</v>
      </c>
      <c r="Q396">
        <v>7.3</v>
      </c>
      <c r="R396" s="6">
        <f>DAY(SuperMarket_Analysis[[#This Row],[Date]])</f>
        <v>16</v>
      </c>
      <c r="S396" s="6" t="str">
        <f>TEXT(SuperMarket_Analysis[[#This Row],[Date]],"mmmm")</f>
        <v>January</v>
      </c>
      <c r="T396" s="6">
        <f>YEAR(SuperMarket_Analysis[[#This Row],[Date]])</f>
        <v>2019</v>
      </c>
    </row>
    <row r="397" spans="1:20" x14ac:dyDescent="0.3">
      <c r="A397" t="s">
        <v>428</v>
      </c>
      <c r="B397" t="s">
        <v>15</v>
      </c>
      <c r="C397" t="s">
        <v>16</v>
      </c>
      <c r="D397" t="s">
        <v>24</v>
      </c>
      <c r="E397" t="s">
        <v>18</v>
      </c>
      <c r="F397" t="s">
        <v>19</v>
      </c>
      <c r="G397" s="3">
        <v>77.5</v>
      </c>
      <c r="H397" s="6">
        <v>5</v>
      </c>
      <c r="I397" s="3">
        <v>19.375</v>
      </c>
      <c r="J397" s="3">
        <v>406.875</v>
      </c>
      <c r="K397" s="2">
        <v>43537</v>
      </c>
      <c r="L397" s="1">
        <v>0.85833333333333328</v>
      </c>
      <c r="M397" t="s">
        <v>20</v>
      </c>
      <c r="N397" s="3">
        <v>387.5</v>
      </c>
      <c r="O397" s="4">
        <v>4.7619047620000003</v>
      </c>
      <c r="P397" s="5">
        <v>19.375</v>
      </c>
      <c r="Q397">
        <v>4.3</v>
      </c>
      <c r="R397" s="6">
        <f>DAY(SuperMarket_Analysis[[#This Row],[Date]])</f>
        <v>13</v>
      </c>
      <c r="S397" s="6" t="str">
        <f>TEXT(SuperMarket_Analysis[[#This Row],[Date]],"mmmm")</f>
        <v>March</v>
      </c>
      <c r="T397" s="6">
        <f>YEAR(SuperMarket_Analysis[[#This Row],[Date]])</f>
        <v>2019</v>
      </c>
    </row>
    <row r="398" spans="1:20" x14ac:dyDescent="0.3">
      <c r="A398" t="s">
        <v>429</v>
      </c>
      <c r="B398" t="s">
        <v>15</v>
      </c>
      <c r="C398" t="s">
        <v>16</v>
      </c>
      <c r="D398" t="s">
        <v>24</v>
      </c>
      <c r="E398" t="s">
        <v>18</v>
      </c>
      <c r="F398" t="s">
        <v>40</v>
      </c>
      <c r="G398" s="3">
        <v>54.27</v>
      </c>
      <c r="H398" s="6">
        <v>5</v>
      </c>
      <c r="I398" s="3">
        <v>13.567500000000001</v>
      </c>
      <c r="J398" s="3">
        <v>284.91750000000002</v>
      </c>
      <c r="K398" s="2">
        <v>43511</v>
      </c>
      <c r="L398" s="1">
        <v>0.59444444444444444</v>
      </c>
      <c r="M398" t="s">
        <v>20</v>
      </c>
      <c r="N398" s="3">
        <v>271.35000000000002</v>
      </c>
      <c r="O398" s="4">
        <v>4.7619047620000003</v>
      </c>
      <c r="P398" s="5">
        <v>13.567500000000001</v>
      </c>
      <c r="Q398">
        <v>4.5999999999999996</v>
      </c>
      <c r="R398" s="6">
        <f>DAY(SuperMarket_Analysis[[#This Row],[Date]])</f>
        <v>15</v>
      </c>
      <c r="S398" s="6" t="str">
        <f>TEXT(SuperMarket_Analysis[[#This Row],[Date]],"mmmm")</f>
        <v>February</v>
      </c>
      <c r="T398" s="6">
        <f>YEAR(SuperMarket_Analysis[[#This Row],[Date]])</f>
        <v>2019</v>
      </c>
    </row>
    <row r="399" spans="1:20" x14ac:dyDescent="0.3">
      <c r="A399" t="s">
        <v>430</v>
      </c>
      <c r="B399" t="s">
        <v>38</v>
      </c>
      <c r="C399" t="s">
        <v>39</v>
      </c>
      <c r="D399" t="s">
        <v>24</v>
      </c>
      <c r="E399" t="s">
        <v>174</v>
      </c>
      <c r="F399" t="s">
        <v>28</v>
      </c>
      <c r="G399" s="3">
        <v>13.59</v>
      </c>
      <c r="H399" s="6">
        <v>9</v>
      </c>
      <c r="I399" s="3">
        <v>6.1154999999999999</v>
      </c>
      <c r="J399" s="3">
        <v>128.4255</v>
      </c>
      <c r="K399" s="2">
        <v>43490</v>
      </c>
      <c r="L399" s="1">
        <v>0.43472222222222223</v>
      </c>
      <c r="M399" t="s">
        <v>26</v>
      </c>
      <c r="N399" s="3">
        <v>122.31</v>
      </c>
      <c r="O399" s="4">
        <v>4.7619047620000003</v>
      </c>
      <c r="P399" s="5">
        <v>6.1154999999999999</v>
      </c>
      <c r="Q399">
        <v>5.8</v>
      </c>
      <c r="R399" s="6">
        <f>DAY(SuperMarket_Analysis[[#This Row],[Date]])</f>
        <v>25</v>
      </c>
      <c r="S399" s="6" t="str">
        <f>TEXT(SuperMarket_Analysis[[#This Row],[Date]],"mmmm")</f>
        <v>January</v>
      </c>
      <c r="T399" s="6">
        <f>YEAR(SuperMarket_Analysis[[#This Row],[Date]])</f>
        <v>2019</v>
      </c>
    </row>
    <row r="400" spans="1:20" x14ac:dyDescent="0.3">
      <c r="A400" t="s">
        <v>431</v>
      </c>
      <c r="B400" t="s">
        <v>38</v>
      </c>
      <c r="C400" t="s">
        <v>39</v>
      </c>
      <c r="D400" t="s">
        <v>17</v>
      </c>
      <c r="E400" t="s">
        <v>18</v>
      </c>
      <c r="F400" t="s">
        <v>19</v>
      </c>
      <c r="G400" s="3">
        <v>41.06</v>
      </c>
      <c r="H400" s="6">
        <v>6</v>
      </c>
      <c r="I400" s="3">
        <v>12.318</v>
      </c>
      <c r="J400" s="3">
        <v>258.678</v>
      </c>
      <c r="K400" s="2">
        <v>43481</v>
      </c>
      <c r="L400" s="1">
        <v>0.5625</v>
      </c>
      <c r="M400" t="s">
        <v>29</v>
      </c>
      <c r="N400" s="3">
        <v>246.36</v>
      </c>
      <c r="O400" s="4">
        <v>4.7619047620000003</v>
      </c>
      <c r="P400" s="5">
        <v>12.318</v>
      </c>
      <c r="Q400">
        <v>8.3000000000000007</v>
      </c>
      <c r="R400" s="6">
        <f>DAY(SuperMarket_Analysis[[#This Row],[Date]])</f>
        <v>16</v>
      </c>
      <c r="S400" s="6" t="str">
        <f>TEXT(SuperMarket_Analysis[[#This Row],[Date]],"mmmm")</f>
        <v>January</v>
      </c>
      <c r="T400" s="6">
        <f>YEAR(SuperMarket_Analysis[[#This Row],[Date]])</f>
        <v>2019</v>
      </c>
    </row>
    <row r="401" spans="1:20" x14ac:dyDescent="0.3">
      <c r="A401" t="s">
        <v>432</v>
      </c>
      <c r="B401" t="s">
        <v>38</v>
      </c>
      <c r="C401" t="s">
        <v>39</v>
      </c>
      <c r="D401" t="s">
        <v>17</v>
      </c>
      <c r="E401" t="s">
        <v>174</v>
      </c>
      <c r="F401" t="s">
        <v>25</v>
      </c>
      <c r="G401" s="3">
        <v>19.239999999999998</v>
      </c>
      <c r="H401" s="6">
        <v>9</v>
      </c>
      <c r="I401" s="3">
        <v>8.6579999999999995</v>
      </c>
      <c r="J401" s="3">
        <v>181.81800000000001</v>
      </c>
      <c r="K401" s="2">
        <v>43494</v>
      </c>
      <c r="L401" s="1">
        <v>0.68611111111111112</v>
      </c>
      <c r="M401" t="s">
        <v>26</v>
      </c>
      <c r="N401" s="3">
        <v>173.16</v>
      </c>
      <c r="O401" s="4">
        <v>4.7619047620000003</v>
      </c>
      <c r="P401" s="5">
        <v>8.6579999999999995</v>
      </c>
      <c r="Q401">
        <v>8</v>
      </c>
      <c r="R401" s="6">
        <f>DAY(SuperMarket_Analysis[[#This Row],[Date]])</f>
        <v>29</v>
      </c>
      <c r="S401" s="6" t="str">
        <f>TEXT(SuperMarket_Analysis[[#This Row],[Date]],"mmmm")</f>
        <v>January</v>
      </c>
      <c r="T401" s="6">
        <f>YEAR(SuperMarket_Analysis[[#This Row],[Date]])</f>
        <v>2019</v>
      </c>
    </row>
    <row r="402" spans="1:20" x14ac:dyDescent="0.3">
      <c r="A402" t="s">
        <v>433</v>
      </c>
      <c r="B402" t="s">
        <v>22</v>
      </c>
      <c r="C402" t="s">
        <v>23</v>
      </c>
      <c r="D402" t="s">
        <v>24</v>
      </c>
      <c r="E402" t="s">
        <v>18</v>
      </c>
      <c r="F402" t="s">
        <v>40</v>
      </c>
      <c r="G402" s="3">
        <v>39.43</v>
      </c>
      <c r="H402" s="6">
        <v>6</v>
      </c>
      <c r="I402" s="3">
        <v>11.829000000000001</v>
      </c>
      <c r="J402" s="3">
        <v>248.40899999999999</v>
      </c>
      <c r="K402" s="2">
        <v>43515</v>
      </c>
      <c r="L402" s="1">
        <v>0.84583333333333333</v>
      </c>
      <c r="M402" t="s">
        <v>29</v>
      </c>
      <c r="N402" s="3">
        <v>236.58</v>
      </c>
      <c r="O402" s="4">
        <v>4.7619047620000003</v>
      </c>
      <c r="P402" s="5">
        <v>11.829000000000001</v>
      </c>
      <c r="Q402">
        <v>9.4</v>
      </c>
      <c r="R402" s="6">
        <f>DAY(SuperMarket_Analysis[[#This Row],[Date]])</f>
        <v>19</v>
      </c>
      <c r="S402" s="6" t="str">
        <f>TEXT(SuperMarket_Analysis[[#This Row],[Date]],"mmmm")</f>
        <v>February</v>
      </c>
      <c r="T402" s="6">
        <f>YEAR(SuperMarket_Analysis[[#This Row],[Date]])</f>
        <v>2019</v>
      </c>
    </row>
    <row r="403" spans="1:20" x14ac:dyDescent="0.3">
      <c r="A403" t="s">
        <v>434</v>
      </c>
      <c r="B403" t="s">
        <v>22</v>
      </c>
      <c r="C403" t="s">
        <v>23</v>
      </c>
      <c r="D403" t="s">
        <v>24</v>
      </c>
      <c r="E403" t="s">
        <v>174</v>
      </c>
      <c r="F403" t="s">
        <v>28</v>
      </c>
      <c r="G403" s="3">
        <v>46.22</v>
      </c>
      <c r="H403" s="6">
        <v>4</v>
      </c>
      <c r="I403" s="3">
        <v>9.2439999999999998</v>
      </c>
      <c r="J403" s="3">
        <v>194.124</v>
      </c>
      <c r="K403" s="2">
        <v>43551</v>
      </c>
      <c r="L403" s="1">
        <v>0.83611111111111114</v>
      </c>
      <c r="M403" t="s">
        <v>29</v>
      </c>
      <c r="N403" s="3">
        <v>184.88</v>
      </c>
      <c r="O403" s="4">
        <v>4.7619047620000003</v>
      </c>
      <c r="P403" s="5">
        <v>9.2439999999999998</v>
      </c>
      <c r="Q403">
        <v>6.2</v>
      </c>
      <c r="R403" s="6">
        <f>DAY(SuperMarket_Analysis[[#This Row],[Date]])</f>
        <v>27</v>
      </c>
      <c r="S403" s="6" t="str">
        <f>TEXT(SuperMarket_Analysis[[#This Row],[Date]],"mmmm")</f>
        <v>March</v>
      </c>
      <c r="T403" s="6">
        <f>YEAR(SuperMarket_Analysis[[#This Row],[Date]])</f>
        <v>2019</v>
      </c>
    </row>
    <row r="404" spans="1:20" x14ac:dyDescent="0.3">
      <c r="A404" t="s">
        <v>435</v>
      </c>
      <c r="B404" t="s">
        <v>22</v>
      </c>
      <c r="C404" t="s">
        <v>23</v>
      </c>
      <c r="D404" t="s">
        <v>17</v>
      </c>
      <c r="E404" t="s">
        <v>174</v>
      </c>
      <c r="F404" t="s">
        <v>28</v>
      </c>
      <c r="G404" s="3">
        <v>13.98</v>
      </c>
      <c r="H404" s="6">
        <v>1</v>
      </c>
      <c r="I404" s="3">
        <v>0.69899999999999995</v>
      </c>
      <c r="J404" s="3">
        <v>14.679</v>
      </c>
      <c r="K404" s="2">
        <v>43523</v>
      </c>
      <c r="L404" s="1">
        <v>0.56805555555555554</v>
      </c>
      <c r="M404" t="s">
        <v>20</v>
      </c>
      <c r="N404" s="3">
        <v>13.98</v>
      </c>
      <c r="O404" s="4">
        <v>4.7619047620000003</v>
      </c>
      <c r="P404" s="5">
        <v>0.69899999999999995</v>
      </c>
      <c r="Q404">
        <v>9.8000000000000007</v>
      </c>
      <c r="R404" s="6">
        <f>DAY(SuperMarket_Analysis[[#This Row],[Date]])</f>
        <v>27</v>
      </c>
      <c r="S404" s="6" t="str">
        <f>TEXT(SuperMarket_Analysis[[#This Row],[Date]],"mmmm")</f>
        <v>February</v>
      </c>
      <c r="T404" s="6">
        <f>YEAR(SuperMarket_Analysis[[#This Row],[Date]])</f>
        <v>2019</v>
      </c>
    </row>
    <row r="405" spans="1:20" x14ac:dyDescent="0.3">
      <c r="A405" t="s">
        <v>436</v>
      </c>
      <c r="B405" t="s">
        <v>38</v>
      </c>
      <c r="C405" t="s">
        <v>39</v>
      </c>
      <c r="D405" t="s">
        <v>24</v>
      </c>
      <c r="E405" t="s">
        <v>18</v>
      </c>
      <c r="F405" t="s">
        <v>42</v>
      </c>
      <c r="G405" s="3">
        <v>39.75</v>
      </c>
      <c r="H405" s="6">
        <v>5</v>
      </c>
      <c r="I405" s="3">
        <v>9.9375</v>
      </c>
      <c r="J405" s="3">
        <v>208.6875</v>
      </c>
      <c r="K405" s="2">
        <v>43553</v>
      </c>
      <c r="L405" s="1">
        <v>0.4465277777777778</v>
      </c>
      <c r="M405" t="s">
        <v>20</v>
      </c>
      <c r="N405" s="3">
        <v>198.75</v>
      </c>
      <c r="O405" s="4">
        <v>4.7619047620000003</v>
      </c>
      <c r="P405" s="5">
        <v>9.9375</v>
      </c>
      <c r="Q405">
        <v>9.6</v>
      </c>
      <c r="R405" s="6">
        <f>DAY(SuperMarket_Analysis[[#This Row],[Date]])</f>
        <v>29</v>
      </c>
      <c r="S405" s="6" t="str">
        <f>TEXT(SuperMarket_Analysis[[#This Row],[Date]],"mmmm")</f>
        <v>March</v>
      </c>
      <c r="T405" s="6">
        <f>YEAR(SuperMarket_Analysis[[#This Row],[Date]])</f>
        <v>2019</v>
      </c>
    </row>
    <row r="406" spans="1:20" x14ac:dyDescent="0.3">
      <c r="A406" t="s">
        <v>437</v>
      </c>
      <c r="B406" t="s">
        <v>22</v>
      </c>
      <c r="C406" t="s">
        <v>23</v>
      </c>
      <c r="D406" t="s">
        <v>17</v>
      </c>
      <c r="E406" t="s">
        <v>18</v>
      </c>
      <c r="F406" t="s">
        <v>42</v>
      </c>
      <c r="G406" s="3">
        <v>97.79</v>
      </c>
      <c r="H406" s="6">
        <v>7</v>
      </c>
      <c r="I406" s="3">
        <v>34.226500000000001</v>
      </c>
      <c r="J406" s="3">
        <v>718.75649999999996</v>
      </c>
      <c r="K406" s="2">
        <v>43496</v>
      </c>
      <c r="L406" s="1">
        <v>0.72916666666666663</v>
      </c>
      <c r="M406" t="s">
        <v>20</v>
      </c>
      <c r="N406" s="3">
        <v>684.53</v>
      </c>
      <c r="O406" s="4">
        <v>4.7619047620000003</v>
      </c>
      <c r="P406" s="5">
        <v>34.226500000000001</v>
      </c>
      <c r="Q406">
        <v>4.9000000000000004</v>
      </c>
      <c r="R406" s="6">
        <f>DAY(SuperMarket_Analysis[[#This Row],[Date]])</f>
        <v>31</v>
      </c>
      <c r="S406" s="6" t="str">
        <f>TEXT(SuperMarket_Analysis[[#This Row],[Date]],"mmmm")</f>
        <v>January</v>
      </c>
      <c r="T406" s="6">
        <f>YEAR(SuperMarket_Analysis[[#This Row],[Date]])</f>
        <v>2019</v>
      </c>
    </row>
    <row r="407" spans="1:20" x14ac:dyDescent="0.3">
      <c r="A407" t="s">
        <v>438</v>
      </c>
      <c r="B407" t="s">
        <v>15</v>
      </c>
      <c r="C407" t="s">
        <v>16</v>
      </c>
      <c r="D407" t="s">
        <v>17</v>
      </c>
      <c r="E407" t="s">
        <v>174</v>
      </c>
      <c r="F407" t="s">
        <v>32</v>
      </c>
      <c r="G407" s="3">
        <v>67.260000000000005</v>
      </c>
      <c r="H407" s="6">
        <v>4</v>
      </c>
      <c r="I407" s="3">
        <v>13.452</v>
      </c>
      <c r="J407" s="3">
        <v>282.49200000000002</v>
      </c>
      <c r="K407" s="2">
        <v>43486</v>
      </c>
      <c r="L407" s="1">
        <v>0.64444444444444449</v>
      </c>
      <c r="M407" t="s">
        <v>29</v>
      </c>
      <c r="N407" s="3">
        <v>269.04000000000002</v>
      </c>
      <c r="O407" s="4">
        <v>4.7619047620000003</v>
      </c>
      <c r="P407" s="5">
        <v>13.452</v>
      </c>
      <c r="Q407">
        <v>8</v>
      </c>
      <c r="R407" s="6">
        <f>DAY(SuperMarket_Analysis[[#This Row],[Date]])</f>
        <v>21</v>
      </c>
      <c r="S407" s="6" t="str">
        <f>TEXT(SuperMarket_Analysis[[#This Row],[Date]],"mmmm")</f>
        <v>January</v>
      </c>
      <c r="T407" s="6">
        <f>YEAR(SuperMarket_Analysis[[#This Row],[Date]])</f>
        <v>2019</v>
      </c>
    </row>
    <row r="408" spans="1:20" x14ac:dyDescent="0.3">
      <c r="A408" t="s">
        <v>439</v>
      </c>
      <c r="B408" t="s">
        <v>15</v>
      </c>
      <c r="C408" t="s">
        <v>16</v>
      </c>
      <c r="D408" t="s">
        <v>24</v>
      </c>
      <c r="E408" t="s">
        <v>174</v>
      </c>
      <c r="F408" t="s">
        <v>40</v>
      </c>
      <c r="G408" s="3">
        <v>13.79</v>
      </c>
      <c r="H408" s="6">
        <v>5</v>
      </c>
      <c r="I408" s="3">
        <v>3.4474999999999998</v>
      </c>
      <c r="J408" s="3">
        <v>72.397499999999994</v>
      </c>
      <c r="K408" s="2">
        <v>43485</v>
      </c>
      <c r="L408" s="1">
        <v>0.79652777777777772</v>
      </c>
      <c r="M408" t="s">
        <v>29</v>
      </c>
      <c r="N408" s="3">
        <v>68.95</v>
      </c>
      <c r="O408" s="4">
        <v>4.7619047620000003</v>
      </c>
      <c r="P408" s="5">
        <v>3.4474999999999998</v>
      </c>
      <c r="Q408">
        <v>7.8</v>
      </c>
      <c r="R408" s="6">
        <f>DAY(SuperMarket_Analysis[[#This Row],[Date]])</f>
        <v>20</v>
      </c>
      <c r="S408" s="6" t="str">
        <f>TEXT(SuperMarket_Analysis[[#This Row],[Date]],"mmmm")</f>
        <v>January</v>
      </c>
      <c r="T408" s="6">
        <f>YEAR(SuperMarket_Analysis[[#This Row],[Date]])</f>
        <v>2019</v>
      </c>
    </row>
    <row r="409" spans="1:20" x14ac:dyDescent="0.3">
      <c r="A409" t="s">
        <v>440</v>
      </c>
      <c r="B409" t="s">
        <v>38</v>
      </c>
      <c r="C409" t="s">
        <v>39</v>
      </c>
      <c r="D409" t="s">
        <v>17</v>
      </c>
      <c r="E409" t="s">
        <v>18</v>
      </c>
      <c r="F409" t="s">
        <v>42</v>
      </c>
      <c r="G409" s="3">
        <v>68.709999999999994</v>
      </c>
      <c r="H409" s="6">
        <v>4</v>
      </c>
      <c r="I409" s="3">
        <v>13.742000000000001</v>
      </c>
      <c r="J409" s="3">
        <v>288.58199999999999</v>
      </c>
      <c r="K409" s="2">
        <v>43482</v>
      </c>
      <c r="L409" s="1">
        <v>0.79236111111111107</v>
      </c>
      <c r="M409" t="s">
        <v>26</v>
      </c>
      <c r="N409" s="3">
        <v>274.83999999999997</v>
      </c>
      <c r="O409" s="4">
        <v>4.7619047620000003</v>
      </c>
      <c r="P409" s="5">
        <v>13.742000000000001</v>
      </c>
      <c r="Q409">
        <v>4.0999999999999996</v>
      </c>
      <c r="R409" s="6">
        <f>DAY(SuperMarket_Analysis[[#This Row],[Date]])</f>
        <v>17</v>
      </c>
      <c r="S409" s="6" t="str">
        <f>TEXT(SuperMarket_Analysis[[#This Row],[Date]],"mmmm")</f>
        <v>January</v>
      </c>
      <c r="T409" s="6">
        <f>YEAR(SuperMarket_Analysis[[#This Row],[Date]])</f>
        <v>2019</v>
      </c>
    </row>
    <row r="410" spans="1:20" x14ac:dyDescent="0.3">
      <c r="A410" t="s">
        <v>441</v>
      </c>
      <c r="B410" t="s">
        <v>15</v>
      </c>
      <c r="C410" t="s">
        <v>16</v>
      </c>
      <c r="D410" t="s">
        <v>24</v>
      </c>
      <c r="E410" t="s">
        <v>18</v>
      </c>
      <c r="F410" t="s">
        <v>28</v>
      </c>
      <c r="G410" s="3">
        <v>56.53</v>
      </c>
      <c r="H410" s="6">
        <v>4</v>
      </c>
      <c r="I410" s="3">
        <v>11.305999999999999</v>
      </c>
      <c r="J410" s="3">
        <v>237.42599999999999</v>
      </c>
      <c r="K410" s="2">
        <v>43524</v>
      </c>
      <c r="L410" s="1">
        <v>0.82499999999999996</v>
      </c>
      <c r="M410" t="s">
        <v>20</v>
      </c>
      <c r="N410" s="3">
        <v>226.12</v>
      </c>
      <c r="O410" s="4">
        <v>4.7619047620000003</v>
      </c>
      <c r="P410" s="5">
        <v>11.305999999999999</v>
      </c>
      <c r="Q410">
        <v>5.5</v>
      </c>
      <c r="R410" s="6">
        <f>DAY(SuperMarket_Analysis[[#This Row],[Date]])</f>
        <v>28</v>
      </c>
      <c r="S410" s="6" t="str">
        <f>TEXT(SuperMarket_Analysis[[#This Row],[Date]],"mmmm")</f>
        <v>February</v>
      </c>
      <c r="T410" s="6">
        <f>YEAR(SuperMarket_Analysis[[#This Row],[Date]])</f>
        <v>2019</v>
      </c>
    </row>
    <row r="411" spans="1:20" x14ac:dyDescent="0.3">
      <c r="A411" t="s">
        <v>442</v>
      </c>
      <c r="B411" t="s">
        <v>22</v>
      </c>
      <c r="C411" t="s">
        <v>23</v>
      </c>
      <c r="D411" t="s">
        <v>24</v>
      </c>
      <c r="E411" t="s">
        <v>18</v>
      </c>
      <c r="F411" t="s">
        <v>42</v>
      </c>
      <c r="G411" s="3">
        <v>23.82</v>
      </c>
      <c r="H411" s="6">
        <v>5</v>
      </c>
      <c r="I411" s="3">
        <v>5.9550000000000001</v>
      </c>
      <c r="J411" s="3">
        <v>125.05500000000001</v>
      </c>
      <c r="K411" s="2">
        <v>43543</v>
      </c>
      <c r="L411" s="1">
        <v>0.80833333333333335</v>
      </c>
      <c r="M411" t="s">
        <v>20</v>
      </c>
      <c r="N411" s="3">
        <v>119.1</v>
      </c>
      <c r="O411" s="4">
        <v>4.7619047620000003</v>
      </c>
      <c r="P411" s="5">
        <v>5.9550000000000001</v>
      </c>
      <c r="Q411">
        <v>5.4</v>
      </c>
      <c r="R411" s="6">
        <f>DAY(SuperMarket_Analysis[[#This Row],[Date]])</f>
        <v>19</v>
      </c>
      <c r="S411" s="6" t="str">
        <f>TEXT(SuperMarket_Analysis[[#This Row],[Date]],"mmmm")</f>
        <v>March</v>
      </c>
      <c r="T411" s="6">
        <f>YEAR(SuperMarket_Analysis[[#This Row],[Date]])</f>
        <v>2019</v>
      </c>
    </row>
    <row r="412" spans="1:20" x14ac:dyDescent="0.3">
      <c r="A412" t="s">
        <v>443</v>
      </c>
      <c r="B412" t="s">
        <v>38</v>
      </c>
      <c r="C412" t="s">
        <v>39</v>
      </c>
      <c r="D412" t="s">
        <v>24</v>
      </c>
      <c r="E412" t="s">
        <v>18</v>
      </c>
      <c r="F412" t="s">
        <v>19</v>
      </c>
      <c r="G412" s="3">
        <v>34.21</v>
      </c>
      <c r="H412" s="6">
        <v>10</v>
      </c>
      <c r="I412" s="3">
        <v>17.105</v>
      </c>
      <c r="J412" s="3">
        <v>359.20499999999998</v>
      </c>
      <c r="K412" s="2">
        <v>43515</v>
      </c>
      <c r="L412" s="1">
        <v>0.54166666666666663</v>
      </c>
      <c r="M412" t="s">
        <v>26</v>
      </c>
      <c r="N412" s="3">
        <v>342.1</v>
      </c>
      <c r="O412" s="4">
        <v>4.7619047620000003</v>
      </c>
      <c r="P412" s="5">
        <v>17.105</v>
      </c>
      <c r="Q412">
        <v>5.0999999999999996</v>
      </c>
      <c r="R412" s="6">
        <f>DAY(SuperMarket_Analysis[[#This Row],[Date]])</f>
        <v>19</v>
      </c>
      <c r="S412" s="6" t="str">
        <f>TEXT(SuperMarket_Analysis[[#This Row],[Date]],"mmmm")</f>
        <v>February</v>
      </c>
      <c r="T412" s="6">
        <f>YEAR(SuperMarket_Analysis[[#This Row],[Date]])</f>
        <v>2019</v>
      </c>
    </row>
    <row r="413" spans="1:20" x14ac:dyDescent="0.3">
      <c r="A413" t="s">
        <v>444</v>
      </c>
      <c r="B413" t="s">
        <v>38</v>
      </c>
      <c r="C413" t="s">
        <v>39</v>
      </c>
      <c r="D413" t="s">
        <v>24</v>
      </c>
      <c r="E413" t="s">
        <v>174</v>
      </c>
      <c r="F413" t="s">
        <v>32</v>
      </c>
      <c r="G413" s="3">
        <v>21.87</v>
      </c>
      <c r="H413" s="6">
        <v>2</v>
      </c>
      <c r="I413" s="3">
        <v>2.1869999999999998</v>
      </c>
      <c r="J413" s="3">
        <v>45.927</v>
      </c>
      <c r="K413" s="2">
        <v>43496</v>
      </c>
      <c r="L413" s="1">
        <v>0.60347222222222219</v>
      </c>
      <c r="M413" t="s">
        <v>20</v>
      </c>
      <c r="N413" s="3">
        <v>43.74</v>
      </c>
      <c r="O413" s="4">
        <v>4.7619047620000003</v>
      </c>
      <c r="P413" s="5">
        <v>2.1869999999999998</v>
      </c>
      <c r="Q413">
        <v>6.9</v>
      </c>
      <c r="R413" s="6">
        <f>DAY(SuperMarket_Analysis[[#This Row],[Date]])</f>
        <v>31</v>
      </c>
      <c r="S413" s="6" t="str">
        <f>TEXT(SuperMarket_Analysis[[#This Row],[Date]],"mmmm")</f>
        <v>January</v>
      </c>
      <c r="T413" s="6">
        <f>YEAR(SuperMarket_Analysis[[#This Row],[Date]])</f>
        <v>2019</v>
      </c>
    </row>
    <row r="414" spans="1:20" x14ac:dyDescent="0.3">
      <c r="A414" t="s">
        <v>445</v>
      </c>
      <c r="B414" t="s">
        <v>15</v>
      </c>
      <c r="C414" t="s">
        <v>16</v>
      </c>
      <c r="D414" t="s">
        <v>17</v>
      </c>
      <c r="E414" t="s">
        <v>174</v>
      </c>
      <c r="F414" t="s">
        <v>19</v>
      </c>
      <c r="G414" s="3">
        <v>20.97</v>
      </c>
      <c r="H414" s="6">
        <v>5</v>
      </c>
      <c r="I414" s="3">
        <v>5.2424999999999997</v>
      </c>
      <c r="J414" s="3">
        <v>110.0925</v>
      </c>
      <c r="K414" s="2">
        <v>43552</v>
      </c>
      <c r="L414" s="1">
        <v>0.55625000000000002</v>
      </c>
      <c r="M414" t="s">
        <v>26</v>
      </c>
      <c r="N414" s="3">
        <v>104.85</v>
      </c>
      <c r="O414" s="4">
        <v>4.7619047620000003</v>
      </c>
      <c r="P414" s="5">
        <v>5.2424999999999997</v>
      </c>
      <c r="Q414">
        <v>7.8</v>
      </c>
      <c r="R414" s="6">
        <f>DAY(SuperMarket_Analysis[[#This Row],[Date]])</f>
        <v>28</v>
      </c>
      <c r="S414" s="6" t="str">
        <f>TEXT(SuperMarket_Analysis[[#This Row],[Date]],"mmmm")</f>
        <v>March</v>
      </c>
      <c r="T414" s="6">
        <f>YEAR(SuperMarket_Analysis[[#This Row],[Date]])</f>
        <v>2019</v>
      </c>
    </row>
    <row r="415" spans="1:20" x14ac:dyDescent="0.3">
      <c r="A415" t="s">
        <v>446</v>
      </c>
      <c r="B415" t="s">
        <v>15</v>
      </c>
      <c r="C415" t="s">
        <v>16</v>
      </c>
      <c r="D415" t="s">
        <v>24</v>
      </c>
      <c r="E415" t="s">
        <v>174</v>
      </c>
      <c r="F415" t="s">
        <v>32</v>
      </c>
      <c r="G415" s="3">
        <v>25.84</v>
      </c>
      <c r="H415" s="6">
        <v>3</v>
      </c>
      <c r="I415" s="3">
        <v>3.8759999999999999</v>
      </c>
      <c r="J415" s="3">
        <v>81.396000000000001</v>
      </c>
      <c r="K415" s="2">
        <v>43484</v>
      </c>
      <c r="L415" s="1">
        <v>0.78819444444444442</v>
      </c>
      <c r="M415" t="s">
        <v>20</v>
      </c>
      <c r="N415" s="3">
        <v>77.52</v>
      </c>
      <c r="O415" s="4">
        <v>4.7619047620000003</v>
      </c>
      <c r="P415" s="5">
        <v>3.8759999999999999</v>
      </c>
      <c r="Q415">
        <v>6.6</v>
      </c>
      <c r="R415" s="6">
        <f>DAY(SuperMarket_Analysis[[#This Row],[Date]])</f>
        <v>19</v>
      </c>
      <c r="S415" s="6" t="str">
        <f>TEXT(SuperMarket_Analysis[[#This Row],[Date]],"mmmm")</f>
        <v>January</v>
      </c>
      <c r="T415" s="6">
        <f>YEAR(SuperMarket_Analysis[[#This Row],[Date]])</f>
        <v>2019</v>
      </c>
    </row>
    <row r="416" spans="1:20" x14ac:dyDescent="0.3">
      <c r="A416" t="s">
        <v>447</v>
      </c>
      <c r="B416" t="s">
        <v>15</v>
      </c>
      <c r="C416" t="s">
        <v>16</v>
      </c>
      <c r="D416" t="s">
        <v>24</v>
      </c>
      <c r="E416" t="s">
        <v>174</v>
      </c>
      <c r="F416" t="s">
        <v>28</v>
      </c>
      <c r="G416" s="3">
        <v>50.93</v>
      </c>
      <c r="H416" s="6">
        <v>8</v>
      </c>
      <c r="I416" s="3">
        <v>20.372</v>
      </c>
      <c r="J416" s="3">
        <v>427.81200000000001</v>
      </c>
      <c r="K416" s="2">
        <v>43513</v>
      </c>
      <c r="L416" s="1">
        <v>0.81666666666666665</v>
      </c>
      <c r="M416" t="s">
        <v>20</v>
      </c>
      <c r="N416" s="3">
        <v>407.44</v>
      </c>
      <c r="O416" s="4">
        <v>4.7619047620000003</v>
      </c>
      <c r="P416" s="5">
        <v>20.372</v>
      </c>
      <c r="Q416">
        <v>9.1999999999999993</v>
      </c>
      <c r="R416" s="6">
        <f>DAY(SuperMarket_Analysis[[#This Row],[Date]])</f>
        <v>17</v>
      </c>
      <c r="S416" s="6" t="str">
        <f>TEXT(SuperMarket_Analysis[[#This Row],[Date]],"mmmm")</f>
        <v>February</v>
      </c>
      <c r="T416" s="6">
        <f>YEAR(SuperMarket_Analysis[[#This Row],[Date]])</f>
        <v>2019</v>
      </c>
    </row>
    <row r="417" spans="1:20" x14ac:dyDescent="0.3">
      <c r="A417" t="s">
        <v>448</v>
      </c>
      <c r="B417" t="s">
        <v>38</v>
      </c>
      <c r="C417" t="s">
        <v>39</v>
      </c>
      <c r="D417" t="s">
        <v>24</v>
      </c>
      <c r="E417" t="s">
        <v>174</v>
      </c>
      <c r="F417" t="s">
        <v>19</v>
      </c>
      <c r="G417" s="3">
        <v>96.11</v>
      </c>
      <c r="H417" s="6">
        <v>1</v>
      </c>
      <c r="I417" s="3">
        <v>4.8055000000000003</v>
      </c>
      <c r="J417" s="3">
        <v>100.91549999999999</v>
      </c>
      <c r="K417" s="2">
        <v>43483</v>
      </c>
      <c r="L417" s="1">
        <v>0.68611111111111112</v>
      </c>
      <c r="M417" t="s">
        <v>20</v>
      </c>
      <c r="N417" s="3">
        <v>96.11</v>
      </c>
      <c r="O417" s="4">
        <v>4.7619047620000003</v>
      </c>
      <c r="P417" s="5">
        <v>4.8055000000000003</v>
      </c>
      <c r="Q417">
        <v>7.8</v>
      </c>
      <c r="R417" s="6">
        <f>DAY(SuperMarket_Analysis[[#This Row],[Date]])</f>
        <v>18</v>
      </c>
      <c r="S417" s="6" t="str">
        <f>TEXT(SuperMarket_Analysis[[#This Row],[Date]],"mmmm")</f>
        <v>January</v>
      </c>
      <c r="T417" s="6">
        <f>YEAR(SuperMarket_Analysis[[#This Row],[Date]])</f>
        <v>2019</v>
      </c>
    </row>
    <row r="418" spans="1:20" x14ac:dyDescent="0.3">
      <c r="A418" t="s">
        <v>449</v>
      </c>
      <c r="B418" t="s">
        <v>22</v>
      </c>
      <c r="C418" t="s">
        <v>23</v>
      </c>
      <c r="D418" t="s">
        <v>24</v>
      </c>
      <c r="E418" t="s">
        <v>18</v>
      </c>
      <c r="F418" t="s">
        <v>28</v>
      </c>
      <c r="G418" s="3">
        <v>45.38</v>
      </c>
      <c r="H418" s="6">
        <v>4</v>
      </c>
      <c r="I418" s="3">
        <v>9.0760000000000005</v>
      </c>
      <c r="J418" s="3">
        <v>190.596</v>
      </c>
      <c r="K418" s="2">
        <v>43483</v>
      </c>
      <c r="L418" s="1">
        <v>0.57499999999999996</v>
      </c>
      <c r="M418" t="s">
        <v>29</v>
      </c>
      <c r="N418" s="3">
        <v>181.52</v>
      </c>
      <c r="O418" s="4">
        <v>4.7619047620000003</v>
      </c>
      <c r="P418" s="5">
        <v>9.0760000000000005</v>
      </c>
      <c r="Q418">
        <v>8.6999999999999993</v>
      </c>
      <c r="R418" s="6">
        <f>DAY(SuperMarket_Analysis[[#This Row],[Date]])</f>
        <v>18</v>
      </c>
      <c r="S418" s="6" t="str">
        <f>TEXT(SuperMarket_Analysis[[#This Row],[Date]],"mmmm")</f>
        <v>January</v>
      </c>
      <c r="T418" s="6">
        <f>YEAR(SuperMarket_Analysis[[#This Row],[Date]])</f>
        <v>2019</v>
      </c>
    </row>
    <row r="419" spans="1:20" x14ac:dyDescent="0.3">
      <c r="A419" t="s">
        <v>450</v>
      </c>
      <c r="B419" t="s">
        <v>22</v>
      </c>
      <c r="C419" t="s">
        <v>23</v>
      </c>
      <c r="D419" t="s">
        <v>17</v>
      </c>
      <c r="E419" t="s">
        <v>18</v>
      </c>
      <c r="F419" t="s">
        <v>19</v>
      </c>
      <c r="G419" s="3">
        <v>81.510000000000005</v>
      </c>
      <c r="H419" s="6">
        <v>1</v>
      </c>
      <c r="I419" s="3">
        <v>4.0754999999999999</v>
      </c>
      <c r="J419" s="3">
        <v>85.585499999999996</v>
      </c>
      <c r="K419" s="2">
        <v>43542</v>
      </c>
      <c r="L419" s="1">
        <v>0.45624999999999999</v>
      </c>
      <c r="M419" t="s">
        <v>20</v>
      </c>
      <c r="N419" s="3">
        <v>81.510000000000005</v>
      </c>
      <c r="O419" s="4">
        <v>4.7619047620000003</v>
      </c>
      <c r="P419" s="5">
        <v>4.0754999999999999</v>
      </c>
      <c r="Q419">
        <v>9.1999999999999993</v>
      </c>
      <c r="R419" s="6">
        <f>DAY(SuperMarket_Analysis[[#This Row],[Date]])</f>
        <v>18</v>
      </c>
      <c r="S419" s="6" t="str">
        <f>TEXT(SuperMarket_Analysis[[#This Row],[Date]],"mmmm")</f>
        <v>March</v>
      </c>
      <c r="T419" s="6">
        <f>YEAR(SuperMarket_Analysis[[#This Row],[Date]])</f>
        <v>2019</v>
      </c>
    </row>
    <row r="420" spans="1:20" x14ac:dyDescent="0.3">
      <c r="A420" t="s">
        <v>451</v>
      </c>
      <c r="B420" t="s">
        <v>38</v>
      </c>
      <c r="C420" t="s">
        <v>39</v>
      </c>
      <c r="D420" t="s">
        <v>24</v>
      </c>
      <c r="E420" t="s">
        <v>18</v>
      </c>
      <c r="F420" t="s">
        <v>19</v>
      </c>
      <c r="G420" s="3">
        <v>57.22</v>
      </c>
      <c r="H420" s="6">
        <v>2</v>
      </c>
      <c r="I420" s="3">
        <v>5.7220000000000004</v>
      </c>
      <c r="J420" s="3">
        <v>120.16200000000001</v>
      </c>
      <c r="K420" s="2">
        <v>43540</v>
      </c>
      <c r="L420" s="1">
        <v>0.71736111111111112</v>
      </c>
      <c r="M420" t="s">
        <v>20</v>
      </c>
      <c r="N420" s="3">
        <v>114.44</v>
      </c>
      <c r="O420" s="4">
        <v>4.7619047620000003</v>
      </c>
      <c r="P420" s="5">
        <v>5.7220000000000004</v>
      </c>
      <c r="Q420">
        <v>8.3000000000000007</v>
      </c>
      <c r="R420" s="6">
        <f>DAY(SuperMarket_Analysis[[#This Row],[Date]])</f>
        <v>16</v>
      </c>
      <c r="S420" s="6" t="str">
        <f>TEXT(SuperMarket_Analysis[[#This Row],[Date]],"mmmm")</f>
        <v>March</v>
      </c>
      <c r="T420" s="6">
        <f>YEAR(SuperMarket_Analysis[[#This Row],[Date]])</f>
        <v>2019</v>
      </c>
    </row>
    <row r="421" spans="1:20" x14ac:dyDescent="0.3">
      <c r="A421" t="s">
        <v>452</v>
      </c>
      <c r="B421" t="s">
        <v>15</v>
      </c>
      <c r="C421" t="s">
        <v>16</v>
      </c>
      <c r="D421" t="s">
        <v>17</v>
      </c>
      <c r="E421" t="s">
        <v>18</v>
      </c>
      <c r="F421" t="s">
        <v>25</v>
      </c>
      <c r="G421" s="3">
        <v>25.22</v>
      </c>
      <c r="H421" s="6">
        <v>7</v>
      </c>
      <c r="I421" s="3">
        <v>8.827</v>
      </c>
      <c r="J421" s="3">
        <v>185.36699999999999</v>
      </c>
      <c r="K421" s="2">
        <v>43524</v>
      </c>
      <c r="L421" s="1">
        <v>0.43263888888888891</v>
      </c>
      <c r="M421" t="s">
        <v>26</v>
      </c>
      <c r="N421" s="3">
        <v>176.54</v>
      </c>
      <c r="O421" s="4">
        <v>4.7619047620000003</v>
      </c>
      <c r="P421" s="5">
        <v>8.827</v>
      </c>
      <c r="Q421">
        <v>8.1999999999999993</v>
      </c>
      <c r="R421" s="6">
        <f>DAY(SuperMarket_Analysis[[#This Row],[Date]])</f>
        <v>28</v>
      </c>
      <c r="S421" s="6" t="str">
        <f>TEXT(SuperMarket_Analysis[[#This Row],[Date]],"mmmm")</f>
        <v>February</v>
      </c>
      <c r="T421" s="6">
        <f>YEAR(SuperMarket_Analysis[[#This Row],[Date]])</f>
        <v>2019</v>
      </c>
    </row>
    <row r="422" spans="1:20" x14ac:dyDescent="0.3">
      <c r="A422" t="s">
        <v>453</v>
      </c>
      <c r="B422" t="s">
        <v>22</v>
      </c>
      <c r="C422" t="s">
        <v>23</v>
      </c>
      <c r="D422" t="s">
        <v>17</v>
      </c>
      <c r="E422" t="s">
        <v>18</v>
      </c>
      <c r="F422" t="s">
        <v>40</v>
      </c>
      <c r="G422" s="3">
        <v>38.6</v>
      </c>
      <c r="H422" s="6">
        <v>3</v>
      </c>
      <c r="I422" s="3">
        <v>5.79</v>
      </c>
      <c r="J422" s="3">
        <v>121.59</v>
      </c>
      <c r="K422" s="2">
        <v>43489</v>
      </c>
      <c r="L422" s="1">
        <v>0.58125000000000004</v>
      </c>
      <c r="M422" t="s">
        <v>20</v>
      </c>
      <c r="N422" s="3">
        <v>115.8</v>
      </c>
      <c r="O422" s="4">
        <v>4.7619047620000003</v>
      </c>
      <c r="P422" s="5">
        <v>5.79</v>
      </c>
      <c r="Q422">
        <v>7.5</v>
      </c>
      <c r="R422" s="6">
        <f>DAY(SuperMarket_Analysis[[#This Row],[Date]])</f>
        <v>24</v>
      </c>
      <c r="S422" s="6" t="str">
        <f>TEXT(SuperMarket_Analysis[[#This Row],[Date]],"mmmm")</f>
        <v>January</v>
      </c>
      <c r="T422" s="6">
        <f>YEAR(SuperMarket_Analysis[[#This Row],[Date]])</f>
        <v>2019</v>
      </c>
    </row>
    <row r="423" spans="1:20" x14ac:dyDescent="0.3">
      <c r="A423" t="s">
        <v>454</v>
      </c>
      <c r="B423" t="s">
        <v>22</v>
      </c>
      <c r="C423" t="s">
        <v>23</v>
      </c>
      <c r="D423" t="s">
        <v>24</v>
      </c>
      <c r="E423" t="s">
        <v>18</v>
      </c>
      <c r="F423" t="s">
        <v>25</v>
      </c>
      <c r="G423" s="3">
        <v>84.05</v>
      </c>
      <c r="H423" s="6">
        <v>3</v>
      </c>
      <c r="I423" s="3">
        <v>12.6075</v>
      </c>
      <c r="J423" s="3">
        <v>264.75749999999999</v>
      </c>
      <c r="K423" s="2">
        <v>43547</v>
      </c>
      <c r="L423" s="1">
        <v>0.56180555555555556</v>
      </c>
      <c r="M423" t="s">
        <v>26</v>
      </c>
      <c r="N423" s="3">
        <v>252.15</v>
      </c>
      <c r="O423" s="4">
        <v>4.7619047620000003</v>
      </c>
      <c r="P423" s="5">
        <v>12.6075</v>
      </c>
      <c r="Q423">
        <v>9.8000000000000007</v>
      </c>
      <c r="R423" s="6">
        <f>DAY(SuperMarket_Analysis[[#This Row],[Date]])</f>
        <v>23</v>
      </c>
      <c r="S423" s="6" t="str">
        <f>TEXT(SuperMarket_Analysis[[#This Row],[Date]],"mmmm")</f>
        <v>March</v>
      </c>
      <c r="T423" s="6">
        <f>YEAR(SuperMarket_Analysis[[#This Row],[Date]])</f>
        <v>2019</v>
      </c>
    </row>
    <row r="424" spans="1:20" x14ac:dyDescent="0.3">
      <c r="A424" t="s">
        <v>455</v>
      </c>
      <c r="B424" t="s">
        <v>22</v>
      </c>
      <c r="C424" t="s">
        <v>23</v>
      </c>
      <c r="D424" t="s">
        <v>17</v>
      </c>
      <c r="E424" t="s">
        <v>18</v>
      </c>
      <c r="F424" t="s">
        <v>42</v>
      </c>
      <c r="G424" s="3">
        <v>97.21</v>
      </c>
      <c r="H424" s="6">
        <v>10</v>
      </c>
      <c r="I424" s="3">
        <v>48.604999999999997</v>
      </c>
      <c r="J424" s="3">
        <v>1020.705</v>
      </c>
      <c r="K424" s="2">
        <v>43494</v>
      </c>
      <c r="L424" s="1">
        <v>0.54166666666666663</v>
      </c>
      <c r="M424" t="s">
        <v>29</v>
      </c>
      <c r="N424" s="3">
        <v>972.1</v>
      </c>
      <c r="O424" s="4">
        <v>4.7619047620000003</v>
      </c>
      <c r="P424" s="5">
        <v>48.604999999999997</v>
      </c>
      <c r="Q424">
        <v>8.6999999999999993</v>
      </c>
      <c r="R424" s="6">
        <f>DAY(SuperMarket_Analysis[[#This Row],[Date]])</f>
        <v>29</v>
      </c>
      <c r="S424" s="6" t="str">
        <f>TEXT(SuperMarket_Analysis[[#This Row],[Date]],"mmmm")</f>
        <v>January</v>
      </c>
      <c r="T424" s="6">
        <f>YEAR(SuperMarket_Analysis[[#This Row],[Date]])</f>
        <v>2019</v>
      </c>
    </row>
    <row r="425" spans="1:20" x14ac:dyDescent="0.3">
      <c r="A425" t="s">
        <v>456</v>
      </c>
      <c r="B425" t="s">
        <v>38</v>
      </c>
      <c r="C425" t="s">
        <v>39</v>
      </c>
      <c r="D425" t="s">
        <v>17</v>
      </c>
      <c r="E425" t="s">
        <v>174</v>
      </c>
      <c r="F425" t="s">
        <v>42</v>
      </c>
      <c r="G425" s="3">
        <v>25.42</v>
      </c>
      <c r="H425" s="6">
        <v>8</v>
      </c>
      <c r="I425" s="3">
        <v>10.167999999999999</v>
      </c>
      <c r="J425" s="3">
        <v>213.52799999999999</v>
      </c>
      <c r="K425" s="2">
        <v>43544</v>
      </c>
      <c r="L425" s="1">
        <v>0.8208333333333333</v>
      </c>
      <c r="M425" t="s">
        <v>29</v>
      </c>
      <c r="N425" s="3">
        <v>203.36</v>
      </c>
      <c r="O425" s="4">
        <v>4.7619047620000003</v>
      </c>
      <c r="P425" s="5">
        <v>10.167999999999999</v>
      </c>
      <c r="Q425">
        <v>6.7</v>
      </c>
      <c r="R425" s="6">
        <f>DAY(SuperMarket_Analysis[[#This Row],[Date]])</f>
        <v>20</v>
      </c>
      <c r="S425" s="6" t="str">
        <f>TEXT(SuperMarket_Analysis[[#This Row],[Date]],"mmmm")</f>
        <v>March</v>
      </c>
      <c r="T425" s="6">
        <f>YEAR(SuperMarket_Analysis[[#This Row],[Date]])</f>
        <v>2019</v>
      </c>
    </row>
    <row r="426" spans="1:20" x14ac:dyDescent="0.3">
      <c r="A426" t="s">
        <v>457</v>
      </c>
      <c r="B426" t="s">
        <v>22</v>
      </c>
      <c r="C426" t="s">
        <v>23</v>
      </c>
      <c r="D426" t="s">
        <v>24</v>
      </c>
      <c r="E426" t="s">
        <v>174</v>
      </c>
      <c r="F426" t="s">
        <v>42</v>
      </c>
      <c r="G426" s="3">
        <v>16.28</v>
      </c>
      <c r="H426" s="6">
        <v>1</v>
      </c>
      <c r="I426" s="3">
        <v>0.81399999999999995</v>
      </c>
      <c r="J426" s="3">
        <v>17.094000000000001</v>
      </c>
      <c r="K426" s="2">
        <v>43547</v>
      </c>
      <c r="L426" s="1">
        <v>0.65</v>
      </c>
      <c r="M426" t="s">
        <v>26</v>
      </c>
      <c r="N426" s="3">
        <v>16.28</v>
      </c>
      <c r="O426" s="4">
        <v>4.7619047620000003</v>
      </c>
      <c r="P426" s="5">
        <v>0.81399999999999995</v>
      </c>
      <c r="Q426">
        <v>5</v>
      </c>
      <c r="R426" s="6">
        <f>DAY(SuperMarket_Analysis[[#This Row],[Date]])</f>
        <v>23</v>
      </c>
      <c r="S426" s="6" t="str">
        <f>TEXT(SuperMarket_Analysis[[#This Row],[Date]],"mmmm")</f>
        <v>March</v>
      </c>
      <c r="T426" s="6">
        <f>YEAR(SuperMarket_Analysis[[#This Row],[Date]])</f>
        <v>2019</v>
      </c>
    </row>
    <row r="427" spans="1:20" x14ac:dyDescent="0.3">
      <c r="A427" t="s">
        <v>458</v>
      </c>
      <c r="B427" t="s">
        <v>38</v>
      </c>
      <c r="C427" t="s">
        <v>39</v>
      </c>
      <c r="D427" t="s">
        <v>17</v>
      </c>
      <c r="E427" t="s">
        <v>174</v>
      </c>
      <c r="F427" t="s">
        <v>42</v>
      </c>
      <c r="G427" s="3">
        <v>40.61</v>
      </c>
      <c r="H427" s="6">
        <v>9</v>
      </c>
      <c r="I427" s="3">
        <v>18.2745</v>
      </c>
      <c r="J427" s="3">
        <v>383.7645</v>
      </c>
      <c r="K427" s="2">
        <v>43479</v>
      </c>
      <c r="L427" s="1">
        <v>0.56944444444444442</v>
      </c>
      <c r="M427" t="s">
        <v>26</v>
      </c>
      <c r="N427" s="3">
        <v>365.49</v>
      </c>
      <c r="O427" s="4">
        <v>4.7619047620000003</v>
      </c>
      <c r="P427" s="5">
        <v>18.2745</v>
      </c>
      <c r="Q427">
        <v>7</v>
      </c>
      <c r="R427" s="6">
        <f>DAY(SuperMarket_Analysis[[#This Row],[Date]])</f>
        <v>14</v>
      </c>
      <c r="S427" s="6" t="str">
        <f>TEXT(SuperMarket_Analysis[[#This Row],[Date]],"mmmm")</f>
        <v>January</v>
      </c>
      <c r="T427" s="6">
        <f>YEAR(SuperMarket_Analysis[[#This Row],[Date]])</f>
        <v>2019</v>
      </c>
    </row>
    <row r="428" spans="1:20" x14ac:dyDescent="0.3">
      <c r="A428" t="s">
        <v>459</v>
      </c>
      <c r="B428" t="s">
        <v>15</v>
      </c>
      <c r="C428" t="s">
        <v>16</v>
      </c>
      <c r="D428" t="s">
        <v>17</v>
      </c>
      <c r="E428" t="s">
        <v>174</v>
      </c>
      <c r="F428" t="s">
        <v>19</v>
      </c>
      <c r="G428" s="3">
        <v>53.17</v>
      </c>
      <c r="H428" s="6">
        <v>7</v>
      </c>
      <c r="I428" s="3">
        <v>18.609500000000001</v>
      </c>
      <c r="J428" s="3">
        <v>390.79950000000002</v>
      </c>
      <c r="K428" s="2">
        <v>43516</v>
      </c>
      <c r="L428" s="1">
        <v>0.75069444444444444</v>
      </c>
      <c r="M428" t="s">
        <v>26</v>
      </c>
      <c r="N428" s="3">
        <v>372.19</v>
      </c>
      <c r="O428" s="4">
        <v>4.7619047620000003</v>
      </c>
      <c r="P428" s="5">
        <v>18.609500000000001</v>
      </c>
      <c r="Q428">
        <v>8.9</v>
      </c>
      <c r="R428" s="6">
        <f>DAY(SuperMarket_Analysis[[#This Row],[Date]])</f>
        <v>20</v>
      </c>
      <c r="S428" s="6" t="str">
        <f>TEXT(SuperMarket_Analysis[[#This Row],[Date]],"mmmm")</f>
        <v>February</v>
      </c>
      <c r="T428" s="6">
        <f>YEAR(SuperMarket_Analysis[[#This Row],[Date]])</f>
        <v>2019</v>
      </c>
    </row>
    <row r="429" spans="1:20" x14ac:dyDescent="0.3">
      <c r="A429" t="s">
        <v>460</v>
      </c>
      <c r="B429" t="s">
        <v>38</v>
      </c>
      <c r="C429" t="s">
        <v>39</v>
      </c>
      <c r="D429" t="s">
        <v>17</v>
      </c>
      <c r="E429" t="s">
        <v>18</v>
      </c>
      <c r="F429" t="s">
        <v>40</v>
      </c>
      <c r="G429" s="3">
        <v>20.87</v>
      </c>
      <c r="H429" s="6">
        <v>3</v>
      </c>
      <c r="I429" s="3">
        <v>3.1305000000000001</v>
      </c>
      <c r="J429" s="3">
        <v>65.740499999999997</v>
      </c>
      <c r="K429" s="2">
        <v>43495</v>
      </c>
      <c r="L429" s="1">
        <v>0.57847222222222228</v>
      </c>
      <c r="M429" t="s">
        <v>29</v>
      </c>
      <c r="N429" s="3">
        <v>62.61</v>
      </c>
      <c r="O429" s="4">
        <v>4.7619047620000003</v>
      </c>
      <c r="P429" s="5">
        <v>3.1305000000000001</v>
      </c>
      <c r="Q429">
        <v>8</v>
      </c>
      <c r="R429" s="6">
        <f>DAY(SuperMarket_Analysis[[#This Row],[Date]])</f>
        <v>30</v>
      </c>
      <c r="S429" s="6" t="str">
        <f>TEXT(SuperMarket_Analysis[[#This Row],[Date]],"mmmm")</f>
        <v>January</v>
      </c>
      <c r="T429" s="6">
        <f>YEAR(SuperMarket_Analysis[[#This Row],[Date]])</f>
        <v>2019</v>
      </c>
    </row>
    <row r="430" spans="1:20" x14ac:dyDescent="0.3">
      <c r="A430" t="s">
        <v>461</v>
      </c>
      <c r="B430" t="s">
        <v>38</v>
      </c>
      <c r="C430" t="s">
        <v>39</v>
      </c>
      <c r="D430" t="s">
        <v>24</v>
      </c>
      <c r="E430" t="s">
        <v>174</v>
      </c>
      <c r="F430" t="s">
        <v>32</v>
      </c>
      <c r="G430" s="3">
        <v>67.27</v>
      </c>
      <c r="H430" s="6">
        <v>5</v>
      </c>
      <c r="I430" s="3">
        <v>16.817499999999999</v>
      </c>
      <c r="J430" s="3">
        <v>353.16750000000002</v>
      </c>
      <c r="K430" s="2">
        <v>43550</v>
      </c>
      <c r="L430" s="1">
        <v>0.7270833333333333</v>
      </c>
      <c r="M430" t="s">
        <v>26</v>
      </c>
      <c r="N430" s="3">
        <v>336.35</v>
      </c>
      <c r="O430" s="4">
        <v>4.7619047620000003</v>
      </c>
      <c r="P430" s="5">
        <v>16.817499999999999</v>
      </c>
      <c r="Q430">
        <v>6.9</v>
      </c>
      <c r="R430" s="6">
        <f>DAY(SuperMarket_Analysis[[#This Row],[Date]])</f>
        <v>26</v>
      </c>
      <c r="S430" s="6" t="str">
        <f>TEXT(SuperMarket_Analysis[[#This Row],[Date]],"mmmm")</f>
        <v>March</v>
      </c>
      <c r="T430" s="6">
        <f>YEAR(SuperMarket_Analysis[[#This Row],[Date]])</f>
        <v>2019</v>
      </c>
    </row>
    <row r="431" spans="1:20" x14ac:dyDescent="0.3">
      <c r="A431" t="s">
        <v>462</v>
      </c>
      <c r="B431" t="s">
        <v>15</v>
      </c>
      <c r="C431" t="s">
        <v>16</v>
      </c>
      <c r="D431" t="s">
        <v>17</v>
      </c>
      <c r="E431" t="s">
        <v>18</v>
      </c>
      <c r="F431" t="s">
        <v>28</v>
      </c>
      <c r="G431" s="3">
        <v>90.65</v>
      </c>
      <c r="H431" s="6">
        <v>10</v>
      </c>
      <c r="I431" s="3">
        <v>45.325000000000003</v>
      </c>
      <c r="J431" s="3">
        <v>951.82500000000005</v>
      </c>
      <c r="K431" s="2">
        <v>43480</v>
      </c>
      <c r="L431" s="1">
        <v>0.45347222222222222</v>
      </c>
      <c r="M431" t="s">
        <v>20</v>
      </c>
      <c r="N431" s="3">
        <v>906.5</v>
      </c>
      <c r="O431" s="4">
        <v>4.7619047620000003</v>
      </c>
      <c r="P431" s="5">
        <v>45.325000000000003</v>
      </c>
      <c r="Q431">
        <v>7.3</v>
      </c>
      <c r="R431" s="6">
        <f>DAY(SuperMarket_Analysis[[#This Row],[Date]])</f>
        <v>15</v>
      </c>
      <c r="S431" s="6" t="str">
        <f>TEXT(SuperMarket_Analysis[[#This Row],[Date]],"mmmm")</f>
        <v>January</v>
      </c>
      <c r="T431" s="6">
        <f>YEAR(SuperMarket_Analysis[[#This Row],[Date]])</f>
        <v>2019</v>
      </c>
    </row>
    <row r="432" spans="1:20" x14ac:dyDescent="0.3">
      <c r="A432" t="s">
        <v>463</v>
      </c>
      <c r="B432" t="s">
        <v>38</v>
      </c>
      <c r="C432" t="s">
        <v>39</v>
      </c>
      <c r="D432" t="s">
        <v>24</v>
      </c>
      <c r="E432" t="s">
        <v>174</v>
      </c>
      <c r="F432" t="s">
        <v>42</v>
      </c>
      <c r="G432" s="3">
        <v>69.08</v>
      </c>
      <c r="H432" s="6">
        <v>2</v>
      </c>
      <c r="I432" s="3">
        <v>6.9080000000000004</v>
      </c>
      <c r="J432" s="3">
        <v>145.06800000000001</v>
      </c>
      <c r="K432" s="2">
        <v>43538</v>
      </c>
      <c r="L432" s="1">
        <v>0.82499999999999996</v>
      </c>
      <c r="M432" t="s">
        <v>29</v>
      </c>
      <c r="N432" s="3">
        <v>138.16</v>
      </c>
      <c r="O432" s="4">
        <v>4.7619047620000003</v>
      </c>
      <c r="P432" s="5">
        <v>6.9080000000000004</v>
      </c>
      <c r="Q432">
        <v>6.9</v>
      </c>
      <c r="R432" s="6">
        <f>DAY(SuperMarket_Analysis[[#This Row],[Date]])</f>
        <v>14</v>
      </c>
      <c r="S432" s="6" t="str">
        <f>TEXT(SuperMarket_Analysis[[#This Row],[Date]],"mmmm")</f>
        <v>March</v>
      </c>
      <c r="T432" s="6">
        <f>YEAR(SuperMarket_Analysis[[#This Row],[Date]])</f>
        <v>2019</v>
      </c>
    </row>
    <row r="433" spans="1:20" x14ac:dyDescent="0.3">
      <c r="A433" t="s">
        <v>464</v>
      </c>
      <c r="B433" t="s">
        <v>22</v>
      </c>
      <c r="C433" t="s">
        <v>23</v>
      </c>
      <c r="D433" t="s">
        <v>24</v>
      </c>
      <c r="E433" t="s">
        <v>174</v>
      </c>
      <c r="F433" t="s">
        <v>40</v>
      </c>
      <c r="G433" s="3">
        <v>43.27</v>
      </c>
      <c r="H433" s="6">
        <v>2</v>
      </c>
      <c r="I433" s="3">
        <v>4.327</v>
      </c>
      <c r="J433" s="3">
        <v>90.867000000000004</v>
      </c>
      <c r="K433" s="2">
        <v>43518</v>
      </c>
      <c r="L433" s="1">
        <v>0.70347222222222228</v>
      </c>
      <c r="M433" t="s">
        <v>20</v>
      </c>
      <c r="N433" s="3">
        <v>86.54</v>
      </c>
      <c r="O433" s="4">
        <v>4.7619047620000003</v>
      </c>
      <c r="P433" s="5">
        <v>4.327</v>
      </c>
      <c r="Q433">
        <v>5.7</v>
      </c>
      <c r="R433" s="6">
        <f>DAY(SuperMarket_Analysis[[#This Row],[Date]])</f>
        <v>22</v>
      </c>
      <c r="S433" s="6" t="str">
        <f>TEXT(SuperMarket_Analysis[[#This Row],[Date]],"mmmm")</f>
        <v>February</v>
      </c>
      <c r="T433" s="6">
        <f>YEAR(SuperMarket_Analysis[[#This Row],[Date]])</f>
        <v>2019</v>
      </c>
    </row>
    <row r="434" spans="1:20" x14ac:dyDescent="0.3">
      <c r="A434" t="s">
        <v>465</v>
      </c>
      <c r="B434" t="s">
        <v>15</v>
      </c>
      <c r="C434" t="s">
        <v>16</v>
      </c>
      <c r="D434" t="s">
        <v>24</v>
      </c>
      <c r="E434" t="s">
        <v>18</v>
      </c>
      <c r="F434" t="s">
        <v>25</v>
      </c>
      <c r="G434" s="3">
        <v>23.46</v>
      </c>
      <c r="H434" s="6">
        <v>6</v>
      </c>
      <c r="I434" s="3">
        <v>7.0380000000000003</v>
      </c>
      <c r="J434" s="3">
        <v>147.798</v>
      </c>
      <c r="K434" s="2">
        <v>43489</v>
      </c>
      <c r="L434" s="1">
        <v>0.80138888888888893</v>
      </c>
      <c r="M434" t="s">
        <v>20</v>
      </c>
      <c r="N434" s="3">
        <v>140.76</v>
      </c>
      <c r="O434" s="4">
        <v>4.7619047620000003</v>
      </c>
      <c r="P434" s="5">
        <v>7.0380000000000003</v>
      </c>
      <c r="Q434">
        <v>6.4</v>
      </c>
      <c r="R434" s="6">
        <f>DAY(SuperMarket_Analysis[[#This Row],[Date]])</f>
        <v>24</v>
      </c>
      <c r="S434" s="6" t="str">
        <f>TEXT(SuperMarket_Analysis[[#This Row],[Date]],"mmmm")</f>
        <v>January</v>
      </c>
      <c r="T434" s="6">
        <f>YEAR(SuperMarket_Analysis[[#This Row],[Date]])</f>
        <v>2019</v>
      </c>
    </row>
    <row r="435" spans="1:20" x14ac:dyDescent="0.3">
      <c r="A435" t="s">
        <v>466</v>
      </c>
      <c r="B435" t="s">
        <v>38</v>
      </c>
      <c r="C435" t="s">
        <v>39</v>
      </c>
      <c r="D435" t="s">
        <v>24</v>
      </c>
      <c r="E435" t="s">
        <v>174</v>
      </c>
      <c r="F435" t="s">
        <v>42</v>
      </c>
      <c r="G435" s="3">
        <v>95.54</v>
      </c>
      <c r="H435" s="6">
        <v>7</v>
      </c>
      <c r="I435" s="3">
        <v>33.439</v>
      </c>
      <c r="J435" s="3">
        <v>702.21900000000005</v>
      </c>
      <c r="K435" s="2">
        <v>43490</v>
      </c>
      <c r="L435" s="1">
        <v>0.60833333333333328</v>
      </c>
      <c r="M435" t="s">
        <v>29</v>
      </c>
      <c r="N435" s="3">
        <v>668.78</v>
      </c>
      <c r="O435" s="4">
        <v>4.7619047620000003</v>
      </c>
      <c r="P435" s="5">
        <v>33.439</v>
      </c>
      <c r="Q435">
        <v>9.6</v>
      </c>
      <c r="R435" s="6">
        <f>DAY(SuperMarket_Analysis[[#This Row],[Date]])</f>
        <v>25</v>
      </c>
      <c r="S435" s="6" t="str">
        <f>TEXT(SuperMarket_Analysis[[#This Row],[Date]],"mmmm")</f>
        <v>January</v>
      </c>
      <c r="T435" s="6">
        <f>YEAR(SuperMarket_Analysis[[#This Row],[Date]])</f>
        <v>2019</v>
      </c>
    </row>
    <row r="436" spans="1:20" x14ac:dyDescent="0.3">
      <c r="A436" t="s">
        <v>467</v>
      </c>
      <c r="B436" t="s">
        <v>38</v>
      </c>
      <c r="C436" t="s">
        <v>39</v>
      </c>
      <c r="D436" t="s">
        <v>24</v>
      </c>
      <c r="E436" t="s">
        <v>18</v>
      </c>
      <c r="F436" t="s">
        <v>42</v>
      </c>
      <c r="G436" s="3">
        <v>47.44</v>
      </c>
      <c r="H436" s="6">
        <v>1</v>
      </c>
      <c r="I436" s="3">
        <v>2.3719999999999999</v>
      </c>
      <c r="J436" s="3">
        <v>49.811999999999998</v>
      </c>
      <c r="K436" s="2">
        <v>43513</v>
      </c>
      <c r="L436" s="1">
        <v>0.7631944444444444</v>
      </c>
      <c r="M436" t="s">
        <v>29</v>
      </c>
      <c r="N436" s="3">
        <v>47.44</v>
      </c>
      <c r="O436" s="4">
        <v>4.7619047620000003</v>
      </c>
      <c r="P436" s="5">
        <v>2.3719999999999999</v>
      </c>
      <c r="Q436">
        <v>6.8</v>
      </c>
      <c r="R436" s="6">
        <f>DAY(SuperMarket_Analysis[[#This Row],[Date]])</f>
        <v>17</v>
      </c>
      <c r="S436" s="6" t="str">
        <f>TEXT(SuperMarket_Analysis[[#This Row],[Date]],"mmmm")</f>
        <v>February</v>
      </c>
      <c r="T436" s="6">
        <f>YEAR(SuperMarket_Analysis[[#This Row],[Date]])</f>
        <v>2019</v>
      </c>
    </row>
    <row r="437" spans="1:20" x14ac:dyDescent="0.3">
      <c r="A437" t="s">
        <v>468</v>
      </c>
      <c r="B437" t="s">
        <v>22</v>
      </c>
      <c r="C437" t="s">
        <v>23</v>
      </c>
      <c r="D437" t="s">
        <v>24</v>
      </c>
      <c r="E437" t="s">
        <v>174</v>
      </c>
      <c r="F437" t="s">
        <v>32</v>
      </c>
      <c r="G437" s="3">
        <v>99.24</v>
      </c>
      <c r="H437" s="6">
        <v>9</v>
      </c>
      <c r="I437" s="3">
        <v>44.658000000000001</v>
      </c>
      <c r="J437" s="3">
        <v>937.81799999999998</v>
      </c>
      <c r="K437" s="2">
        <v>43523</v>
      </c>
      <c r="L437" s="1">
        <v>0.79791666666666672</v>
      </c>
      <c r="M437" t="s">
        <v>20</v>
      </c>
      <c r="N437" s="3">
        <v>893.16</v>
      </c>
      <c r="O437" s="4">
        <v>4.7619047620000003</v>
      </c>
      <c r="P437" s="5">
        <v>44.658000000000001</v>
      </c>
      <c r="Q437">
        <v>9</v>
      </c>
      <c r="R437" s="6">
        <f>DAY(SuperMarket_Analysis[[#This Row],[Date]])</f>
        <v>27</v>
      </c>
      <c r="S437" s="6" t="str">
        <f>TEXT(SuperMarket_Analysis[[#This Row],[Date]],"mmmm")</f>
        <v>February</v>
      </c>
      <c r="T437" s="6">
        <f>YEAR(SuperMarket_Analysis[[#This Row],[Date]])</f>
        <v>2019</v>
      </c>
    </row>
    <row r="438" spans="1:20" x14ac:dyDescent="0.3">
      <c r="A438" t="s">
        <v>469</v>
      </c>
      <c r="B438" t="s">
        <v>22</v>
      </c>
      <c r="C438" t="s">
        <v>23</v>
      </c>
      <c r="D438" t="s">
        <v>17</v>
      </c>
      <c r="E438" t="s">
        <v>174</v>
      </c>
      <c r="F438" t="s">
        <v>32</v>
      </c>
      <c r="G438" s="3">
        <v>82.93</v>
      </c>
      <c r="H438" s="6">
        <v>4</v>
      </c>
      <c r="I438" s="3">
        <v>16.585999999999999</v>
      </c>
      <c r="J438" s="3">
        <v>348.30599999999998</v>
      </c>
      <c r="K438" s="2">
        <v>43549</v>
      </c>
      <c r="L438" s="1">
        <v>0.70208333333333328</v>
      </c>
      <c r="M438" t="s">
        <v>20</v>
      </c>
      <c r="N438" s="3">
        <v>331.72</v>
      </c>
      <c r="O438" s="4">
        <v>4.7619047620000003</v>
      </c>
      <c r="P438" s="5">
        <v>16.585999999999999</v>
      </c>
      <c r="Q438">
        <v>9.6</v>
      </c>
      <c r="R438" s="6">
        <f>DAY(SuperMarket_Analysis[[#This Row],[Date]])</f>
        <v>25</v>
      </c>
      <c r="S438" s="6" t="str">
        <f>TEXT(SuperMarket_Analysis[[#This Row],[Date]],"mmmm")</f>
        <v>March</v>
      </c>
      <c r="T438" s="6">
        <f>YEAR(SuperMarket_Analysis[[#This Row],[Date]])</f>
        <v>2019</v>
      </c>
    </row>
    <row r="439" spans="1:20" x14ac:dyDescent="0.3">
      <c r="A439" t="s">
        <v>470</v>
      </c>
      <c r="B439" t="s">
        <v>15</v>
      </c>
      <c r="C439" t="s">
        <v>16</v>
      </c>
      <c r="D439" t="s">
        <v>24</v>
      </c>
      <c r="E439" t="s">
        <v>174</v>
      </c>
      <c r="F439" t="s">
        <v>28</v>
      </c>
      <c r="G439" s="3">
        <v>33.99</v>
      </c>
      <c r="H439" s="6">
        <v>6</v>
      </c>
      <c r="I439" s="3">
        <v>10.196999999999999</v>
      </c>
      <c r="J439" s="3">
        <v>214.137</v>
      </c>
      <c r="K439" s="2">
        <v>43496</v>
      </c>
      <c r="L439" s="1">
        <v>0.65069444444444446</v>
      </c>
      <c r="M439" t="s">
        <v>29</v>
      </c>
      <c r="N439" s="3">
        <v>203.94</v>
      </c>
      <c r="O439" s="4">
        <v>4.7619047620000003</v>
      </c>
      <c r="P439" s="5">
        <v>10.196999999999999</v>
      </c>
      <c r="Q439">
        <v>7.7</v>
      </c>
      <c r="R439" s="6">
        <f>DAY(SuperMarket_Analysis[[#This Row],[Date]])</f>
        <v>31</v>
      </c>
      <c r="S439" s="6" t="str">
        <f>TEXT(SuperMarket_Analysis[[#This Row],[Date]],"mmmm")</f>
        <v>January</v>
      </c>
      <c r="T439" s="6">
        <f>YEAR(SuperMarket_Analysis[[#This Row],[Date]])</f>
        <v>2019</v>
      </c>
    </row>
    <row r="440" spans="1:20" x14ac:dyDescent="0.3">
      <c r="A440" t="s">
        <v>471</v>
      </c>
      <c r="B440" t="s">
        <v>22</v>
      </c>
      <c r="C440" t="s">
        <v>23</v>
      </c>
      <c r="D440" t="s">
        <v>17</v>
      </c>
      <c r="E440" t="s">
        <v>174</v>
      </c>
      <c r="F440" t="s">
        <v>40</v>
      </c>
      <c r="G440" s="3">
        <v>17.04</v>
      </c>
      <c r="H440" s="6">
        <v>4</v>
      </c>
      <c r="I440" s="3">
        <v>3.4079999999999999</v>
      </c>
      <c r="J440" s="3">
        <v>71.567999999999998</v>
      </c>
      <c r="K440" s="2">
        <v>43485</v>
      </c>
      <c r="L440" s="1">
        <v>0.84375</v>
      </c>
      <c r="M440" t="s">
        <v>20</v>
      </c>
      <c r="N440" s="3">
        <v>68.16</v>
      </c>
      <c r="O440" s="4">
        <v>4.7619047620000003</v>
      </c>
      <c r="P440" s="5">
        <v>3.4079999999999999</v>
      </c>
      <c r="Q440">
        <v>7</v>
      </c>
      <c r="R440" s="6">
        <f>DAY(SuperMarket_Analysis[[#This Row],[Date]])</f>
        <v>20</v>
      </c>
      <c r="S440" s="6" t="str">
        <f>TEXT(SuperMarket_Analysis[[#This Row],[Date]],"mmmm")</f>
        <v>January</v>
      </c>
      <c r="T440" s="6">
        <f>YEAR(SuperMarket_Analysis[[#This Row],[Date]])</f>
        <v>2019</v>
      </c>
    </row>
    <row r="441" spans="1:20" x14ac:dyDescent="0.3">
      <c r="A441" t="s">
        <v>472</v>
      </c>
      <c r="B441" t="s">
        <v>22</v>
      </c>
      <c r="C441" t="s">
        <v>23</v>
      </c>
      <c r="D441" t="s">
        <v>24</v>
      </c>
      <c r="E441" t="s">
        <v>18</v>
      </c>
      <c r="F441" t="s">
        <v>25</v>
      </c>
      <c r="G441" s="3">
        <v>40.86</v>
      </c>
      <c r="H441" s="6">
        <v>8</v>
      </c>
      <c r="I441" s="3">
        <v>16.344000000000001</v>
      </c>
      <c r="J441" s="3">
        <v>343.22399999999999</v>
      </c>
      <c r="K441" s="2">
        <v>43550</v>
      </c>
      <c r="L441" s="1">
        <v>0.60972222222222228</v>
      </c>
      <c r="M441" t="s">
        <v>29</v>
      </c>
      <c r="N441" s="3">
        <v>326.88</v>
      </c>
      <c r="O441" s="4">
        <v>4.7619047620000003</v>
      </c>
      <c r="P441" s="5">
        <v>16.344000000000001</v>
      </c>
      <c r="Q441">
        <v>6.5</v>
      </c>
      <c r="R441" s="6">
        <f>DAY(SuperMarket_Analysis[[#This Row],[Date]])</f>
        <v>26</v>
      </c>
      <c r="S441" s="6" t="str">
        <f>TEXT(SuperMarket_Analysis[[#This Row],[Date]],"mmmm")</f>
        <v>March</v>
      </c>
      <c r="T441" s="6">
        <f>YEAR(SuperMarket_Analysis[[#This Row],[Date]])</f>
        <v>2019</v>
      </c>
    </row>
    <row r="442" spans="1:20" x14ac:dyDescent="0.3">
      <c r="A442" t="s">
        <v>473</v>
      </c>
      <c r="B442" t="s">
        <v>22</v>
      </c>
      <c r="C442" t="s">
        <v>23</v>
      </c>
      <c r="D442" t="s">
        <v>17</v>
      </c>
      <c r="E442" t="s">
        <v>174</v>
      </c>
      <c r="F442" t="s">
        <v>40</v>
      </c>
      <c r="G442" s="3">
        <v>17.440000000000001</v>
      </c>
      <c r="H442" s="6">
        <v>5</v>
      </c>
      <c r="I442" s="3">
        <v>4.3600000000000003</v>
      </c>
      <c r="J442" s="3">
        <v>91.56</v>
      </c>
      <c r="K442" s="2">
        <v>43485</v>
      </c>
      <c r="L442" s="1">
        <v>0.80902777777777779</v>
      </c>
      <c r="M442" t="s">
        <v>26</v>
      </c>
      <c r="N442" s="3">
        <v>87.2</v>
      </c>
      <c r="O442" s="4">
        <v>4.7619047620000003</v>
      </c>
      <c r="P442" s="5">
        <v>4.3600000000000003</v>
      </c>
      <c r="Q442">
        <v>8.1</v>
      </c>
      <c r="R442" s="6">
        <f>DAY(SuperMarket_Analysis[[#This Row],[Date]])</f>
        <v>20</v>
      </c>
      <c r="S442" s="6" t="str">
        <f>TEXT(SuperMarket_Analysis[[#This Row],[Date]],"mmmm")</f>
        <v>January</v>
      </c>
      <c r="T442" s="6">
        <f>YEAR(SuperMarket_Analysis[[#This Row],[Date]])</f>
        <v>2019</v>
      </c>
    </row>
    <row r="443" spans="1:20" x14ac:dyDescent="0.3">
      <c r="A443" t="s">
        <v>474</v>
      </c>
      <c r="B443" t="s">
        <v>38</v>
      </c>
      <c r="C443" t="s">
        <v>39</v>
      </c>
      <c r="D443" t="s">
        <v>17</v>
      </c>
      <c r="E443" t="s">
        <v>18</v>
      </c>
      <c r="F443" t="s">
        <v>32</v>
      </c>
      <c r="G443" s="3">
        <v>88.43</v>
      </c>
      <c r="H443" s="6">
        <v>8</v>
      </c>
      <c r="I443" s="3">
        <v>35.372</v>
      </c>
      <c r="J443" s="3">
        <v>742.81200000000001</v>
      </c>
      <c r="K443" s="2">
        <v>43509</v>
      </c>
      <c r="L443" s="1">
        <v>0.81597222222222221</v>
      </c>
      <c r="M443" t="s">
        <v>29</v>
      </c>
      <c r="N443" s="3">
        <v>707.44</v>
      </c>
      <c r="O443" s="4">
        <v>4.7619047620000003</v>
      </c>
      <c r="P443" s="5">
        <v>35.372</v>
      </c>
      <c r="Q443">
        <v>4.3</v>
      </c>
      <c r="R443" s="6">
        <f>DAY(SuperMarket_Analysis[[#This Row],[Date]])</f>
        <v>13</v>
      </c>
      <c r="S443" s="6" t="str">
        <f>TEXT(SuperMarket_Analysis[[#This Row],[Date]],"mmmm")</f>
        <v>February</v>
      </c>
      <c r="T443" s="6">
        <f>YEAR(SuperMarket_Analysis[[#This Row],[Date]])</f>
        <v>2019</v>
      </c>
    </row>
    <row r="444" spans="1:20" x14ac:dyDescent="0.3">
      <c r="A444" t="s">
        <v>475</v>
      </c>
      <c r="B444" t="s">
        <v>15</v>
      </c>
      <c r="C444" t="s">
        <v>16</v>
      </c>
      <c r="D444" t="s">
        <v>17</v>
      </c>
      <c r="E444" t="s">
        <v>18</v>
      </c>
      <c r="F444" t="s">
        <v>28</v>
      </c>
      <c r="G444" s="3">
        <v>89.21</v>
      </c>
      <c r="H444" s="6">
        <v>9</v>
      </c>
      <c r="I444" s="3">
        <v>40.144500000000001</v>
      </c>
      <c r="J444" s="3">
        <v>843.03449999999998</v>
      </c>
      <c r="K444" s="2">
        <v>43540</v>
      </c>
      <c r="L444" s="1">
        <v>0.65416666666666667</v>
      </c>
      <c r="M444" t="s">
        <v>29</v>
      </c>
      <c r="N444" s="3">
        <v>802.89</v>
      </c>
      <c r="O444" s="4">
        <v>4.7619047620000003</v>
      </c>
      <c r="P444" s="5">
        <v>40.144500000000001</v>
      </c>
      <c r="Q444">
        <v>6.5</v>
      </c>
      <c r="R444" s="6">
        <f>DAY(SuperMarket_Analysis[[#This Row],[Date]])</f>
        <v>16</v>
      </c>
      <c r="S444" s="6" t="str">
        <f>TEXT(SuperMarket_Analysis[[#This Row],[Date]],"mmmm")</f>
        <v>March</v>
      </c>
      <c r="T444" s="6">
        <f>YEAR(SuperMarket_Analysis[[#This Row],[Date]])</f>
        <v>2019</v>
      </c>
    </row>
    <row r="445" spans="1:20" x14ac:dyDescent="0.3">
      <c r="A445" t="s">
        <v>476</v>
      </c>
      <c r="B445" t="s">
        <v>22</v>
      </c>
      <c r="C445" t="s">
        <v>23</v>
      </c>
      <c r="D445" t="s">
        <v>24</v>
      </c>
      <c r="E445" t="s">
        <v>174</v>
      </c>
      <c r="F445" t="s">
        <v>42</v>
      </c>
      <c r="G445" s="3">
        <v>12.78</v>
      </c>
      <c r="H445" s="6">
        <v>1</v>
      </c>
      <c r="I445" s="3">
        <v>0.63900000000000001</v>
      </c>
      <c r="J445" s="3">
        <v>13.419</v>
      </c>
      <c r="K445" s="2">
        <v>43480</v>
      </c>
      <c r="L445" s="1">
        <v>0.59097222222222223</v>
      </c>
      <c r="M445" t="s">
        <v>20</v>
      </c>
      <c r="N445" s="3">
        <v>12.78</v>
      </c>
      <c r="O445" s="4">
        <v>4.7619047620000003</v>
      </c>
      <c r="P445" s="5">
        <v>0.63900000000000001</v>
      </c>
      <c r="Q445">
        <v>9.5</v>
      </c>
      <c r="R445" s="6">
        <f>DAY(SuperMarket_Analysis[[#This Row],[Date]])</f>
        <v>15</v>
      </c>
      <c r="S445" s="6" t="str">
        <f>TEXT(SuperMarket_Analysis[[#This Row],[Date]],"mmmm")</f>
        <v>January</v>
      </c>
      <c r="T445" s="6">
        <f>YEAR(SuperMarket_Analysis[[#This Row],[Date]])</f>
        <v>2019</v>
      </c>
    </row>
    <row r="446" spans="1:20" x14ac:dyDescent="0.3">
      <c r="A446" t="s">
        <v>477</v>
      </c>
      <c r="B446" t="s">
        <v>15</v>
      </c>
      <c r="C446" t="s">
        <v>16</v>
      </c>
      <c r="D446" t="s">
        <v>24</v>
      </c>
      <c r="E446" t="s">
        <v>18</v>
      </c>
      <c r="F446" t="s">
        <v>32</v>
      </c>
      <c r="G446" s="3">
        <v>19.100000000000001</v>
      </c>
      <c r="H446" s="6">
        <v>7</v>
      </c>
      <c r="I446" s="3">
        <v>6.6849999999999996</v>
      </c>
      <c r="J446" s="3">
        <v>140.38499999999999</v>
      </c>
      <c r="K446" s="2">
        <v>43522</v>
      </c>
      <c r="L446" s="1">
        <v>0.4465277777777778</v>
      </c>
      <c r="M446" t="s">
        <v>26</v>
      </c>
      <c r="N446" s="3">
        <v>133.69999999999999</v>
      </c>
      <c r="O446" s="4">
        <v>4.7619047620000003</v>
      </c>
      <c r="P446" s="5">
        <v>6.6849999999999996</v>
      </c>
      <c r="Q446">
        <v>9.6999999999999993</v>
      </c>
      <c r="R446" s="6">
        <f>DAY(SuperMarket_Analysis[[#This Row],[Date]])</f>
        <v>26</v>
      </c>
      <c r="S446" s="6" t="str">
        <f>TEXT(SuperMarket_Analysis[[#This Row],[Date]],"mmmm")</f>
        <v>February</v>
      </c>
      <c r="T446" s="6">
        <f>YEAR(SuperMarket_Analysis[[#This Row],[Date]])</f>
        <v>2019</v>
      </c>
    </row>
    <row r="447" spans="1:20" x14ac:dyDescent="0.3">
      <c r="A447" t="s">
        <v>478</v>
      </c>
      <c r="B447" t="s">
        <v>38</v>
      </c>
      <c r="C447" t="s">
        <v>39</v>
      </c>
      <c r="D447" t="s">
        <v>17</v>
      </c>
      <c r="E447" t="s">
        <v>18</v>
      </c>
      <c r="F447" t="s">
        <v>19</v>
      </c>
      <c r="G447" s="3">
        <v>19.149999999999999</v>
      </c>
      <c r="H447" s="6">
        <v>1</v>
      </c>
      <c r="I447" s="3">
        <v>0.95750000000000002</v>
      </c>
      <c r="J447" s="3">
        <v>20.107500000000002</v>
      </c>
      <c r="K447" s="2">
        <v>43523</v>
      </c>
      <c r="L447" s="1">
        <v>0.74861111111111112</v>
      </c>
      <c r="M447" t="s">
        <v>29</v>
      </c>
      <c r="N447" s="3">
        <v>19.149999999999999</v>
      </c>
      <c r="O447" s="4">
        <v>4.7619047620000003</v>
      </c>
      <c r="P447" s="5">
        <v>0.95750000000000002</v>
      </c>
      <c r="Q447">
        <v>9.5</v>
      </c>
      <c r="R447" s="6">
        <f>DAY(SuperMarket_Analysis[[#This Row],[Date]])</f>
        <v>27</v>
      </c>
      <c r="S447" s="6" t="str">
        <f>TEXT(SuperMarket_Analysis[[#This Row],[Date]],"mmmm")</f>
        <v>February</v>
      </c>
      <c r="T447" s="6">
        <f>YEAR(SuperMarket_Analysis[[#This Row],[Date]])</f>
        <v>2019</v>
      </c>
    </row>
    <row r="448" spans="1:20" x14ac:dyDescent="0.3">
      <c r="A448" t="s">
        <v>479</v>
      </c>
      <c r="B448" t="s">
        <v>22</v>
      </c>
      <c r="C448" t="s">
        <v>23</v>
      </c>
      <c r="D448" t="s">
        <v>17</v>
      </c>
      <c r="E448" t="s">
        <v>174</v>
      </c>
      <c r="F448" t="s">
        <v>40</v>
      </c>
      <c r="G448" s="3">
        <v>27.66</v>
      </c>
      <c r="H448" s="6">
        <v>10</v>
      </c>
      <c r="I448" s="3">
        <v>13.83</v>
      </c>
      <c r="J448" s="3">
        <v>290.43</v>
      </c>
      <c r="K448" s="2">
        <v>43513</v>
      </c>
      <c r="L448" s="1">
        <v>0.47638888888888886</v>
      </c>
      <c r="M448" t="s">
        <v>29</v>
      </c>
      <c r="N448" s="3">
        <v>276.60000000000002</v>
      </c>
      <c r="O448" s="4">
        <v>4.7619047620000003</v>
      </c>
      <c r="P448" s="5">
        <v>13.83</v>
      </c>
      <c r="Q448">
        <v>8.9</v>
      </c>
      <c r="R448" s="6">
        <f>DAY(SuperMarket_Analysis[[#This Row],[Date]])</f>
        <v>17</v>
      </c>
      <c r="S448" s="6" t="str">
        <f>TEXT(SuperMarket_Analysis[[#This Row],[Date]],"mmmm")</f>
        <v>February</v>
      </c>
      <c r="T448" s="6">
        <f>YEAR(SuperMarket_Analysis[[#This Row],[Date]])</f>
        <v>2019</v>
      </c>
    </row>
    <row r="449" spans="1:20" x14ac:dyDescent="0.3">
      <c r="A449" t="s">
        <v>480</v>
      </c>
      <c r="B449" t="s">
        <v>22</v>
      </c>
      <c r="C449" t="s">
        <v>23</v>
      </c>
      <c r="D449" t="s">
        <v>24</v>
      </c>
      <c r="E449" t="s">
        <v>174</v>
      </c>
      <c r="F449" t="s">
        <v>42</v>
      </c>
      <c r="G449" s="3">
        <v>45.74</v>
      </c>
      <c r="H449" s="6">
        <v>3</v>
      </c>
      <c r="I449" s="3">
        <v>6.8609999999999998</v>
      </c>
      <c r="J449" s="3">
        <v>144.08099999999999</v>
      </c>
      <c r="K449" s="2">
        <v>43482</v>
      </c>
      <c r="L449" s="1">
        <v>0.73472222222222228</v>
      </c>
      <c r="M449" t="s">
        <v>29</v>
      </c>
      <c r="N449" s="3">
        <v>137.22</v>
      </c>
      <c r="O449" s="4">
        <v>4.7619047620000003</v>
      </c>
      <c r="P449" s="5">
        <v>6.8609999999999998</v>
      </c>
      <c r="Q449">
        <v>6.5</v>
      </c>
      <c r="R449" s="6">
        <f>DAY(SuperMarket_Analysis[[#This Row],[Date]])</f>
        <v>17</v>
      </c>
      <c r="S449" s="6" t="str">
        <f>TEXT(SuperMarket_Analysis[[#This Row],[Date]],"mmmm")</f>
        <v>January</v>
      </c>
      <c r="T449" s="6">
        <f>YEAR(SuperMarket_Analysis[[#This Row],[Date]])</f>
        <v>2019</v>
      </c>
    </row>
    <row r="450" spans="1:20" x14ac:dyDescent="0.3">
      <c r="A450" t="s">
        <v>481</v>
      </c>
      <c r="B450" t="s">
        <v>38</v>
      </c>
      <c r="C450" t="s">
        <v>39</v>
      </c>
      <c r="D450" t="s">
        <v>17</v>
      </c>
      <c r="E450" t="s">
        <v>18</v>
      </c>
      <c r="F450" t="s">
        <v>19</v>
      </c>
      <c r="G450" s="3">
        <v>27.07</v>
      </c>
      <c r="H450" s="6">
        <v>1</v>
      </c>
      <c r="I450" s="3">
        <v>1.3534999999999999</v>
      </c>
      <c r="J450" s="3">
        <v>28.423500000000001</v>
      </c>
      <c r="K450" s="2">
        <v>43487</v>
      </c>
      <c r="L450" s="1">
        <v>0.83819444444444446</v>
      </c>
      <c r="M450" t="s">
        <v>29</v>
      </c>
      <c r="N450" s="3">
        <v>27.07</v>
      </c>
      <c r="O450" s="4">
        <v>4.7619047620000003</v>
      </c>
      <c r="P450" s="5">
        <v>1.3534999999999999</v>
      </c>
      <c r="Q450">
        <v>5.3</v>
      </c>
      <c r="R450" s="6">
        <f>DAY(SuperMarket_Analysis[[#This Row],[Date]])</f>
        <v>22</v>
      </c>
      <c r="S450" s="6" t="str">
        <f>TEXT(SuperMarket_Analysis[[#This Row],[Date]],"mmmm")</f>
        <v>January</v>
      </c>
      <c r="T450" s="6">
        <f>YEAR(SuperMarket_Analysis[[#This Row],[Date]])</f>
        <v>2019</v>
      </c>
    </row>
    <row r="451" spans="1:20" x14ac:dyDescent="0.3">
      <c r="A451" t="s">
        <v>482</v>
      </c>
      <c r="B451" t="s">
        <v>38</v>
      </c>
      <c r="C451" t="s">
        <v>39</v>
      </c>
      <c r="D451" t="s">
        <v>17</v>
      </c>
      <c r="E451" t="s">
        <v>18</v>
      </c>
      <c r="F451" t="s">
        <v>32</v>
      </c>
      <c r="G451" s="3">
        <v>39.119999999999997</v>
      </c>
      <c r="H451" s="6">
        <v>1</v>
      </c>
      <c r="I451" s="3">
        <v>1.956</v>
      </c>
      <c r="J451" s="3">
        <v>41.076000000000001</v>
      </c>
      <c r="K451" s="2">
        <v>43544</v>
      </c>
      <c r="L451" s="1">
        <v>0.4597222222222222</v>
      </c>
      <c r="M451" t="s">
        <v>29</v>
      </c>
      <c r="N451" s="3">
        <v>39.119999999999997</v>
      </c>
      <c r="O451" s="4">
        <v>4.7619047620000003</v>
      </c>
      <c r="P451" s="5">
        <v>1.956</v>
      </c>
      <c r="Q451">
        <v>9.6</v>
      </c>
      <c r="R451" s="6">
        <f>DAY(SuperMarket_Analysis[[#This Row],[Date]])</f>
        <v>20</v>
      </c>
      <c r="S451" s="6" t="str">
        <f>TEXT(SuperMarket_Analysis[[#This Row],[Date]],"mmmm")</f>
        <v>March</v>
      </c>
      <c r="T451" s="6">
        <f>YEAR(SuperMarket_Analysis[[#This Row],[Date]])</f>
        <v>2019</v>
      </c>
    </row>
    <row r="452" spans="1:20" x14ac:dyDescent="0.3">
      <c r="A452" t="s">
        <v>483</v>
      </c>
      <c r="B452" t="s">
        <v>38</v>
      </c>
      <c r="C452" t="s">
        <v>39</v>
      </c>
      <c r="D452" t="s">
        <v>24</v>
      </c>
      <c r="E452" t="s">
        <v>18</v>
      </c>
      <c r="F452" t="s">
        <v>25</v>
      </c>
      <c r="G452" s="3">
        <v>74.709999999999994</v>
      </c>
      <c r="H452" s="6">
        <v>6</v>
      </c>
      <c r="I452" s="3">
        <v>22.413</v>
      </c>
      <c r="J452" s="3">
        <v>470.673</v>
      </c>
      <c r="K452" s="2">
        <v>43496</v>
      </c>
      <c r="L452" s="1">
        <v>0.79652777777777772</v>
      </c>
      <c r="M452" t="s">
        <v>26</v>
      </c>
      <c r="N452" s="3">
        <v>448.26</v>
      </c>
      <c r="O452" s="4">
        <v>4.7619047620000003</v>
      </c>
      <c r="P452" s="5">
        <v>22.413</v>
      </c>
      <c r="Q452">
        <v>6.7</v>
      </c>
      <c r="R452" s="6">
        <f>DAY(SuperMarket_Analysis[[#This Row],[Date]])</f>
        <v>31</v>
      </c>
      <c r="S452" s="6" t="str">
        <f>TEXT(SuperMarket_Analysis[[#This Row],[Date]],"mmmm")</f>
        <v>January</v>
      </c>
      <c r="T452" s="6">
        <f>YEAR(SuperMarket_Analysis[[#This Row],[Date]])</f>
        <v>2019</v>
      </c>
    </row>
    <row r="453" spans="1:20" x14ac:dyDescent="0.3">
      <c r="A453" t="s">
        <v>484</v>
      </c>
      <c r="B453" t="s">
        <v>38</v>
      </c>
      <c r="C453" t="s">
        <v>39</v>
      </c>
      <c r="D453" t="s">
        <v>24</v>
      </c>
      <c r="E453" t="s">
        <v>174</v>
      </c>
      <c r="F453" t="s">
        <v>25</v>
      </c>
      <c r="G453" s="3">
        <v>22.01</v>
      </c>
      <c r="H453" s="6">
        <v>6</v>
      </c>
      <c r="I453" s="3">
        <v>6.6029999999999998</v>
      </c>
      <c r="J453" s="3">
        <v>138.66300000000001</v>
      </c>
      <c r="K453" s="2">
        <v>43515</v>
      </c>
      <c r="L453" s="1">
        <v>0.78472222222222221</v>
      </c>
      <c r="M453" t="s">
        <v>26</v>
      </c>
      <c r="N453" s="3">
        <v>132.06</v>
      </c>
      <c r="O453" s="4">
        <v>4.7619047620000003</v>
      </c>
      <c r="P453" s="5">
        <v>6.6029999999999998</v>
      </c>
      <c r="Q453">
        <v>7.6</v>
      </c>
      <c r="R453" s="6">
        <f>DAY(SuperMarket_Analysis[[#This Row],[Date]])</f>
        <v>19</v>
      </c>
      <c r="S453" s="6" t="str">
        <f>TEXT(SuperMarket_Analysis[[#This Row],[Date]],"mmmm")</f>
        <v>February</v>
      </c>
      <c r="T453" s="6">
        <f>YEAR(SuperMarket_Analysis[[#This Row],[Date]])</f>
        <v>2019</v>
      </c>
    </row>
    <row r="454" spans="1:20" x14ac:dyDescent="0.3">
      <c r="A454" t="s">
        <v>485</v>
      </c>
      <c r="B454" t="s">
        <v>15</v>
      </c>
      <c r="C454" t="s">
        <v>16</v>
      </c>
      <c r="D454" t="s">
        <v>24</v>
      </c>
      <c r="E454" t="s">
        <v>18</v>
      </c>
      <c r="F454" t="s">
        <v>40</v>
      </c>
      <c r="G454" s="3">
        <v>63.61</v>
      </c>
      <c r="H454" s="6">
        <v>5</v>
      </c>
      <c r="I454" s="3">
        <v>15.9025</v>
      </c>
      <c r="J454" s="3">
        <v>333.95249999999999</v>
      </c>
      <c r="K454" s="2">
        <v>43520</v>
      </c>
      <c r="L454" s="1">
        <v>0.52986111111111112</v>
      </c>
      <c r="M454" t="s">
        <v>20</v>
      </c>
      <c r="N454" s="3">
        <v>318.05</v>
      </c>
      <c r="O454" s="4">
        <v>4.7619047620000003</v>
      </c>
      <c r="P454" s="5">
        <v>15.9025</v>
      </c>
      <c r="Q454">
        <v>4.8</v>
      </c>
      <c r="R454" s="6">
        <f>DAY(SuperMarket_Analysis[[#This Row],[Date]])</f>
        <v>24</v>
      </c>
      <c r="S454" s="6" t="str">
        <f>TEXT(SuperMarket_Analysis[[#This Row],[Date]],"mmmm")</f>
        <v>February</v>
      </c>
      <c r="T454" s="6">
        <f>YEAR(SuperMarket_Analysis[[#This Row],[Date]])</f>
        <v>2019</v>
      </c>
    </row>
    <row r="455" spans="1:20" x14ac:dyDescent="0.3">
      <c r="A455" t="s">
        <v>486</v>
      </c>
      <c r="B455" t="s">
        <v>15</v>
      </c>
      <c r="C455" t="s">
        <v>16</v>
      </c>
      <c r="D455" t="s">
        <v>24</v>
      </c>
      <c r="E455" t="s">
        <v>174</v>
      </c>
      <c r="F455" t="s">
        <v>19</v>
      </c>
      <c r="G455" s="3">
        <v>25</v>
      </c>
      <c r="H455" s="6">
        <v>1</v>
      </c>
      <c r="I455" s="3">
        <v>1.25</v>
      </c>
      <c r="J455" s="3">
        <v>26.25</v>
      </c>
      <c r="K455" s="2">
        <v>43515</v>
      </c>
      <c r="L455" s="1">
        <v>0.63124999999999998</v>
      </c>
      <c r="M455" t="s">
        <v>20</v>
      </c>
      <c r="N455" s="3">
        <v>25</v>
      </c>
      <c r="O455" s="4">
        <v>4.7619047620000003</v>
      </c>
      <c r="P455" s="5">
        <v>1.25</v>
      </c>
      <c r="Q455">
        <v>5.5</v>
      </c>
      <c r="R455" s="6">
        <f>DAY(SuperMarket_Analysis[[#This Row],[Date]])</f>
        <v>19</v>
      </c>
      <c r="S455" s="6" t="str">
        <f>TEXT(SuperMarket_Analysis[[#This Row],[Date]],"mmmm")</f>
        <v>February</v>
      </c>
      <c r="T455" s="6">
        <f>YEAR(SuperMarket_Analysis[[#This Row],[Date]])</f>
        <v>2019</v>
      </c>
    </row>
    <row r="456" spans="1:20" x14ac:dyDescent="0.3">
      <c r="A456" t="s">
        <v>487</v>
      </c>
      <c r="B456" t="s">
        <v>15</v>
      </c>
      <c r="C456" t="s">
        <v>16</v>
      </c>
      <c r="D456" t="s">
        <v>17</v>
      </c>
      <c r="E456" t="s">
        <v>174</v>
      </c>
      <c r="F456" t="s">
        <v>25</v>
      </c>
      <c r="G456" s="3">
        <v>20.77</v>
      </c>
      <c r="H456" s="6">
        <v>4</v>
      </c>
      <c r="I456" s="3">
        <v>4.1539999999999999</v>
      </c>
      <c r="J456" s="3">
        <v>87.233999999999995</v>
      </c>
      <c r="K456" s="2">
        <v>43488</v>
      </c>
      <c r="L456" s="1">
        <v>0.57430555555555551</v>
      </c>
      <c r="M456" t="s">
        <v>26</v>
      </c>
      <c r="N456" s="3">
        <v>83.08</v>
      </c>
      <c r="O456" s="4">
        <v>4.7619047620000003</v>
      </c>
      <c r="P456" s="5">
        <v>4.1539999999999999</v>
      </c>
      <c r="Q456">
        <v>4.7</v>
      </c>
      <c r="R456" s="6">
        <f>DAY(SuperMarket_Analysis[[#This Row],[Date]])</f>
        <v>23</v>
      </c>
      <c r="S456" s="6" t="str">
        <f>TEXT(SuperMarket_Analysis[[#This Row],[Date]],"mmmm")</f>
        <v>January</v>
      </c>
      <c r="T456" s="6">
        <f>YEAR(SuperMarket_Analysis[[#This Row],[Date]])</f>
        <v>2019</v>
      </c>
    </row>
    <row r="457" spans="1:20" x14ac:dyDescent="0.3">
      <c r="A457" t="s">
        <v>488</v>
      </c>
      <c r="B457" t="s">
        <v>38</v>
      </c>
      <c r="C457" t="s">
        <v>39</v>
      </c>
      <c r="D457" t="s">
        <v>17</v>
      </c>
      <c r="E457" t="s">
        <v>18</v>
      </c>
      <c r="F457" t="s">
        <v>42</v>
      </c>
      <c r="G457" s="3">
        <v>29.56</v>
      </c>
      <c r="H457" s="6">
        <v>5</v>
      </c>
      <c r="I457" s="3">
        <v>7.39</v>
      </c>
      <c r="J457" s="3">
        <v>155.19</v>
      </c>
      <c r="K457" s="2">
        <v>43479</v>
      </c>
      <c r="L457" s="1">
        <v>0.70763888888888893</v>
      </c>
      <c r="M457" t="s">
        <v>26</v>
      </c>
      <c r="N457" s="3">
        <v>147.80000000000001</v>
      </c>
      <c r="O457" s="4">
        <v>4.7619047620000003</v>
      </c>
      <c r="P457" s="5">
        <v>7.39</v>
      </c>
      <c r="Q457">
        <v>6.9</v>
      </c>
      <c r="R457" s="6">
        <f>DAY(SuperMarket_Analysis[[#This Row],[Date]])</f>
        <v>14</v>
      </c>
      <c r="S457" s="6" t="str">
        <f>TEXT(SuperMarket_Analysis[[#This Row],[Date]],"mmmm")</f>
        <v>January</v>
      </c>
      <c r="T457" s="6">
        <f>YEAR(SuperMarket_Analysis[[#This Row],[Date]])</f>
        <v>2019</v>
      </c>
    </row>
    <row r="458" spans="1:20" x14ac:dyDescent="0.3">
      <c r="A458" t="s">
        <v>489</v>
      </c>
      <c r="B458" t="s">
        <v>38</v>
      </c>
      <c r="C458" t="s">
        <v>39</v>
      </c>
      <c r="D458" t="s">
        <v>17</v>
      </c>
      <c r="E458" t="s">
        <v>18</v>
      </c>
      <c r="F458" t="s">
        <v>40</v>
      </c>
      <c r="G458" s="3">
        <v>77.400000000000006</v>
      </c>
      <c r="H458" s="6">
        <v>9</v>
      </c>
      <c r="I458" s="3">
        <v>34.83</v>
      </c>
      <c r="J458" s="3">
        <v>731.43</v>
      </c>
      <c r="K458" s="2">
        <v>43482</v>
      </c>
      <c r="L458" s="1">
        <v>0.59375</v>
      </c>
      <c r="M458" t="s">
        <v>29</v>
      </c>
      <c r="N458" s="3">
        <v>696.6</v>
      </c>
      <c r="O458" s="4">
        <v>4.7619047620000003</v>
      </c>
      <c r="P458" s="5">
        <v>34.83</v>
      </c>
      <c r="Q458">
        <v>4.5</v>
      </c>
      <c r="R458" s="6">
        <f>DAY(SuperMarket_Analysis[[#This Row],[Date]])</f>
        <v>17</v>
      </c>
      <c r="S458" s="6" t="str">
        <f>TEXT(SuperMarket_Analysis[[#This Row],[Date]],"mmmm")</f>
        <v>January</v>
      </c>
      <c r="T458" s="6">
        <f>YEAR(SuperMarket_Analysis[[#This Row],[Date]])</f>
        <v>2019</v>
      </c>
    </row>
    <row r="459" spans="1:20" x14ac:dyDescent="0.3">
      <c r="A459" t="s">
        <v>490</v>
      </c>
      <c r="B459" t="s">
        <v>38</v>
      </c>
      <c r="C459" t="s">
        <v>39</v>
      </c>
      <c r="D459" t="s">
        <v>24</v>
      </c>
      <c r="E459" t="s">
        <v>174</v>
      </c>
      <c r="F459" t="s">
        <v>25</v>
      </c>
      <c r="G459" s="3">
        <v>79.39</v>
      </c>
      <c r="H459" s="6">
        <v>10</v>
      </c>
      <c r="I459" s="3">
        <v>39.695</v>
      </c>
      <c r="J459" s="3">
        <v>833.59500000000003</v>
      </c>
      <c r="K459" s="2">
        <v>43511</v>
      </c>
      <c r="L459" s="1">
        <v>0.85</v>
      </c>
      <c r="M459" t="s">
        <v>26</v>
      </c>
      <c r="N459" s="3">
        <v>793.9</v>
      </c>
      <c r="O459" s="4">
        <v>4.7619047620000003</v>
      </c>
      <c r="P459" s="5">
        <v>39.695</v>
      </c>
      <c r="Q459">
        <v>6.2</v>
      </c>
      <c r="R459" s="6">
        <f>DAY(SuperMarket_Analysis[[#This Row],[Date]])</f>
        <v>15</v>
      </c>
      <c r="S459" s="6" t="str">
        <f>TEXT(SuperMarket_Analysis[[#This Row],[Date]],"mmmm")</f>
        <v>February</v>
      </c>
      <c r="T459" s="6">
        <f>YEAR(SuperMarket_Analysis[[#This Row],[Date]])</f>
        <v>2019</v>
      </c>
    </row>
    <row r="460" spans="1:20" x14ac:dyDescent="0.3">
      <c r="A460" t="s">
        <v>491</v>
      </c>
      <c r="B460" t="s">
        <v>22</v>
      </c>
      <c r="C460" t="s">
        <v>23</v>
      </c>
      <c r="D460" t="s">
        <v>17</v>
      </c>
      <c r="E460" t="s">
        <v>18</v>
      </c>
      <c r="F460" t="s">
        <v>25</v>
      </c>
      <c r="G460" s="3">
        <v>46.57</v>
      </c>
      <c r="H460" s="6">
        <v>10</v>
      </c>
      <c r="I460" s="3">
        <v>23.285</v>
      </c>
      <c r="J460" s="3">
        <v>488.98500000000001</v>
      </c>
      <c r="K460" s="2">
        <v>43480</v>
      </c>
      <c r="L460" s="1">
        <v>0.58194444444444449</v>
      </c>
      <c r="M460" t="s">
        <v>26</v>
      </c>
      <c r="N460" s="3">
        <v>465.7</v>
      </c>
      <c r="O460" s="4">
        <v>4.7619047620000003</v>
      </c>
      <c r="P460" s="5">
        <v>23.285</v>
      </c>
      <c r="Q460">
        <v>7.6</v>
      </c>
      <c r="R460" s="6">
        <f>DAY(SuperMarket_Analysis[[#This Row],[Date]])</f>
        <v>15</v>
      </c>
      <c r="S460" s="6" t="str">
        <f>TEXT(SuperMarket_Analysis[[#This Row],[Date]],"mmmm")</f>
        <v>January</v>
      </c>
      <c r="T460" s="6">
        <f>YEAR(SuperMarket_Analysis[[#This Row],[Date]])</f>
        <v>2019</v>
      </c>
    </row>
    <row r="461" spans="1:20" x14ac:dyDescent="0.3">
      <c r="A461" t="s">
        <v>492</v>
      </c>
      <c r="B461" t="s">
        <v>22</v>
      </c>
      <c r="C461" t="s">
        <v>23</v>
      </c>
      <c r="D461" t="s">
        <v>24</v>
      </c>
      <c r="E461" t="s">
        <v>174</v>
      </c>
      <c r="F461" t="s">
        <v>40</v>
      </c>
      <c r="G461" s="3">
        <v>35.89</v>
      </c>
      <c r="H461" s="6">
        <v>1</v>
      </c>
      <c r="I461" s="3">
        <v>1.7945</v>
      </c>
      <c r="J461" s="3">
        <v>37.6845</v>
      </c>
      <c r="K461" s="2">
        <v>43523</v>
      </c>
      <c r="L461" s="1">
        <v>0.70277777777777772</v>
      </c>
      <c r="M461" t="s">
        <v>29</v>
      </c>
      <c r="N461" s="3">
        <v>35.89</v>
      </c>
      <c r="O461" s="4">
        <v>4.7619047620000003</v>
      </c>
      <c r="P461" s="5">
        <v>1.7945</v>
      </c>
      <c r="Q461">
        <v>7.9</v>
      </c>
      <c r="R461" s="6">
        <f>DAY(SuperMarket_Analysis[[#This Row],[Date]])</f>
        <v>27</v>
      </c>
      <c r="S461" s="6" t="str">
        <f>TEXT(SuperMarket_Analysis[[#This Row],[Date]],"mmmm")</f>
        <v>February</v>
      </c>
      <c r="T461" s="6">
        <f>YEAR(SuperMarket_Analysis[[#This Row],[Date]])</f>
        <v>2019</v>
      </c>
    </row>
    <row r="462" spans="1:20" x14ac:dyDescent="0.3">
      <c r="A462" t="s">
        <v>493</v>
      </c>
      <c r="B462" t="s">
        <v>22</v>
      </c>
      <c r="C462" t="s">
        <v>23</v>
      </c>
      <c r="D462" t="s">
        <v>24</v>
      </c>
      <c r="E462" t="s">
        <v>174</v>
      </c>
      <c r="F462" t="s">
        <v>40</v>
      </c>
      <c r="G462" s="3">
        <v>40.520000000000003</v>
      </c>
      <c r="H462" s="6">
        <v>5</v>
      </c>
      <c r="I462" s="3">
        <v>10.130000000000001</v>
      </c>
      <c r="J462" s="3">
        <v>212.73</v>
      </c>
      <c r="K462" s="2">
        <v>43522</v>
      </c>
      <c r="L462" s="1">
        <v>0.6381944444444444</v>
      </c>
      <c r="M462" t="s">
        <v>26</v>
      </c>
      <c r="N462" s="3">
        <v>202.6</v>
      </c>
      <c r="O462" s="4">
        <v>4.7619047620000003</v>
      </c>
      <c r="P462" s="5">
        <v>10.130000000000001</v>
      </c>
      <c r="Q462">
        <v>4.5</v>
      </c>
      <c r="R462" s="6">
        <f>DAY(SuperMarket_Analysis[[#This Row],[Date]])</f>
        <v>26</v>
      </c>
      <c r="S462" s="6" t="str">
        <f>TEXT(SuperMarket_Analysis[[#This Row],[Date]],"mmmm")</f>
        <v>February</v>
      </c>
      <c r="T462" s="6">
        <f>YEAR(SuperMarket_Analysis[[#This Row],[Date]])</f>
        <v>2019</v>
      </c>
    </row>
    <row r="463" spans="1:20" x14ac:dyDescent="0.3">
      <c r="A463" t="s">
        <v>494</v>
      </c>
      <c r="B463" t="s">
        <v>38</v>
      </c>
      <c r="C463" t="s">
        <v>39</v>
      </c>
      <c r="D463" t="s">
        <v>17</v>
      </c>
      <c r="E463" t="s">
        <v>18</v>
      </c>
      <c r="F463" t="s">
        <v>40</v>
      </c>
      <c r="G463" s="3">
        <v>73.05</v>
      </c>
      <c r="H463" s="6">
        <v>10</v>
      </c>
      <c r="I463" s="3">
        <v>36.524999999999999</v>
      </c>
      <c r="J463" s="3">
        <v>767.02499999999998</v>
      </c>
      <c r="K463" s="2">
        <v>43539</v>
      </c>
      <c r="L463" s="1">
        <v>0.51736111111111116</v>
      </c>
      <c r="M463" t="s">
        <v>29</v>
      </c>
      <c r="N463" s="3">
        <v>730.5</v>
      </c>
      <c r="O463" s="4">
        <v>4.7619047620000003</v>
      </c>
      <c r="P463" s="5">
        <v>36.524999999999999</v>
      </c>
      <c r="Q463">
        <v>8.6999999999999993</v>
      </c>
      <c r="R463" s="6">
        <f>DAY(SuperMarket_Analysis[[#This Row],[Date]])</f>
        <v>15</v>
      </c>
      <c r="S463" s="6" t="str">
        <f>TEXT(SuperMarket_Analysis[[#This Row],[Date]],"mmmm")</f>
        <v>March</v>
      </c>
      <c r="T463" s="6">
        <f>YEAR(SuperMarket_Analysis[[#This Row],[Date]])</f>
        <v>2019</v>
      </c>
    </row>
    <row r="464" spans="1:20" x14ac:dyDescent="0.3">
      <c r="A464" t="s">
        <v>495</v>
      </c>
      <c r="B464" t="s">
        <v>22</v>
      </c>
      <c r="C464" t="s">
        <v>23</v>
      </c>
      <c r="D464" t="s">
        <v>24</v>
      </c>
      <c r="E464" t="s">
        <v>18</v>
      </c>
      <c r="F464" t="s">
        <v>32</v>
      </c>
      <c r="G464" s="3">
        <v>73.95</v>
      </c>
      <c r="H464" s="6">
        <v>4</v>
      </c>
      <c r="I464" s="3">
        <v>14.79</v>
      </c>
      <c r="J464" s="3">
        <v>310.58999999999997</v>
      </c>
      <c r="K464" s="2">
        <v>43489</v>
      </c>
      <c r="L464" s="1">
        <v>0.41805555555555557</v>
      </c>
      <c r="M464" t="s">
        <v>26</v>
      </c>
      <c r="N464" s="3">
        <v>295.8</v>
      </c>
      <c r="O464" s="4">
        <v>4.7619047620000003</v>
      </c>
      <c r="P464" s="5">
        <v>14.79</v>
      </c>
      <c r="Q464">
        <v>6.1</v>
      </c>
      <c r="R464" s="6">
        <f>DAY(SuperMarket_Analysis[[#This Row],[Date]])</f>
        <v>24</v>
      </c>
      <c r="S464" s="6" t="str">
        <f>TEXT(SuperMarket_Analysis[[#This Row],[Date]],"mmmm")</f>
        <v>January</v>
      </c>
      <c r="T464" s="6">
        <f>YEAR(SuperMarket_Analysis[[#This Row],[Date]])</f>
        <v>2019</v>
      </c>
    </row>
    <row r="465" spans="1:20" x14ac:dyDescent="0.3">
      <c r="A465" t="s">
        <v>496</v>
      </c>
      <c r="B465" t="s">
        <v>22</v>
      </c>
      <c r="C465" t="s">
        <v>23</v>
      </c>
      <c r="D465" t="s">
        <v>17</v>
      </c>
      <c r="E465" t="s">
        <v>18</v>
      </c>
      <c r="F465" t="s">
        <v>40</v>
      </c>
      <c r="G465" s="3">
        <v>22.62</v>
      </c>
      <c r="H465" s="6">
        <v>1</v>
      </c>
      <c r="I465" s="3">
        <v>1.131</v>
      </c>
      <c r="J465" s="3">
        <v>23.751000000000001</v>
      </c>
      <c r="K465" s="2">
        <v>43518</v>
      </c>
      <c r="L465" s="1">
        <v>0.79027777777777775</v>
      </c>
      <c r="M465" t="s">
        <v>26</v>
      </c>
      <c r="N465" s="3">
        <v>22.62</v>
      </c>
      <c r="O465" s="4">
        <v>4.7619047620000003</v>
      </c>
      <c r="P465" s="5">
        <v>1.131</v>
      </c>
      <c r="Q465">
        <v>6.4</v>
      </c>
      <c r="R465" s="6">
        <f>DAY(SuperMarket_Analysis[[#This Row],[Date]])</f>
        <v>22</v>
      </c>
      <c r="S465" s="6" t="str">
        <f>TEXT(SuperMarket_Analysis[[#This Row],[Date]],"mmmm")</f>
        <v>February</v>
      </c>
      <c r="T465" s="6">
        <f>YEAR(SuperMarket_Analysis[[#This Row],[Date]])</f>
        <v>2019</v>
      </c>
    </row>
    <row r="466" spans="1:20" x14ac:dyDescent="0.3">
      <c r="A466" t="s">
        <v>497</v>
      </c>
      <c r="B466" t="s">
        <v>15</v>
      </c>
      <c r="C466" t="s">
        <v>16</v>
      </c>
      <c r="D466" t="s">
        <v>17</v>
      </c>
      <c r="E466" t="s">
        <v>174</v>
      </c>
      <c r="F466" t="s">
        <v>40</v>
      </c>
      <c r="G466" s="3">
        <v>51.34</v>
      </c>
      <c r="H466" s="6">
        <v>5</v>
      </c>
      <c r="I466" s="3">
        <v>12.835000000000001</v>
      </c>
      <c r="J466" s="3">
        <v>269.53500000000003</v>
      </c>
      <c r="K466" s="2">
        <v>43539</v>
      </c>
      <c r="L466" s="1">
        <v>0.64652777777777781</v>
      </c>
      <c r="M466" t="s">
        <v>29</v>
      </c>
      <c r="N466" s="3">
        <v>256.7</v>
      </c>
      <c r="O466" s="4">
        <v>4.7619047620000003</v>
      </c>
      <c r="P466" s="5">
        <v>12.835000000000001</v>
      </c>
      <c r="Q466">
        <v>9.1</v>
      </c>
      <c r="R466" s="6">
        <f>DAY(SuperMarket_Analysis[[#This Row],[Date]])</f>
        <v>15</v>
      </c>
      <c r="S466" s="6" t="str">
        <f>TEXT(SuperMarket_Analysis[[#This Row],[Date]],"mmmm")</f>
        <v>March</v>
      </c>
      <c r="T466" s="6">
        <f>YEAR(SuperMarket_Analysis[[#This Row],[Date]])</f>
        <v>2019</v>
      </c>
    </row>
    <row r="467" spans="1:20" x14ac:dyDescent="0.3">
      <c r="A467" t="s">
        <v>498</v>
      </c>
      <c r="B467" t="s">
        <v>22</v>
      </c>
      <c r="C467" t="s">
        <v>23</v>
      </c>
      <c r="D467" t="s">
        <v>17</v>
      </c>
      <c r="E467" t="s">
        <v>18</v>
      </c>
      <c r="F467" t="s">
        <v>32</v>
      </c>
      <c r="G467" s="3">
        <v>54.55</v>
      </c>
      <c r="H467" s="6">
        <v>10</v>
      </c>
      <c r="I467" s="3">
        <v>27.274999999999999</v>
      </c>
      <c r="J467" s="3">
        <v>572.77499999999998</v>
      </c>
      <c r="K467" s="2">
        <v>43547</v>
      </c>
      <c r="L467" s="1">
        <v>0.47361111111111109</v>
      </c>
      <c r="M467" t="s">
        <v>29</v>
      </c>
      <c r="N467" s="3">
        <v>545.5</v>
      </c>
      <c r="O467" s="4">
        <v>4.7619047620000003</v>
      </c>
      <c r="P467" s="5">
        <v>27.274999999999999</v>
      </c>
      <c r="Q467">
        <v>7.1</v>
      </c>
      <c r="R467" s="6">
        <f>DAY(SuperMarket_Analysis[[#This Row],[Date]])</f>
        <v>23</v>
      </c>
      <c r="S467" s="6" t="str">
        <f>TEXT(SuperMarket_Analysis[[#This Row],[Date]],"mmmm")</f>
        <v>March</v>
      </c>
      <c r="T467" s="6">
        <f>YEAR(SuperMarket_Analysis[[#This Row],[Date]])</f>
        <v>2019</v>
      </c>
    </row>
    <row r="468" spans="1:20" x14ac:dyDescent="0.3">
      <c r="A468" t="s">
        <v>499</v>
      </c>
      <c r="B468" t="s">
        <v>22</v>
      </c>
      <c r="C468" t="s">
        <v>23</v>
      </c>
      <c r="D468" t="s">
        <v>17</v>
      </c>
      <c r="E468" t="s">
        <v>18</v>
      </c>
      <c r="F468" t="s">
        <v>19</v>
      </c>
      <c r="G468" s="3">
        <v>37.15</v>
      </c>
      <c r="H468" s="6">
        <v>7</v>
      </c>
      <c r="I468" s="3">
        <v>13.0025</v>
      </c>
      <c r="J468" s="3">
        <v>273.05250000000001</v>
      </c>
      <c r="K468" s="2">
        <v>43519</v>
      </c>
      <c r="L468" s="1">
        <v>0.55000000000000004</v>
      </c>
      <c r="M468" t="s">
        <v>29</v>
      </c>
      <c r="N468" s="3">
        <v>260.05</v>
      </c>
      <c r="O468" s="4">
        <v>4.7619047620000003</v>
      </c>
      <c r="P468" s="5">
        <v>13.0025</v>
      </c>
      <c r="Q468">
        <v>7.7</v>
      </c>
      <c r="R468" s="6">
        <f>DAY(SuperMarket_Analysis[[#This Row],[Date]])</f>
        <v>23</v>
      </c>
      <c r="S468" s="6" t="str">
        <f>TEXT(SuperMarket_Analysis[[#This Row],[Date]],"mmmm")</f>
        <v>February</v>
      </c>
      <c r="T468" s="6">
        <f>YEAR(SuperMarket_Analysis[[#This Row],[Date]])</f>
        <v>2019</v>
      </c>
    </row>
    <row r="469" spans="1:20" x14ac:dyDescent="0.3">
      <c r="A469" t="s">
        <v>500</v>
      </c>
      <c r="B469" t="s">
        <v>38</v>
      </c>
      <c r="C469" t="s">
        <v>39</v>
      </c>
      <c r="D469" t="s">
        <v>24</v>
      </c>
      <c r="E469" t="s">
        <v>174</v>
      </c>
      <c r="F469" t="s">
        <v>32</v>
      </c>
      <c r="G469" s="3">
        <v>37.020000000000003</v>
      </c>
      <c r="H469" s="6">
        <v>6</v>
      </c>
      <c r="I469" s="3">
        <v>11.106</v>
      </c>
      <c r="J469" s="3">
        <v>233.226</v>
      </c>
      <c r="K469" s="2">
        <v>43541</v>
      </c>
      <c r="L469" s="1">
        <v>0.7729166666666667</v>
      </c>
      <c r="M469" t="s">
        <v>26</v>
      </c>
      <c r="N469" s="3">
        <v>222.12</v>
      </c>
      <c r="O469" s="4">
        <v>4.7619047620000003</v>
      </c>
      <c r="P469" s="5">
        <v>11.106</v>
      </c>
      <c r="Q469">
        <v>4.5</v>
      </c>
      <c r="R469" s="6">
        <f>DAY(SuperMarket_Analysis[[#This Row],[Date]])</f>
        <v>17</v>
      </c>
      <c r="S469" s="6" t="str">
        <f>TEXT(SuperMarket_Analysis[[#This Row],[Date]],"mmmm")</f>
        <v>March</v>
      </c>
      <c r="T469" s="6">
        <f>YEAR(SuperMarket_Analysis[[#This Row],[Date]])</f>
        <v>2019</v>
      </c>
    </row>
    <row r="470" spans="1:20" x14ac:dyDescent="0.3">
      <c r="A470" t="s">
        <v>501</v>
      </c>
      <c r="B470" t="s">
        <v>22</v>
      </c>
      <c r="C470" t="s">
        <v>23</v>
      </c>
      <c r="D470" t="s">
        <v>24</v>
      </c>
      <c r="E470" t="s">
        <v>174</v>
      </c>
      <c r="F470" t="s">
        <v>40</v>
      </c>
      <c r="G470" s="3">
        <v>21.58</v>
      </c>
      <c r="H470" s="6">
        <v>1</v>
      </c>
      <c r="I470" s="3">
        <v>1.079</v>
      </c>
      <c r="J470" s="3">
        <v>22.658999999999999</v>
      </c>
      <c r="K470" s="2">
        <v>43481</v>
      </c>
      <c r="L470" s="1">
        <v>0.41805555555555557</v>
      </c>
      <c r="M470" t="s">
        <v>20</v>
      </c>
      <c r="N470" s="3">
        <v>21.58</v>
      </c>
      <c r="O470" s="4">
        <v>4.7619047620000003</v>
      </c>
      <c r="P470" s="5">
        <v>1.079</v>
      </c>
      <c r="Q470">
        <v>7.2</v>
      </c>
      <c r="R470" s="6">
        <f>DAY(SuperMarket_Analysis[[#This Row],[Date]])</f>
        <v>16</v>
      </c>
      <c r="S470" s="6" t="str">
        <f>TEXT(SuperMarket_Analysis[[#This Row],[Date]],"mmmm")</f>
        <v>January</v>
      </c>
      <c r="T470" s="6">
        <f>YEAR(SuperMarket_Analysis[[#This Row],[Date]])</f>
        <v>2019</v>
      </c>
    </row>
    <row r="471" spans="1:20" x14ac:dyDescent="0.3">
      <c r="A471" t="s">
        <v>502</v>
      </c>
      <c r="B471" t="s">
        <v>22</v>
      </c>
      <c r="C471" t="s">
        <v>23</v>
      </c>
      <c r="D471" t="s">
        <v>17</v>
      </c>
      <c r="E471" t="s">
        <v>18</v>
      </c>
      <c r="F471" t="s">
        <v>25</v>
      </c>
      <c r="G471" s="3">
        <v>98.84</v>
      </c>
      <c r="H471" s="6">
        <v>1</v>
      </c>
      <c r="I471" s="3">
        <v>4.9420000000000002</v>
      </c>
      <c r="J471" s="3">
        <v>103.782</v>
      </c>
      <c r="K471" s="2">
        <v>43479</v>
      </c>
      <c r="L471" s="1">
        <v>0.47291666666666665</v>
      </c>
      <c r="M471" t="s">
        <v>26</v>
      </c>
      <c r="N471" s="3">
        <v>98.84</v>
      </c>
      <c r="O471" s="4">
        <v>4.7619047620000003</v>
      </c>
      <c r="P471" s="5">
        <v>4.9420000000000002</v>
      </c>
      <c r="Q471">
        <v>8.4</v>
      </c>
      <c r="R471" s="6">
        <f>DAY(SuperMarket_Analysis[[#This Row],[Date]])</f>
        <v>14</v>
      </c>
      <c r="S471" s="6" t="str">
        <f>TEXT(SuperMarket_Analysis[[#This Row],[Date]],"mmmm")</f>
        <v>January</v>
      </c>
      <c r="T471" s="6">
        <f>YEAR(SuperMarket_Analysis[[#This Row],[Date]])</f>
        <v>2019</v>
      </c>
    </row>
    <row r="472" spans="1:20" x14ac:dyDescent="0.3">
      <c r="A472" t="s">
        <v>503</v>
      </c>
      <c r="B472" t="s">
        <v>22</v>
      </c>
      <c r="C472" t="s">
        <v>23</v>
      </c>
      <c r="D472" t="s">
        <v>17</v>
      </c>
      <c r="E472" t="s">
        <v>18</v>
      </c>
      <c r="F472" t="s">
        <v>28</v>
      </c>
      <c r="G472" s="3">
        <v>83.77</v>
      </c>
      <c r="H472" s="6">
        <v>6</v>
      </c>
      <c r="I472" s="3">
        <v>25.131</v>
      </c>
      <c r="J472" s="3">
        <v>527.75099999999998</v>
      </c>
      <c r="K472" s="2">
        <v>43496</v>
      </c>
      <c r="L472" s="1">
        <v>0.50694444444444442</v>
      </c>
      <c r="M472" t="s">
        <v>20</v>
      </c>
      <c r="N472" s="3">
        <v>502.62</v>
      </c>
      <c r="O472" s="4">
        <v>4.7619047620000003</v>
      </c>
      <c r="P472" s="5">
        <v>25.131</v>
      </c>
      <c r="Q472">
        <v>5.4</v>
      </c>
      <c r="R472" s="6">
        <f>DAY(SuperMarket_Analysis[[#This Row],[Date]])</f>
        <v>31</v>
      </c>
      <c r="S472" s="6" t="str">
        <f>TEXT(SuperMarket_Analysis[[#This Row],[Date]],"mmmm")</f>
        <v>January</v>
      </c>
      <c r="T472" s="6">
        <f>YEAR(SuperMarket_Analysis[[#This Row],[Date]])</f>
        <v>2019</v>
      </c>
    </row>
    <row r="473" spans="1:20" x14ac:dyDescent="0.3">
      <c r="A473" t="s">
        <v>504</v>
      </c>
      <c r="B473" t="s">
        <v>15</v>
      </c>
      <c r="C473" t="s">
        <v>16</v>
      </c>
      <c r="D473" t="s">
        <v>17</v>
      </c>
      <c r="E473" t="s">
        <v>18</v>
      </c>
      <c r="F473" t="s">
        <v>32</v>
      </c>
      <c r="G473" s="3">
        <v>40.049999999999997</v>
      </c>
      <c r="H473" s="6">
        <v>4</v>
      </c>
      <c r="I473" s="3">
        <v>8.01</v>
      </c>
      <c r="J473" s="3">
        <v>168.21</v>
      </c>
      <c r="K473" s="2">
        <v>43539</v>
      </c>
      <c r="L473" s="1">
        <v>0.4861111111111111</v>
      </c>
      <c r="M473" t="s">
        <v>26</v>
      </c>
      <c r="N473" s="3">
        <v>160.19999999999999</v>
      </c>
      <c r="O473" s="4">
        <v>4.7619047620000003</v>
      </c>
      <c r="P473" s="5">
        <v>8.01</v>
      </c>
      <c r="Q473">
        <v>9.6999999999999993</v>
      </c>
      <c r="R473" s="6">
        <f>DAY(SuperMarket_Analysis[[#This Row],[Date]])</f>
        <v>15</v>
      </c>
      <c r="S473" s="6" t="str">
        <f>TEXT(SuperMarket_Analysis[[#This Row],[Date]],"mmmm")</f>
        <v>March</v>
      </c>
      <c r="T473" s="6">
        <f>YEAR(SuperMarket_Analysis[[#This Row],[Date]])</f>
        <v>2019</v>
      </c>
    </row>
    <row r="474" spans="1:20" x14ac:dyDescent="0.3">
      <c r="A474" t="s">
        <v>505</v>
      </c>
      <c r="B474" t="s">
        <v>15</v>
      </c>
      <c r="C474" t="s">
        <v>16</v>
      </c>
      <c r="D474" t="s">
        <v>17</v>
      </c>
      <c r="E474" t="s">
        <v>174</v>
      </c>
      <c r="F474" t="s">
        <v>42</v>
      </c>
      <c r="G474" s="3">
        <v>43.13</v>
      </c>
      <c r="H474" s="6">
        <v>10</v>
      </c>
      <c r="I474" s="3">
        <v>21.565000000000001</v>
      </c>
      <c r="J474" s="3">
        <v>452.86500000000001</v>
      </c>
      <c r="K474" s="2">
        <v>43520</v>
      </c>
      <c r="L474" s="1">
        <v>0.77152777777777781</v>
      </c>
      <c r="M474" t="s">
        <v>29</v>
      </c>
      <c r="N474" s="3">
        <v>431.3</v>
      </c>
      <c r="O474" s="4">
        <v>4.7619047620000003</v>
      </c>
      <c r="P474" s="5">
        <v>21.565000000000001</v>
      </c>
      <c r="Q474">
        <v>5.5</v>
      </c>
      <c r="R474" s="6">
        <f>DAY(SuperMarket_Analysis[[#This Row],[Date]])</f>
        <v>24</v>
      </c>
      <c r="S474" s="6" t="str">
        <f>TEXT(SuperMarket_Analysis[[#This Row],[Date]],"mmmm")</f>
        <v>February</v>
      </c>
      <c r="T474" s="6">
        <f>YEAR(SuperMarket_Analysis[[#This Row],[Date]])</f>
        <v>2019</v>
      </c>
    </row>
    <row r="475" spans="1:20" x14ac:dyDescent="0.3">
      <c r="A475" t="s">
        <v>506</v>
      </c>
      <c r="B475" t="s">
        <v>38</v>
      </c>
      <c r="C475" t="s">
        <v>39</v>
      </c>
      <c r="D475" t="s">
        <v>17</v>
      </c>
      <c r="E475" t="s">
        <v>174</v>
      </c>
      <c r="F475" t="s">
        <v>19</v>
      </c>
      <c r="G475" s="3">
        <v>72.569999999999993</v>
      </c>
      <c r="H475" s="6">
        <v>8</v>
      </c>
      <c r="I475" s="3">
        <v>29.027999999999999</v>
      </c>
      <c r="J475" s="3">
        <v>609.58799999999997</v>
      </c>
      <c r="K475" s="2">
        <v>43546</v>
      </c>
      <c r="L475" s="1">
        <v>0.74861111111111112</v>
      </c>
      <c r="M475" t="s">
        <v>26</v>
      </c>
      <c r="N475" s="3">
        <v>580.55999999999995</v>
      </c>
      <c r="O475" s="4">
        <v>4.7619047620000003</v>
      </c>
      <c r="P475" s="5">
        <v>29.027999999999999</v>
      </c>
      <c r="Q475">
        <v>4.5999999999999996</v>
      </c>
      <c r="R475" s="6">
        <f>DAY(SuperMarket_Analysis[[#This Row],[Date]])</f>
        <v>22</v>
      </c>
      <c r="S475" s="6" t="str">
        <f>TEXT(SuperMarket_Analysis[[#This Row],[Date]],"mmmm")</f>
        <v>March</v>
      </c>
      <c r="T475" s="6">
        <f>YEAR(SuperMarket_Analysis[[#This Row],[Date]])</f>
        <v>2019</v>
      </c>
    </row>
    <row r="476" spans="1:20" x14ac:dyDescent="0.3">
      <c r="A476" t="s">
        <v>507</v>
      </c>
      <c r="B476" t="s">
        <v>15</v>
      </c>
      <c r="C476" t="s">
        <v>16</v>
      </c>
      <c r="D476" t="s">
        <v>17</v>
      </c>
      <c r="E476" t="s">
        <v>18</v>
      </c>
      <c r="F476" t="s">
        <v>25</v>
      </c>
      <c r="G476" s="3">
        <v>64.44</v>
      </c>
      <c r="H476" s="6">
        <v>5</v>
      </c>
      <c r="I476" s="3">
        <v>16.11</v>
      </c>
      <c r="J476" s="3">
        <v>338.31</v>
      </c>
      <c r="K476" s="2">
        <v>43489</v>
      </c>
      <c r="L476" s="1">
        <v>0.71111111111111114</v>
      </c>
      <c r="M476" t="s">
        <v>26</v>
      </c>
      <c r="N476" s="3">
        <v>322.2</v>
      </c>
      <c r="O476" s="4">
        <v>4.7619047620000003</v>
      </c>
      <c r="P476" s="5">
        <v>16.11</v>
      </c>
      <c r="Q476">
        <v>6.6</v>
      </c>
      <c r="R476" s="6">
        <f>DAY(SuperMarket_Analysis[[#This Row],[Date]])</f>
        <v>24</v>
      </c>
      <c r="S476" s="6" t="str">
        <f>TEXT(SuperMarket_Analysis[[#This Row],[Date]],"mmmm")</f>
        <v>January</v>
      </c>
      <c r="T476" s="6">
        <f>YEAR(SuperMarket_Analysis[[#This Row],[Date]])</f>
        <v>2019</v>
      </c>
    </row>
    <row r="477" spans="1:20" x14ac:dyDescent="0.3">
      <c r="A477" t="s">
        <v>508</v>
      </c>
      <c r="B477" t="s">
        <v>15</v>
      </c>
      <c r="C477" t="s">
        <v>16</v>
      </c>
      <c r="D477" t="s">
        <v>24</v>
      </c>
      <c r="E477" t="s">
        <v>174</v>
      </c>
      <c r="F477" t="s">
        <v>19</v>
      </c>
      <c r="G477" s="3">
        <v>65.180000000000007</v>
      </c>
      <c r="H477" s="6">
        <v>3</v>
      </c>
      <c r="I477" s="3">
        <v>9.7769999999999992</v>
      </c>
      <c r="J477" s="3">
        <v>205.31700000000001</v>
      </c>
      <c r="K477" s="2">
        <v>43538</v>
      </c>
      <c r="L477" s="1">
        <v>0.85763888888888884</v>
      </c>
      <c r="M477" t="s">
        <v>29</v>
      </c>
      <c r="N477" s="3">
        <v>195.54</v>
      </c>
      <c r="O477" s="4">
        <v>4.7619047620000003</v>
      </c>
      <c r="P477" s="5">
        <v>9.7769999999999992</v>
      </c>
      <c r="Q477">
        <v>6.3</v>
      </c>
      <c r="R477" s="6">
        <f>DAY(SuperMarket_Analysis[[#This Row],[Date]])</f>
        <v>14</v>
      </c>
      <c r="S477" s="6" t="str">
        <f>TEXT(SuperMarket_Analysis[[#This Row],[Date]],"mmmm")</f>
        <v>March</v>
      </c>
      <c r="T477" s="6">
        <f>YEAR(SuperMarket_Analysis[[#This Row],[Date]])</f>
        <v>2019</v>
      </c>
    </row>
    <row r="478" spans="1:20" x14ac:dyDescent="0.3">
      <c r="A478" t="s">
        <v>509</v>
      </c>
      <c r="B478" t="s">
        <v>15</v>
      </c>
      <c r="C478" t="s">
        <v>16</v>
      </c>
      <c r="D478" t="s">
        <v>24</v>
      </c>
      <c r="E478" t="s">
        <v>18</v>
      </c>
      <c r="F478" t="s">
        <v>32</v>
      </c>
      <c r="G478" s="3">
        <v>33.26</v>
      </c>
      <c r="H478" s="6">
        <v>5</v>
      </c>
      <c r="I478" s="3">
        <v>8.3149999999999995</v>
      </c>
      <c r="J478" s="3">
        <v>174.61500000000001</v>
      </c>
      <c r="K478" s="2">
        <v>43488</v>
      </c>
      <c r="L478" s="1">
        <v>0.67361111111111116</v>
      </c>
      <c r="M478" t="s">
        <v>29</v>
      </c>
      <c r="N478" s="3">
        <v>166.3</v>
      </c>
      <c r="O478" s="4">
        <v>4.7619047620000003</v>
      </c>
      <c r="P478" s="5">
        <v>8.3149999999999995</v>
      </c>
      <c r="Q478">
        <v>4.2</v>
      </c>
      <c r="R478" s="6">
        <f>DAY(SuperMarket_Analysis[[#This Row],[Date]])</f>
        <v>23</v>
      </c>
      <c r="S478" s="6" t="str">
        <f>TEXT(SuperMarket_Analysis[[#This Row],[Date]],"mmmm")</f>
        <v>January</v>
      </c>
      <c r="T478" s="6">
        <f>YEAR(SuperMarket_Analysis[[#This Row],[Date]])</f>
        <v>2019</v>
      </c>
    </row>
    <row r="479" spans="1:20" x14ac:dyDescent="0.3">
      <c r="A479" t="s">
        <v>510</v>
      </c>
      <c r="B479" t="s">
        <v>22</v>
      </c>
      <c r="C479" t="s">
        <v>23</v>
      </c>
      <c r="D479" t="s">
        <v>24</v>
      </c>
      <c r="E479" t="s">
        <v>174</v>
      </c>
      <c r="F479" t="s">
        <v>25</v>
      </c>
      <c r="G479" s="3">
        <v>84.07</v>
      </c>
      <c r="H479" s="6">
        <v>4</v>
      </c>
      <c r="I479" s="3">
        <v>16.814</v>
      </c>
      <c r="J479" s="3">
        <v>353.09399999999999</v>
      </c>
      <c r="K479" s="2">
        <v>43484</v>
      </c>
      <c r="L479" s="1">
        <v>0.70416666666666672</v>
      </c>
      <c r="M479" t="s">
        <v>20</v>
      </c>
      <c r="N479" s="3">
        <v>336.28</v>
      </c>
      <c r="O479" s="4">
        <v>4.7619047620000003</v>
      </c>
      <c r="P479" s="5">
        <v>16.814</v>
      </c>
      <c r="Q479">
        <v>4.4000000000000004</v>
      </c>
      <c r="R479" s="6">
        <f>DAY(SuperMarket_Analysis[[#This Row],[Date]])</f>
        <v>19</v>
      </c>
      <c r="S479" s="6" t="str">
        <f>TEXT(SuperMarket_Analysis[[#This Row],[Date]],"mmmm")</f>
        <v>January</v>
      </c>
      <c r="T479" s="6">
        <f>YEAR(SuperMarket_Analysis[[#This Row],[Date]])</f>
        <v>2019</v>
      </c>
    </row>
    <row r="480" spans="1:20" x14ac:dyDescent="0.3">
      <c r="A480" t="s">
        <v>511</v>
      </c>
      <c r="B480" t="s">
        <v>38</v>
      </c>
      <c r="C480" t="s">
        <v>39</v>
      </c>
      <c r="D480" t="s">
        <v>24</v>
      </c>
      <c r="E480" t="s">
        <v>174</v>
      </c>
      <c r="F480" t="s">
        <v>32</v>
      </c>
      <c r="G480" s="3">
        <v>34.369999999999997</v>
      </c>
      <c r="H480" s="6">
        <v>10</v>
      </c>
      <c r="I480" s="3">
        <v>17.184999999999999</v>
      </c>
      <c r="J480" s="3">
        <v>360.88499999999999</v>
      </c>
      <c r="K480" s="2">
        <v>43492</v>
      </c>
      <c r="L480" s="1">
        <v>0.42430555555555555</v>
      </c>
      <c r="M480" t="s">
        <v>20</v>
      </c>
      <c r="N480" s="3">
        <v>343.7</v>
      </c>
      <c r="O480" s="4">
        <v>4.7619047620000003</v>
      </c>
      <c r="P480" s="5">
        <v>17.184999999999999</v>
      </c>
      <c r="Q480">
        <v>6.7</v>
      </c>
      <c r="R480" s="6">
        <f>DAY(SuperMarket_Analysis[[#This Row],[Date]])</f>
        <v>27</v>
      </c>
      <c r="S480" s="6" t="str">
        <f>TEXT(SuperMarket_Analysis[[#This Row],[Date]],"mmmm")</f>
        <v>January</v>
      </c>
      <c r="T480" s="6">
        <f>YEAR(SuperMarket_Analysis[[#This Row],[Date]])</f>
        <v>2019</v>
      </c>
    </row>
    <row r="481" spans="1:20" x14ac:dyDescent="0.3">
      <c r="A481" t="s">
        <v>512</v>
      </c>
      <c r="B481" t="s">
        <v>15</v>
      </c>
      <c r="C481" t="s">
        <v>16</v>
      </c>
      <c r="D481" t="s">
        <v>24</v>
      </c>
      <c r="E481" t="s">
        <v>174</v>
      </c>
      <c r="F481" t="s">
        <v>25</v>
      </c>
      <c r="G481" s="3">
        <v>38.6</v>
      </c>
      <c r="H481" s="6">
        <v>1</v>
      </c>
      <c r="I481" s="3">
        <v>1.93</v>
      </c>
      <c r="J481" s="3">
        <v>40.53</v>
      </c>
      <c r="K481" s="2">
        <v>43549</v>
      </c>
      <c r="L481" s="1">
        <v>0.47638888888888886</v>
      </c>
      <c r="M481" t="s">
        <v>20</v>
      </c>
      <c r="N481" s="3">
        <v>38.6</v>
      </c>
      <c r="O481" s="4">
        <v>4.7619047620000003</v>
      </c>
      <c r="P481" s="5">
        <v>1.93</v>
      </c>
      <c r="Q481">
        <v>6.7</v>
      </c>
      <c r="R481" s="6">
        <f>DAY(SuperMarket_Analysis[[#This Row],[Date]])</f>
        <v>25</v>
      </c>
      <c r="S481" s="6" t="str">
        <f>TEXT(SuperMarket_Analysis[[#This Row],[Date]],"mmmm")</f>
        <v>March</v>
      </c>
      <c r="T481" s="6">
        <f>YEAR(SuperMarket_Analysis[[#This Row],[Date]])</f>
        <v>2019</v>
      </c>
    </row>
    <row r="482" spans="1:20" x14ac:dyDescent="0.3">
      <c r="A482" t="s">
        <v>513</v>
      </c>
      <c r="B482" t="s">
        <v>22</v>
      </c>
      <c r="C482" t="s">
        <v>23</v>
      </c>
      <c r="D482" t="s">
        <v>24</v>
      </c>
      <c r="E482" t="s">
        <v>174</v>
      </c>
      <c r="F482" t="s">
        <v>40</v>
      </c>
      <c r="G482" s="3">
        <v>65.97</v>
      </c>
      <c r="H482" s="6">
        <v>8</v>
      </c>
      <c r="I482" s="3">
        <v>26.388000000000002</v>
      </c>
      <c r="J482" s="3">
        <v>554.14800000000002</v>
      </c>
      <c r="K482" s="2">
        <v>43520</v>
      </c>
      <c r="L482" s="1">
        <v>0.85347222222222219</v>
      </c>
      <c r="M482" t="s">
        <v>26</v>
      </c>
      <c r="N482" s="3">
        <v>527.76</v>
      </c>
      <c r="O482" s="4">
        <v>4.7619047620000003</v>
      </c>
      <c r="P482" s="5">
        <v>26.388000000000002</v>
      </c>
      <c r="Q482">
        <v>8.4</v>
      </c>
      <c r="R482" s="6">
        <f>DAY(SuperMarket_Analysis[[#This Row],[Date]])</f>
        <v>24</v>
      </c>
      <c r="S482" s="6" t="str">
        <f>TEXT(SuperMarket_Analysis[[#This Row],[Date]],"mmmm")</f>
        <v>February</v>
      </c>
      <c r="T482" s="6">
        <f>YEAR(SuperMarket_Analysis[[#This Row],[Date]])</f>
        <v>2019</v>
      </c>
    </row>
    <row r="483" spans="1:20" x14ac:dyDescent="0.3">
      <c r="A483" t="s">
        <v>514</v>
      </c>
      <c r="B483" t="s">
        <v>22</v>
      </c>
      <c r="C483" t="s">
        <v>23</v>
      </c>
      <c r="D483" t="s">
        <v>24</v>
      </c>
      <c r="E483" t="s">
        <v>18</v>
      </c>
      <c r="F483" t="s">
        <v>25</v>
      </c>
      <c r="G483" s="3">
        <v>32.799999999999997</v>
      </c>
      <c r="H483" s="6">
        <v>10</v>
      </c>
      <c r="I483" s="3">
        <v>16.399999999999999</v>
      </c>
      <c r="J483" s="3">
        <v>344.4</v>
      </c>
      <c r="K483" s="2">
        <v>43510</v>
      </c>
      <c r="L483" s="1">
        <v>0.5083333333333333</v>
      </c>
      <c r="M483" t="s">
        <v>26</v>
      </c>
      <c r="N483" s="3">
        <v>328</v>
      </c>
      <c r="O483" s="4">
        <v>4.7619047620000003</v>
      </c>
      <c r="P483" s="5">
        <v>16.399999999999999</v>
      </c>
      <c r="Q483">
        <v>6.2</v>
      </c>
      <c r="R483" s="6">
        <f>DAY(SuperMarket_Analysis[[#This Row],[Date]])</f>
        <v>14</v>
      </c>
      <c r="S483" s="6" t="str">
        <f>TEXT(SuperMarket_Analysis[[#This Row],[Date]],"mmmm")</f>
        <v>February</v>
      </c>
      <c r="T483" s="6">
        <f>YEAR(SuperMarket_Analysis[[#This Row],[Date]])</f>
        <v>2019</v>
      </c>
    </row>
    <row r="484" spans="1:20" x14ac:dyDescent="0.3">
      <c r="A484" t="s">
        <v>515</v>
      </c>
      <c r="B484" t="s">
        <v>15</v>
      </c>
      <c r="C484" t="s">
        <v>16</v>
      </c>
      <c r="D484" t="s">
        <v>24</v>
      </c>
      <c r="E484" t="s">
        <v>174</v>
      </c>
      <c r="F484" t="s">
        <v>32</v>
      </c>
      <c r="G484" s="3">
        <v>37.14</v>
      </c>
      <c r="H484" s="6">
        <v>5</v>
      </c>
      <c r="I484" s="3">
        <v>9.2850000000000001</v>
      </c>
      <c r="J484" s="3">
        <v>194.98500000000001</v>
      </c>
      <c r="K484" s="2">
        <v>43494</v>
      </c>
      <c r="L484" s="1">
        <v>0.54513888888888884</v>
      </c>
      <c r="M484" t="s">
        <v>20</v>
      </c>
      <c r="N484" s="3">
        <v>185.7</v>
      </c>
      <c r="O484" s="4">
        <v>4.7619047620000003</v>
      </c>
      <c r="P484" s="5">
        <v>9.2850000000000001</v>
      </c>
      <c r="Q484">
        <v>5</v>
      </c>
      <c r="R484" s="6">
        <f>DAY(SuperMarket_Analysis[[#This Row],[Date]])</f>
        <v>29</v>
      </c>
      <c r="S484" s="6" t="str">
        <f>TEXT(SuperMarket_Analysis[[#This Row],[Date]],"mmmm")</f>
        <v>January</v>
      </c>
      <c r="T484" s="6">
        <f>YEAR(SuperMarket_Analysis[[#This Row],[Date]])</f>
        <v>2019</v>
      </c>
    </row>
    <row r="485" spans="1:20" x14ac:dyDescent="0.3">
      <c r="A485" t="s">
        <v>516</v>
      </c>
      <c r="B485" t="s">
        <v>38</v>
      </c>
      <c r="C485" t="s">
        <v>39</v>
      </c>
      <c r="D485" t="s">
        <v>17</v>
      </c>
      <c r="E485" t="s">
        <v>174</v>
      </c>
      <c r="F485" t="s">
        <v>28</v>
      </c>
      <c r="G485" s="3">
        <v>60.38</v>
      </c>
      <c r="H485" s="6">
        <v>10</v>
      </c>
      <c r="I485" s="3">
        <v>30.19</v>
      </c>
      <c r="J485" s="3">
        <v>633.99</v>
      </c>
      <c r="K485" s="2">
        <v>43493</v>
      </c>
      <c r="L485" s="1">
        <v>0.67986111111111114</v>
      </c>
      <c r="M485" t="s">
        <v>26</v>
      </c>
      <c r="N485" s="3">
        <v>603.79999999999995</v>
      </c>
      <c r="O485" s="4">
        <v>4.7619047620000003</v>
      </c>
      <c r="P485" s="5">
        <v>30.19</v>
      </c>
      <c r="Q485">
        <v>6</v>
      </c>
      <c r="R485" s="6">
        <f>DAY(SuperMarket_Analysis[[#This Row],[Date]])</f>
        <v>28</v>
      </c>
      <c r="S485" s="6" t="str">
        <f>TEXT(SuperMarket_Analysis[[#This Row],[Date]],"mmmm")</f>
        <v>January</v>
      </c>
      <c r="T485" s="6">
        <f>YEAR(SuperMarket_Analysis[[#This Row],[Date]])</f>
        <v>2019</v>
      </c>
    </row>
    <row r="486" spans="1:20" x14ac:dyDescent="0.3">
      <c r="A486" t="s">
        <v>517</v>
      </c>
      <c r="B486" t="s">
        <v>22</v>
      </c>
      <c r="C486" t="s">
        <v>23</v>
      </c>
      <c r="D486" t="s">
        <v>17</v>
      </c>
      <c r="E486" t="s">
        <v>18</v>
      </c>
      <c r="F486" t="s">
        <v>32</v>
      </c>
      <c r="G486" s="3">
        <v>36.979999999999997</v>
      </c>
      <c r="H486" s="6">
        <v>10</v>
      </c>
      <c r="I486" s="3">
        <v>18.489999999999998</v>
      </c>
      <c r="J486" s="3">
        <v>388.29</v>
      </c>
      <c r="K486" s="2">
        <v>43550</v>
      </c>
      <c r="L486" s="1">
        <v>0.82499999999999996</v>
      </c>
      <c r="M486" t="s">
        <v>29</v>
      </c>
      <c r="N486" s="3">
        <v>369.8</v>
      </c>
      <c r="O486" s="4">
        <v>4.7619047620000003</v>
      </c>
      <c r="P486" s="5">
        <v>18.489999999999998</v>
      </c>
      <c r="Q486">
        <v>7</v>
      </c>
      <c r="R486" s="6">
        <f>DAY(SuperMarket_Analysis[[#This Row],[Date]])</f>
        <v>26</v>
      </c>
      <c r="S486" s="6" t="str">
        <f>TEXT(SuperMarket_Analysis[[#This Row],[Date]],"mmmm")</f>
        <v>March</v>
      </c>
      <c r="T486" s="6">
        <f>YEAR(SuperMarket_Analysis[[#This Row],[Date]])</f>
        <v>2019</v>
      </c>
    </row>
    <row r="487" spans="1:20" x14ac:dyDescent="0.3">
      <c r="A487" t="s">
        <v>518</v>
      </c>
      <c r="B487" t="s">
        <v>38</v>
      </c>
      <c r="C487" t="s">
        <v>39</v>
      </c>
      <c r="D487" t="s">
        <v>17</v>
      </c>
      <c r="E487" t="s">
        <v>18</v>
      </c>
      <c r="F487" t="s">
        <v>32</v>
      </c>
      <c r="G487" s="3">
        <v>49.49</v>
      </c>
      <c r="H487" s="6">
        <v>4</v>
      </c>
      <c r="I487" s="3">
        <v>9.8979999999999997</v>
      </c>
      <c r="J487" s="3">
        <v>207.858</v>
      </c>
      <c r="K487" s="2">
        <v>43548</v>
      </c>
      <c r="L487" s="1">
        <v>0.64236111111111116</v>
      </c>
      <c r="M487" t="s">
        <v>20</v>
      </c>
      <c r="N487" s="3">
        <v>197.96</v>
      </c>
      <c r="O487" s="4">
        <v>4.7619047620000003</v>
      </c>
      <c r="P487" s="5">
        <v>9.8979999999999997</v>
      </c>
      <c r="Q487">
        <v>6.6</v>
      </c>
      <c r="R487" s="6">
        <f>DAY(SuperMarket_Analysis[[#This Row],[Date]])</f>
        <v>24</v>
      </c>
      <c r="S487" s="6" t="str">
        <f>TEXT(SuperMarket_Analysis[[#This Row],[Date]],"mmmm")</f>
        <v>March</v>
      </c>
      <c r="T487" s="6">
        <f>YEAR(SuperMarket_Analysis[[#This Row],[Date]])</f>
        <v>2019</v>
      </c>
    </row>
    <row r="488" spans="1:20" x14ac:dyDescent="0.3">
      <c r="A488" t="s">
        <v>519</v>
      </c>
      <c r="B488" t="s">
        <v>38</v>
      </c>
      <c r="C488" t="s">
        <v>39</v>
      </c>
      <c r="D488" t="s">
        <v>24</v>
      </c>
      <c r="E488" t="s">
        <v>18</v>
      </c>
      <c r="F488" t="s">
        <v>42</v>
      </c>
      <c r="G488" s="3">
        <v>41.09</v>
      </c>
      <c r="H488" s="6">
        <v>10</v>
      </c>
      <c r="I488" s="3">
        <v>20.545000000000002</v>
      </c>
      <c r="J488" s="3">
        <v>431.44499999999999</v>
      </c>
      <c r="K488" s="2">
        <v>43489</v>
      </c>
      <c r="L488" s="1">
        <v>0.61250000000000004</v>
      </c>
      <c r="M488" t="s">
        <v>26</v>
      </c>
      <c r="N488" s="3">
        <v>410.9</v>
      </c>
      <c r="O488" s="4">
        <v>4.7619047620000003</v>
      </c>
      <c r="P488" s="5">
        <v>20.545000000000002</v>
      </c>
      <c r="Q488">
        <v>7.3</v>
      </c>
      <c r="R488" s="6">
        <f>DAY(SuperMarket_Analysis[[#This Row],[Date]])</f>
        <v>24</v>
      </c>
      <c r="S488" s="6" t="str">
        <f>TEXT(SuperMarket_Analysis[[#This Row],[Date]],"mmmm")</f>
        <v>January</v>
      </c>
      <c r="T488" s="6">
        <f>YEAR(SuperMarket_Analysis[[#This Row],[Date]])</f>
        <v>2019</v>
      </c>
    </row>
    <row r="489" spans="1:20" x14ac:dyDescent="0.3">
      <c r="A489" t="s">
        <v>520</v>
      </c>
      <c r="B489" t="s">
        <v>15</v>
      </c>
      <c r="C489" t="s">
        <v>16</v>
      </c>
      <c r="D489" t="s">
        <v>24</v>
      </c>
      <c r="E489" t="s">
        <v>174</v>
      </c>
      <c r="F489" t="s">
        <v>42</v>
      </c>
      <c r="G489" s="3">
        <v>37.15</v>
      </c>
      <c r="H489" s="6">
        <v>4</v>
      </c>
      <c r="I489" s="3">
        <v>7.43</v>
      </c>
      <c r="J489" s="3">
        <v>156.03</v>
      </c>
      <c r="K489" s="2">
        <v>43521</v>
      </c>
      <c r="L489" s="1">
        <v>0.79097222222222219</v>
      </c>
      <c r="M489" t="s">
        <v>20</v>
      </c>
      <c r="N489" s="3">
        <v>148.6</v>
      </c>
      <c r="O489" s="4">
        <v>4.7619047620000003</v>
      </c>
      <c r="P489" s="5">
        <v>7.43</v>
      </c>
      <c r="Q489">
        <v>8.3000000000000007</v>
      </c>
      <c r="R489" s="6">
        <f>DAY(SuperMarket_Analysis[[#This Row],[Date]])</f>
        <v>25</v>
      </c>
      <c r="S489" s="6" t="str">
        <f>TEXT(SuperMarket_Analysis[[#This Row],[Date]],"mmmm")</f>
        <v>February</v>
      </c>
      <c r="T489" s="6">
        <f>YEAR(SuperMarket_Analysis[[#This Row],[Date]])</f>
        <v>2019</v>
      </c>
    </row>
    <row r="490" spans="1:20" x14ac:dyDescent="0.3">
      <c r="A490" t="s">
        <v>521</v>
      </c>
      <c r="B490" t="s">
        <v>22</v>
      </c>
      <c r="C490" t="s">
        <v>23</v>
      </c>
      <c r="D490" t="s">
        <v>24</v>
      </c>
      <c r="E490" t="s">
        <v>174</v>
      </c>
      <c r="F490" t="s">
        <v>28</v>
      </c>
      <c r="G490" s="3">
        <v>22.96</v>
      </c>
      <c r="H490" s="6">
        <v>1</v>
      </c>
      <c r="I490" s="3">
        <v>1.1479999999999999</v>
      </c>
      <c r="J490" s="3">
        <v>24.108000000000001</v>
      </c>
      <c r="K490" s="2">
        <v>43510</v>
      </c>
      <c r="L490" s="1">
        <v>0.86597222222222225</v>
      </c>
      <c r="M490" t="s">
        <v>26</v>
      </c>
      <c r="N490" s="3">
        <v>22.96</v>
      </c>
      <c r="O490" s="4">
        <v>4.7619047620000003</v>
      </c>
      <c r="P490" s="5">
        <v>1.1479999999999999</v>
      </c>
      <c r="Q490">
        <v>4.3</v>
      </c>
      <c r="R490" s="6">
        <f>DAY(SuperMarket_Analysis[[#This Row],[Date]])</f>
        <v>14</v>
      </c>
      <c r="S490" s="6" t="str">
        <f>TEXT(SuperMarket_Analysis[[#This Row],[Date]],"mmmm")</f>
        <v>February</v>
      </c>
      <c r="T490" s="6">
        <f>YEAR(SuperMarket_Analysis[[#This Row],[Date]])</f>
        <v>2019</v>
      </c>
    </row>
    <row r="491" spans="1:20" x14ac:dyDescent="0.3">
      <c r="A491" t="s">
        <v>522</v>
      </c>
      <c r="B491" t="s">
        <v>38</v>
      </c>
      <c r="C491" t="s">
        <v>39</v>
      </c>
      <c r="D491" t="s">
        <v>17</v>
      </c>
      <c r="E491" t="s">
        <v>18</v>
      </c>
      <c r="F491" t="s">
        <v>28</v>
      </c>
      <c r="G491" s="3">
        <v>77.680000000000007</v>
      </c>
      <c r="H491" s="6">
        <v>9</v>
      </c>
      <c r="I491" s="3">
        <v>34.956000000000003</v>
      </c>
      <c r="J491" s="3">
        <v>734.07600000000002</v>
      </c>
      <c r="K491" s="2">
        <v>43550</v>
      </c>
      <c r="L491" s="1">
        <v>0.55625000000000002</v>
      </c>
      <c r="M491" t="s">
        <v>20</v>
      </c>
      <c r="N491" s="3">
        <v>699.12</v>
      </c>
      <c r="O491" s="4">
        <v>4.7619047620000003</v>
      </c>
      <c r="P491" s="5">
        <v>34.956000000000003</v>
      </c>
      <c r="Q491">
        <v>9.8000000000000007</v>
      </c>
      <c r="R491" s="6">
        <f>DAY(SuperMarket_Analysis[[#This Row],[Date]])</f>
        <v>26</v>
      </c>
      <c r="S491" s="6" t="str">
        <f>TEXT(SuperMarket_Analysis[[#This Row],[Date]],"mmmm")</f>
        <v>March</v>
      </c>
      <c r="T491" s="6">
        <f>YEAR(SuperMarket_Analysis[[#This Row],[Date]])</f>
        <v>2019</v>
      </c>
    </row>
    <row r="492" spans="1:20" x14ac:dyDescent="0.3">
      <c r="A492" t="s">
        <v>523</v>
      </c>
      <c r="B492" t="s">
        <v>38</v>
      </c>
      <c r="C492" t="s">
        <v>39</v>
      </c>
      <c r="D492" t="s">
        <v>24</v>
      </c>
      <c r="E492" t="s">
        <v>18</v>
      </c>
      <c r="F492" t="s">
        <v>42</v>
      </c>
      <c r="G492" s="3">
        <v>34.700000000000003</v>
      </c>
      <c r="H492" s="6">
        <v>2</v>
      </c>
      <c r="I492" s="3">
        <v>3.47</v>
      </c>
      <c r="J492" s="3">
        <v>72.87</v>
      </c>
      <c r="K492" s="2">
        <v>43480</v>
      </c>
      <c r="L492" s="1">
        <v>0.82499999999999996</v>
      </c>
      <c r="M492" t="s">
        <v>20</v>
      </c>
      <c r="N492" s="3">
        <v>69.400000000000006</v>
      </c>
      <c r="O492" s="4">
        <v>4.7619047620000003</v>
      </c>
      <c r="P492" s="5">
        <v>3.47</v>
      </c>
      <c r="Q492">
        <v>8.1999999999999993</v>
      </c>
      <c r="R492" s="6">
        <f>DAY(SuperMarket_Analysis[[#This Row],[Date]])</f>
        <v>15</v>
      </c>
      <c r="S492" s="6" t="str">
        <f>TEXT(SuperMarket_Analysis[[#This Row],[Date]],"mmmm")</f>
        <v>January</v>
      </c>
      <c r="T492" s="6">
        <f>YEAR(SuperMarket_Analysis[[#This Row],[Date]])</f>
        <v>2019</v>
      </c>
    </row>
    <row r="493" spans="1:20" x14ac:dyDescent="0.3">
      <c r="A493" t="s">
        <v>524</v>
      </c>
      <c r="B493" t="s">
        <v>15</v>
      </c>
      <c r="C493" t="s">
        <v>16</v>
      </c>
      <c r="D493" t="s">
        <v>17</v>
      </c>
      <c r="E493" t="s">
        <v>18</v>
      </c>
      <c r="F493" t="s">
        <v>42</v>
      </c>
      <c r="G493" s="3">
        <v>19.66</v>
      </c>
      <c r="H493" s="6">
        <v>10</v>
      </c>
      <c r="I493" s="3">
        <v>9.83</v>
      </c>
      <c r="J493" s="3">
        <v>206.43</v>
      </c>
      <c r="K493" s="2">
        <v>43511</v>
      </c>
      <c r="L493" s="1">
        <v>0.76388888888888884</v>
      </c>
      <c r="M493" t="s">
        <v>29</v>
      </c>
      <c r="N493" s="3">
        <v>196.6</v>
      </c>
      <c r="O493" s="4">
        <v>4.7619047620000003</v>
      </c>
      <c r="P493" s="5">
        <v>9.83</v>
      </c>
      <c r="Q493">
        <v>7.2</v>
      </c>
      <c r="R493" s="6">
        <f>DAY(SuperMarket_Analysis[[#This Row],[Date]])</f>
        <v>15</v>
      </c>
      <c r="S493" s="6" t="str">
        <f>TEXT(SuperMarket_Analysis[[#This Row],[Date]],"mmmm")</f>
        <v>February</v>
      </c>
      <c r="T493" s="6">
        <f>YEAR(SuperMarket_Analysis[[#This Row],[Date]])</f>
        <v>2019</v>
      </c>
    </row>
    <row r="494" spans="1:20" x14ac:dyDescent="0.3">
      <c r="A494" t="s">
        <v>525</v>
      </c>
      <c r="B494" t="s">
        <v>38</v>
      </c>
      <c r="C494" t="s">
        <v>39</v>
      </c>
      <c r="D494" t="s">
        <v>17</v>
      </c>
      <c r="E494" t="s">
        <v>18</v>
      </c>
      <c r="F494" t="s">
        <v>19</v>
      </c>
      <c r="G494" s="3">
        <v>25.32</v>
      </c>
      <c r="H494" s="6">
        <v>8</v>
      </c>
      <c r="I494" s="3">
        <v>10.128</v>
      </c>
      <c r="J494" s="3">
        <v>212.68799999999999</v>
      </c>
      <c r="K494" s="2">
        <v>43524</v>
      </c>
      <c r="L494" s="1">
        <v>0.85</v>
      </c>
      <c r="M494" t="s">
        <v>20</v>
      </c>
      <c r="N494" s="3">
        <v>202.56</v>
      </c>
      <c r="O494" s="4">
        <v>4.7619047620000003</v>
      </c>
      <c r="P494" s="5">
        <v>10.128</v>
      </c>
      <c r="Q494">
        <v>8.6999999999999993</v>
      </c>
      <c r="R494" s="6">
        <f>DAY(SuperMarket_Analysis[[#This Row],[Date]])</f>
        <v>28</v>
      </c>
      <c r="S494" s="6" t="str">
        <f>TEXT(SuperMarket_Analysis[[#This Row],[Date]],"mmmm")</f>
        <v>February</v>
      </c>
      <c r="T494" s="6">
        <f>YEAR(SuperMarket_Analysis[[#This Row],[Date]])</f>
        <v>2019</v>
      </c>
    </row>
    <row r="495" spans="1:20" x14ac:dyDescent="0.3">
      <c r="A495" t="s">
        <v>526</v>
      </c>
      <c r="B495" t="s">
        <v>22</v>
      </c>
      <c r="C495" t="s">
        <v>23</v>
      </c>
      <c r="D495" t="s">
        <v>17</v>
      </c>
      <c r="E495" t="s">
        <v>18</v>
      </c>
      <c r="F495" t="s">
        <v>28</v>
      </c>
      <c r="G495" s="3">
        <v>12.12</v>
      </c>
      <c r="H495" s="6">
        <v>10</v>
      </c>
      <c r="I495" s="3">
        <v>6.06</v>
      </c>
      <c r="J495" s="3">
        <v>127.26</v>
      </c>
      <c r="K495" s="2">
        <v>43509</v>
      </c>
      <c r="L495" s="1">
        <v>0.57222222222222219</v>
      </c>
      <c r="M495" t="s">
        <v>29</v>
      </c>
      <c r="N495" s="3">
        <v>121.2</v>
      </c>
      <c r="O495" s="4">
        <v>4.7619047620000003</v>
      </c>
      <c r="P495" s="5">
        <v>6.06</v>
      </c>
      <c r="Q495">
        <v>8.4</v>
      </c>
      <c r="R495" s="6">
        <f>DAY(SuperMarket_Analysis[[#This Row],[Date]])</f>
        <v>13</v>
      </c>
      <c r="S495" s="6" t="str">
        <f>TEXT(SuperMarket_Analysis[[#This Row],[Date]],"mmmm")</f>
        <v>February</v>
      </c>
      <c r="T495" s="6">
        <f>YEAR(SuperMarket_Analysis[[#This Row],[Date]])</f>
        <v>2019</v>
      </c>
    </row>
    <row r="496" spans="1:20" x14ac:dyDescent="0.3">
      <c r="A496" t="s">
        <v>527</v>
      </c>
      <c r="B496" t="s">
        <v>38</v>
      </c>
      <c r="C496" t="s">
        <v>39</v>
      </c>
      <c r="D496" t="s">
        <v>24</v>
      </c>
      <c r="E496" t="s">
        <v>174</v>
      </c>
      <c r="F496" t="s">
        <v>42</v>
      </c>
      <c r="G496" s="3">
        <v>99.89</v>
      </c>
      <c r="H496" s="6">
        <v>2</v>
      </c>
      <c r="I496" s="3">
        <v>9.9890000000000008</v>
      </c>
      <c r="J496" s="3">
        <v>209.76900000000001</v>
      </c>
      <c r="K496" s="2">
        <v>43491</v>
      </c>
      <c r="L496" s="1">
        <v>0.49166666666666664</v>
      </c>
      <c r="M496" t="s">
        <v>20</v>
      </c>
      <c r="N496" s="3">
        <v>199.78</v>
      </c>
      <c r="O496" s="4">
        <v>4.7619047620000003</v>
      </c>
      <c r="P496" s="5">
        <v>9.9890000000000008</v>
      </c>
      <c r="Q496">
        <v>7.1</v>
      </c>
      <c r="R496" s="6">
        <f>DAY(SuperMarket_Analysis[[#This Row],[Date]])</f>
        <v>26</v>
      </c>
      <c r="S496" s="6" t="str">
        <f>TEXT(SuperMarket_Analysis[[#This Row],[Date]],"mmmm")</f>
        <v>January</v>
      </c>
      <c r="T496" s="6">
        <f>YEAR(SuperMarket_Analysis[[#This Row],[Date]])</f>
        <v>2019</v>
      </c>
    </row>
    <row r="497" spans="1:20" x14ac:dyDescent="0.3">
      <c r="A497" t="s">
        <v>528</v>
      </c>
      <c r="B497" t="s">
        <v>38</v>
      </c>
      <c r="C497" t="s">
        <v>39</v>
      </c>
      <c r="D497" t="s">
        <v>24</v>
      </c>
      <c r="E497" t="s">
        <v>174</v>
      </c>
      <c r="F497" t="s">
        <v>32</v>
      </c>
      <c r="G497" s="3">
        <v>75.92</v>
      </c>
      <c r="H497" s="6">
        <v>8</v>
      </c>
      <c r="I497" s="3">
        <v>30.367999999999999</v>
      </c>
      <c r="J497" s="3">
        <v>637.72799999999995</v>
      </c>
      <c r="K497" s="2">
        <v>43495</v>
      </c>
      <c r="L497" s="1">
        <v>0.59305555555555556</v>
      </c>
      <c r="M497" t="s">
        <v>26</v>
      </c>
      <c r="N497" s="3">
        <v>607.36</v>
      </c>
      <c r="O497" s="4">
        <v>4.7619047620000003</v>
      </c>
      <c r="P497" s="5">
        <v>30.367999999999999</v>
      </c>
      <c r="Q497">
        <v>5.5</v>
      </c>
      <c r="R497" s="6">
        <f>DAY(SuperMarket_Analysis[[#This Row],[Date]])</f>
        <v>30</v>
      </c>
      <c r="S497" s="6" t="str">
        <f>TEXT(SuperMarket_Analysis[[#This Row],[Date]],"mmmm")</f>
        <v>January</v>
      </c>
      <c r="T497" s="6">
        <f>YEAR(SuperMarket_Analysis[[#This Row],[Date]])</f>
        <v>2019</v>
      </c>
    </row>
    <row r="498" spans="1:20" x14ac:dyDescent="0.3">
      <c r="A498" t="s">
        <v>529</v>
      </c>
      <c r="B498" t="s">
        <v>22</v>
      </c>
      <c r="C498" t="s">
        <v>23</v>
      </c>
      <c r="D498" t="s">
        <v>24</v>
      </c>
      <c r="E498" t="s">
        <v>18</v>
      </c>
      <c r="F498" t="s">
        <v>25</v>
      </c>
      <c r="G498" s="3">
        <v>63.22</v>
      </c>
      <c r="H498" s="6">
        <v>2</v>
      </c>
      <c r="I498" s="3">
        <v>6.3220000000000001</v>
      </c>
      <c r="J498" s="3">
        <v>132.762</v>
      </c>
      <c r="K498" s="2">
        <v>43492</v>
      </c>
      <c r="L498" s="1">
        <v>0.66041666666666665</v>
      </c>
      <c r="M498" t="s">
        <v>26</v>
      </c>
      <c r="N498" s="3">
        <v>126.44</v>
      </c>
      <c r="O498" s="4">
        <v>4.7619047620000003</v>
      </c>
      <c r="P498" s="5">
        <v>6.3220000000000001</v>
      </c>
      <c r="Q498">
        <v>8.5</v>
      </c>
      <c r="R498" s="6">
        <f>DAY(SuperMarket_Analysis[[#This Row],[Date]])</f>
        <v>27</v>
      </c>
      <c r="S498" s="6" t="str">
        <f>TEXT(SuperMarket_Analysis[[#This Row],[Date]],"mmmm")</f>
        <v>January</v>
      </c>
      <c r="T498" s="6">
        <f>YEAR(SuperMarket_Analysis[[#This Row],[Date]])</f>
        <v>2019</v>
      </c>
    </row>
    <row r="499" spans="1:20" x14ac:dyDescent="0.3">
      <c r="A499" t="s">
        <v>530</v>
      </c>
      <c r="B499" t="s">
        <v>22</v>
      </c>
      <c r="C499" t="s">
        <v>23</v>
      </c>
      <c r="D499" t="s">
        <v>24</v>
      </c>
      <c r="E499" t="s">
        <v>18</v>
      </c>
      <c r="F499" t="s">
        <v>40</v>
      </c>
      <c r="G499" s="3">
        <v>90.24</v>
      </c>
      <c r="H499" s="6">
        <v>6</v>
      </c>
      <c r="I499" s="3">
        <v>27.071999999999999</v>
      </c>
      <c r="J499" s="3">
        <v>568.51199999999994</v>
      </c>
      <c r="K499" s="2">
        <v>43495</v>
      </c>
      <c r="L499" s="1">
        <v>0.47013888888888888</v>
      </c>
      <c r="M499" t="s">
        <v>26</v>
      </c>
      <c r="N499" s="3">
        <v>541.44000000000005</v>
      </c>
      <c r="O499" s="4">
        <v>4.7619047620000003</v>
      </c>
      <c r="P499" s="5">
        <v>27.071999999999999</v>
      </c>
      <c r="Q499">
        <v>6.2</v>
      </c>
      <c r="R499" s="6">
        <f>DAY(SuperMarket_Analysis[[#This Row],[Date]])</f>
        <v>30</v>
      </c>
      <c r="S499" s="6" t="str">
        <f>TEXT(SuperMarket_Analysis[[#This Row],[Date]],"mmmm")</f>
        <v>January</v>
      </c>
      <c r="T499" s="6">
        <f>YEAR(SuperMarket_Analysis[[#This Row],[Date]])</f>
        <v>2019</v>
      </c>
    </row>
    <row r="500" spans="1:20" x14ac:dyDescent="0.3">
      <c r="A500" t="s">
        <v>531</v>
      </c>
      <c r="B500" t="s">
        <v>38</v>
      </c>
      <c r="C500" t="s">
        <v>39</v>
      </c>
      <c r="D500" t="s">
        <v>17</v>
      </c>
      <c r="E500" t="s">
        <v>18</v>
      </c>
      <c r="F500" t="s">
        <v>32</v>
      </c>
      <c r="G500" s="3">
        <v>98.13</v>
      </c>
      <c r="H500" s="6">
        <v>1</v>
      </c>
      <c r="I500" s="3">
        <v>4.9065000000000003</v>
      </c>
      <c r="J500" s="3">
        <v>103.0365</v>
      </c>
      <c r="K500" s="2">
        <v>43484</v>
      </c>
      <c r="L500" s="1">
        <v>0.73333333333333328</v>
      </c>
      <c r="M500" t="s">
        <v>26</v>
      </c>
      <c r="N500" s="3">
        <v>98.13</v>
      </c>
      <c r="O500" s="4">
        <v>4.7619047620000003</v>
      </c>
      <c r="P500" s="5">
        <v>4.9065000000000003</v>
      </c>
      <c r="Q500">
        <v>8.9</v>
      </c>
      <c r="R500" s="6">
        <f>DAY(SuperMarket_Analysis[[#This Row],[Date]])</f>
        <v>19</v>
      </c>
      <c r="S500" s="6" t="str">
        <f>TEXT(SuperMarket_Analysis[[#This Row],[Date]],"mmmm")</f>
        <v>January</v>
      </c>
      <c r="T500" s="6">
        <f>YEAR(SuperMarket_Analysis[[#This Row],[Date]])</f>
        <v>2019</v>
      </c>
    </row>
    <row r="501" spans="1:20" x14ac:dyDescent="0.3">
      <c r="A501" t="s">
        <v>532</v>
      </c>
      <c r="B501" t="s">
        <v>15</v>
      </c>
      <c r="C501" t="s">
        <v>16</v>
      </c>
      <c r="D501" t="s">
        <v>17</v>
      </c>
      <c r="E501" t="s">
        <v>18</v>
      </c>
      <c r="F501" t="s">
        <v>32</v>
      </c>
      <c r="G501" s="3">
        <v>51.52</v>
      </c>
      <c r="H501" s="6">
        <v>8</v>
      </c>
      <c r="I501" s="3">
        <v>20.608000000000001</v>
      </c>
      <c r="J501" s="3">
        <v>432.76799999999997</v>
      </c>
      <c r="K501" s="2">
        <v>43490</v>
      </c>
      <c r="L501" s="1">
        <v>0.65763888888888888</v>
      </c>
      <c r="M501" t="s">
        <v>26</v>
      </c>
      <c r="N501" s="3">
        <v>412.16</v>
      </c>
      <c r="O501" s="4">
        <v>4.7619047620000003</v>
      </c>
      <c r="P501" s="5">
        <v>20.608000000000001</v>
      </c>
      <c r="Q501">
        <v>9.6</v>
      </c>
      <c r="R501" s="6">
        <f>DAY(SuperMarket_Analysis[[#This Row],[Date]])</f>
        <v>25</v>
      </c>
      <c r="S501" s="6" t="str">
        <f>TEXT(SuperMarket_Analysis[[#This Row],[Date]],"mmmm")</f>
        <v>January</v>
      </c>
      <c r="T501" s="6">
        <f>YEAR(SuperMarket_Analysis[[#This Row],[Date]])</f>
        <v>2019</v>
      </c>
    </row>
    <row r="502" spans="1:20" x14ac:dyDescent="0.3">
      <c r="A502" t="s">
        <v>533</v>
      </c>
      <c r="B502" t="s">
        <v>38</v>
      </c>
      <c r="C502" t="s">
        <v>39</v>
      </c>
      <c r="D502" t="s">
        <v>17</v>
      </c>
      <c r="E502" t="s">
        <v>174</v>
      </c>
      <c r="F502" t="s">
        <v>32</v>
      </c>
      <c r="G502" s="3">
        <v>73.97</v>
      </c>
      <c r="H502" s="6">
        <v>1</v>
      </c>
      <c r="I502" s="3">
        <v>3.6985000000000001</v>
      </c>
      <c r="J502" s="3">
        <v>77.668499999999995</v>
      </c>
      <c r="K502" s="2">
        <v>43515</v>
      </c>
      <c r="L502" s="1">
        <v>0.66180555555555554</v>
      </c>
      <c r="M502" t="s">
        <v>29</v>
      </c>
      <c r="N502" s="3">
        <v>73.97</v>
      </c>
      <c r="O502" s="4">
        <v>4.7619047620000003</v>
      </c>
      <c r="P502" s="5">
        <v>3.6985000000000001</v>
      </c>
      <c r="Q502">
        <v>5.4</v>
      </c>
      <c r="R502" s="6">
        <f>DAY(SuperMarket_Analysis[[#This Row],[Date]])</f>
        <v>19</v>
      </c>
      <c r="S502" s="6" t="str">
        <f>TEXT(SuperMarket_Analysis[[#This Row],[Date]],"mmmm")</f>
        <v>February</v>
      </c>
      <c r="T502" s="6">
        <f>YEAR(SuperMarket_Analysis[[#This Row],[Date]])</f>
        <v>2019</v>
      </c>
    </row>
    <row r="503" spans="1:20" x14ac:dyDescent="0.3">
      <c r="A503" t="s">
        <v>534</v>
      </c>
      <c r="B503" t="s">
        <v>22</v>
      </c>
      <c r="C503" t="s">
        <v>23</v>
      </c>
      <c r="D503" t="s">
        <v>17</v>
      </c>
      <c r="E503" t="s">
        <v>18</v>
      </c>
      <c r="F503" t="s">
        <v>42</v>
      </c>
      <c r="G503" s="3">
        <v>31.9</v>
      </c>
      <c r="H503" s="6">
        <v>1</v>
      </c>
      <c r="I503" s="3">
        <v>1.595</v>
      </c>
      <c r="J503" s="3">
        <v>33.494999999999997</v>
      </c>
      <c r="K503" s="2">
        <v>43479</v>
      </c>
      <c r="L503" s="1">
        <v>0.52777777777777779</v>
      </c>
      <c r="M503" t="s">
        <v>20</v>
      </c>
      <c r="N503" s="3">
        <v>31.9</v>
      </c>
      <c r="O503" s="4">
        <v>4.7619047620000003</v>
      </c>
      <c r="P503" s="5">
        <v>1.595</v>
      </c>
      <c r="Q503">
        <v>9.1</v>
      </c>
      <c r="R503" s="6">
        <f>DAY(SuperMarket_Analysis[[#This Row],[Date]])</f>
        <v>14</v>
      </c>
      <c r="S503" s="6" t="str">
        <f>TEXT(SuperMarket_Analysis[[#This Row],[Date]],"mmmm")</f>
        <v>January</v>
      </c>
      <c r="T503" s="6">
        <f>YEAR(SuperMarket_Analysis[[#This Row],[Date]])</f>
        <v>2019</v>
      </c>
    </row>
    <row r="504" spans="1:20" x14ac:dyDescent="0.3">
      <c r="A504" t="s">
        <v>535</v>
      </c>
      <c r="B504" t="s">
        <v>22</v>
      </c>
      <c r="C504" t="s">
        <v>23</v>
      </c>
      <c r="D504" t="s">
        <v>24</v>
      </c>
      <c r="E504" t="s">
        <v>174</v>
      </c>
      <c r="F504" t="s">
        <v>28</v>
      </c>
      <c r="G504" s="3">
        <v>69.400000000000006</v>
      </c>
      <c r="H504" s="6">
        <v>2</v>
      </c>
      <c r="I504" s="3">
        <v>6.94</v>
      </c>
      <c r="J504" s="3">
        <v>145.74</v>
      </c>
      <c r="K504" s="2">
        <v>43521</v>
      </c>
      <c r="L504" s="1">
        <v>0.82499999999999996</v>
      </c>
      <c r="M504" t="s">
        <v>20</v>
      </c>
      <c r="N504" s="3">
        <v>138.80000000000001</v>
      </c>
      <c r="O504" s="4">
        <v>4.7619047620000003</v>
      </c>
      <c r="P504" s="5">
        <v>6.94</v>
      </c>
      <c r="Q504">
        <v>9</v>
      </c>
      <c r="R504" s="6">
        <f>DAY(SuperMarket_Analysis[[#This Row],[Date]])</f>
        <v>25</v>
      </c>
      <c r="S504" s="6" t="str">
        <f>TEXT(SuperMarket_Analysis[[#This Row],[Date]],"mmmm")</f>
        <v>February</v>
      </c>
      <c r="T504" s="6">
        <f>YEAR(SuperMarket_Analysis[[#This Row],[Date]])</f>
        <v>2019</v>
      </c>
    </row>
    <row r="505" spans="1:20" x14ac:dyDescent="0.3">
      <c r="A505" t="s">
        <v>536</v>
      </c>
      <c r="B505" t="s">
        <v>38</v>
      </c>
      <c r="C505" t="s">
        <v>39</v>
      </c>
      <c r="D505" t="s">
        <v>24</v>
      </c>
      <c r="E505" t="s">
        <v>18</v>
      </c>
      <c r="F505" t="s">
        <v>32</v>
      </c>
      <c r="G505" s="3">
        <v>93.31</v>
      </c>
      <c r="H505" s="6">
        <v>2</v>
      </c>
      <c r="I505" s="3">
        <v>9.3309999999999995</v>
      </c>
      <c r="J505" s="3">
        <v>195.95099999999999</v>
      </c>
      <c r="K505" s="2">
        <v>43488</v>
      </c>
      <c r="L505" s="1">
        <v>0.74513888888888891</v>
      </c>
      <c r="M505" t="s">
        <v>26</v>
      </c>
      <c r="N505" s="3">
        <v>186.62</v>
      </c>
      <c r="O505" s="4">
        <v>4.7619047620000003</v>
      </c>
      <c r="P505" s="5">
        <v>9.3309999999999995</v>
      </c>
      <c r="Q505">
        <v>6.3</v>
      </c>
      <c r="R505" s="6">
        <f>DAY(SuperMarket_Analysis[[#This Row],[Date]])</f>
        <v>23</v>
      </c>
      <c r="S505" s="6" t="str">
        <f>TEXT(SuperMarket_Analysis[[#This Row],[Date]],"mmmm")</f>
        <v>January</v>
      </c>
      <c r="T505" s="6">
        <f>YEAR(SuperMarket_Analysis[[#This Row],[Date]])</f>
        <v>2019</v>
      </c>
    </row>
    <row r="506" spans="1:20" x14ac:dyDescent="0.3">
      <c r="A506" t="s">
        <v>537</v>
      </c>
      <c r="B506" t="s">
        <v>38</v>
      </c>
      <c r="C506" t="s">
        <v>39</v>
      </c>
      <c r="D506" t="s">
        <v>24</v>
      </c>
      <c r="E506" t="s">
        <v>174</v>
      </c>
      <c r="F506" t="s">
        <v>32</v>
      </c>
      <c r="G506" s="3">
        <v>88.45</v>
      </c>
      <c r="H506" s="6">
        <v>1</v>
      </c>
      <c r="I506" s="3">
        <v>4.4225000000000003</v>
      </c>
      <c r="J506" s="3">
        <v>92.872500000000002</v>
      </c>
      <c r="K506" s="2">
        <v>43512</v>
      </c>
      <c r="L506" s="1">
        <v>0.69166666666666665</v>
      </c>
      <c r="M506" t="s">
        <v>29</v>
      </c>
      <c r="N506" s="3">
        <v>88.45</v>
      </c>
      <c r="O506" s="4">
        <v>4.7619047620000003</v>
      </c>
      <c r="P506" s="5">
        <v>4.4225000000000003</v>
      </c>
      <c r="Q506">
        <v>9.5</v>
      </c>
      <c r="R506" s="6">
        <f>DAY(SuperMarket_Analysis[[#This Row],[Date]])</f>
        <v>16</v>
      </c>
      <c r="S506" s="6" t="str">
        <f>TEXT(SuperMarket_Analysis[[#This Row],[Date]],"mmmm")</f>
        <v>February</v>
      </c>
      <c r="T506" s="6">
        <f>YEAR(SuperMarket_Analysis[[#This Row],[Date]])</f>
        <v>2019</v>
      </c>
    </row>
    <row r="507" spans="1:20" x14ac:dyDescent="0.3">
      <c r="A507" t="s">
        <v>538</v>
      </c>
      <c r="B507" t="s">
        <v>15</v>
      </c>
      <c r="C507" t="s">
        <v>16</v>
      </c>
      <c r="D507" t="s">
        <v>17</v>
      </c>
      <c r="E507" t="s">
        <v>174</v>
      </c>
      <c r="F507" t="s">
        <v>25</v>
      </c>
      <c r="G507" s="3">
        <v>24.18</v>
      </c>
      <c r="H507" s="6">
        <v>8</v>
      </c>
      <c r="I507" s="3">
        <v>9.6720000000000006</v>
      </c>
      <c r="J507" s="3">
        <v>203.11199999999999</v>
      </c>
      <c r="K507" s="2">
        <v>43511</v>
      </c>
      <c r="L507" s="1">
        <v>0.87083333333333335</v>
      </c>
      <c r="M507" t="s">
        <v>20</v>
      </c>
      <c r="N507" s="3">
        <v>193.44</v>
      </c>
      <c r="O507" s="4">
        <v>4.7619047620000003</v>
      </c>
      <c r="P507" s="5">
        <v>9.6720000000000006</v>
      </c>
      <c r="Q507">
        <v>9.8000000000000007</v>
      </c>
      <c r="R507" s="6">
        <f>DAY(SuperMarket_Analysis[[#This Row],[Date]])</f>
        <v>15</v>
      </c>
      <c r="S507" s="6" t="str">
        <f>TEXT(SuperMarket_Analysis[[#This Row],[Date]],"mmmm")</f>
        <v>February</v>
      </c>
      <c r="T507" s="6">
        <f>YEAR(SuperMarket_Analysis[[#This Row],[Date]])</f>
        <v>2019</v>
      </c>
    </row>
    <row r="508" spans="1:20" x14ac:dyDescent="0.3">
      <c r="A508" t="s">
        <v>539</v>
      </c>
      <c r="B508" t="s">
        <v>38</v>
      </c>
      <c r="C508" t="s">
        <v>39</v>
      </c>
      <c r="D508" t="s">
        <v>17</v>
      </c>
      <c r="E508" t="s">
        <v>18</v>
      </c>
      <c r="F508" t="s">
        <v>32</v>
      </c>
      <c r="G508" s="3">
        <v>48.5</v>
      </c>
      <c r="H508" s="6">
        <v>3</v>
      </c>
      <c r="I508" s="3">
        <v>7.2750000000000004</v>
      </c>
      <c r="J508" s="3">
        <v>152.77500000000001</v>
      </c>
      <c r="K508" s="2">
        <v>43488</v>
      </c>
      <c r="L508" s="1">
        <v>0.53472222222222221</v>
      </c>
      <c r="M508" t="s">
        <v>26</v>
      </c>
      <c r="N508" s="3">
        <v>145.5</v>
      </c>
      <c r="O508" s="4">
        <v>4.7619047620000003</v>
      </c>
      <c r="P508" s="5">
        <v>7.2750000000000004</v>
      </c>
      <c r="Q508">
        <v>6.7</v>
      </c>
      <c r="R508" s="6">
        <f>DAY(SuperMarket_Analysis[[#This Row],[Date]])</f>
        <v>23</v>
      </c>
      <c r="S508" s="6" t="str">
        <f>TEXT(SuperMarket_Analysis[[#This Row],[Date]],"mmmm")</f>
        <v>January</v>
      </c>
      <c r="T508" s="6">
        <f>YEAR(SuperMarket_Analysis[[#This Row],[Date]])</f>
        <v>2019</v>
      </c>
    </row>
    <row r="509" spans="1:20" x14ac:dyDescent="0.3">
      <c r="A509" t="s">
        <v>540</v>
      </c>
      <c r="B509" t="s">
        <v>38</v>
      </c>
      <c r="C509" t="s">
        <v>39</v>
      </c>
      <c r="D509" t="s">
        <v>24</v>
      </c>
      <c r="E509" t="s">
        <v>18</v>
      </c>
      <c r="F509" t="s">
        <v>40</v>
      </c>
      <c r="G509" s="3">
        <v>84.05</v>
      </c>
      <c r="H509" s="6">
        <v>6</v>
      </c>
      <c r="I509" s="3">
        <v>25.215</v>
      </c>
      <c r="J509" s="3">
        <v>529.51499999999999</v>
      </c>
      <c r="K509" s="2">
        <v>43516</v>
      </c>
      <c r="L509" s="1">
        <v>0.45</v>
      </c>
      <c r="M509" t="s">
        <v>29</v>
      </c>
      <c r="N509" s="3">
        <v>504.3</v>
      </c>
      <c r="O509" s="4">
        <v>4.7619047620000003</v>
      </c>
      <c r="P509" s="5">
        <v>25.215</v>
      </c>
      <c r="Q509">
        <v>7.7</v>
      </c>
      <c r="R509" s="6">
        <f>DAY(SuperMarket_Analysis[[#This Row],[Date]])</f>
        <v>20</v>
      </c>
      <c r="S509" s="6" t="str">
        <f>TEXT(SuperMarket_Analysis[[#This Row],[Date]],"mmmm")</f>
        <v>February</v>
      </c>
      <c r="T509" s="6">
        <f>YEAR(SuperMarket_Analysis[[#This Row],[Date]])</f>
        <v>2019</v>
      </c>
    </row>
    <row r="510" spans="1:20" x14ac:dyDescent="0.3">
      <c r="A510" t="s">
        <v>541</v>
      </c>
      <c r="B510" t="s">
        <v>38</v>
      </c>
      <c r="C510" t="s">
        <v>39</v>
      </c>
      <c r="D510" t="s">
        <v>17</v>
      </c>
      <c r="E510" t="s">
        <v>174</v>
      </c>
      <c r="F510" t="s">
        <v>19</v>
      </c>
      <c r="G510" s="3">
        <v>61.29</v>
      </c>
      <c r="H510" s="6">
        <v>5</v>
      </c>
      <c r="I510" s="3">
        <v>15.3225</v>
      </c>
      <c r="J510" s="3">
        <v>321.77249999999998</v>
      </c>
      <c r="K510" s="2">
        <v>43541</v>
      </c>
      <c r="L510" s="1">
        <v>0.60277777777777775</v>
      </c>
      <c r="M510" t="s">
        <v>26</v>
      </c>
      <c r="N510" s="3">
        <v>306.45</v>
      </c>
      <c r="O510" s="4">
        <v>4.7619047620000003</v>
      </c>
      <c r="P510" s="5">
        <v>15.3225</v>
      </c>
      <c r="Q510">
        <v>7</v>
      </c>
      <c r="R510" s="6">
        <f>DAY(SuperMarket_Analysis[[#This Row],[Date]])</f>
        <v>17</v>
      </c>
      <c r="S510" s="6" t="str">
        <f>TEXT(SuperMarket_Analysis[[#This Row],[Date]],"mmmm")</f>
        <v>March</v>
      </c>
      <c r="T510" s="6">
        <f>YEAR(SuperMarket_Analysis[[#This Row],[Date]])</f>
        <v>2019</v>
      </c>
    </row>
    <row r="511" spans="1:20" x14ac:dyDescent="0.3">
      <c r="A511" t="s">
        <v>542</v>
      </c>
      <c r="B511" t="s">
        <v>22</v>
      </c>
      <c r="C511" t="s">
        <v>23</v>
      </c>
      <c r="D511" t="s">
        <v>17</v>
      </c>
      <c r="E511" t="s">
        <v>18</v>
      </c>
      <c r="F511" t="s">
        <v>28</v>
      </c>
      <c r="G511" s="3">
        <v>15.95</v>
      </c>
      <c r="H511" s="6">
        <v>6</v>
      </c>
      <c r="I511" s="3">
        <v>4.7850000000000001</v>
      </c>
      <c r="J511" s="3">
        <v>100.485</v>
      </c>
      <c r="K511" s="2">
        <v>43491</v>
      </c>
      <c r="L511" s="1">
        <v>0.71875</v>
      </c>
      <c r="M511" t="s">
        <v>29</v>
      </c>
      <c r="N511" s="3">
        <v>95.7</v>
      </c>
      <c r="O511" s="4">
        <v>4.7619047620000003</v>
      </c>
      <c r="P511" s="5">
        <v>4.7850000000000001</v>
      </c>
      <c r="Q511">
        <v>5.0999999999999996</v>
      </c>
      <c r="R511" s="6">
        <f>DAY(SuperMarket_Analysis[[#This Row],[Date]])</f>
        <v>26</v>
      </c>
      <c r="S511" s="6" t="str">
        <f>TEXT(SuperMarket_Analysis[[#This Row],[Date]],"mmmm")</f>
        <v>January</v>
      </c>
      <c r="T511" s="6">
        <f>YEAR(SuperMarket_Analysis[[#This Row],[Date]])</f>
        <v>2019</v>
      </c>
    </row>
    <row r="512" spans="1:20" x14ac:dyDescent="0.3">
      <c r="A512" t="s">
        <v>543</v>
      </c>
      <c r="B512" t="s">
        <v>38</v>
      </c>
      <c r="C512" t="s">
        <v>39</v>
      </c>
      <c r="D512" t="s">
        <v>17</v>
      </c>
      <c r="E512" t="s">
        <v>18</v>
      </c>
      <c r="F512" t="s">
        <v>32</v>
      </c>
      <c r="G512" s="3">
        <v>90.74</v>
      </c>
      <c r="H512" s="6">
        <v>7</v>
      </c>
      <c r="I512" s="3">
        <v>31.759</v>
      </c>
      <c r="J512" s="3">
        <v>666.93899999999996</v>
      </c>
      <c r="K512" s="2">
        <v>43539</v>
      </c>
      <c r="L512" s="1">
        <v>0.75208333333333333</v>
      </c>
      <c r="M512" t="s">
        <v>29</v>
      </c>
      <c r="N512" s="3">
        <v>635.17999999999995</v>
      </c>
      <c r="O512" s="4">
        <v>4.7619047620000003</v>
      </c>
      <c r="P512" s="5">
        <v>31.759</v>
      </c>
      <c r="Q512">
        <v>6.2</v>
      </c>
      <c r="R512" s="6">
        <f>DAY(SuperMarket_Analysis[[#This Row],[Date]])</f>
        <v>15</v>
      </c>
      <c r="S512" s="6" t="str">
        <f>TEXT(SuperMarket_Analysis[[#This Row],[Date]],"mmmm")</f>
        <v>March</v>
      </c>
      <c r="T512" s="6">
        <f>YEAR(SuperMarket_Analysis[[#This Row],[Date]])</f>
        <v>2019</v>
      </c>
    </row>
    <row r="513" spans="1:20" x14ac:dyDescent="0.3">
      <c r="A513" t="s">
        <v>544</v>
      </c>
      <c r="B513" t="s">
        <v>15</v>
      </c>
      <c r="C513" t="s">
        <v>16</v>
      </c>
      <c r="D513" t="s">
        <v>24</v>
      </c>
      <c r="E513" t="s">
        <v>18</v>
      </c>
      <c r="F513" t="s">
        <v>28</v>
      </c>
      <c r="G513" s="3">
        <v>42.91</v>
      </c>
      <c r="H513" s="6">
        <v>5</v>
      </c>
      <c r="I513" s="3">
        <v>10.727499999999999</v>
      </c>
      <c r="J513" s="3">
        <v>225.2775</v>
      </c>
      <c r="K513" s="2">
        <v>43482</v>
      </c>
      <c r="L513" s="1">
        <v>0.72847222222222219</v>
      </c>
      <c r="M513" t="s">
        <v>20</v>
      </c>
      <c r="N513" s="3">
        <v>214.55</v>
      </c>
      <c r="O513" s="4">
        <v>4.7619047620000003</v>
      </c>
      <c r="P513" s="5">
        <v>10.727499999999999</v>
      </c>
      <c r="Q513">
        <v>6.1</v>
      </c>
      <c r="R513" s="6">
        <f>DAY(SuperMarket_Analysis[[#This Row],[Date]])</f>
        <v>17</v>
      </c>
      <c r="S513" s="6" t="str">
        <f>TEXT(SuperMarket_Analysis[[#This Row],[Date]],"mmmm")</f>
        <v>January</v>
      </c>
      <c r="T513" s="6">
        <f>YEAR(SuperMarket_Analysis[[#This Row],[Date]])</f>
        <v>2019</v>
      </c>
    </row>
    <row r="514" spans="1:20" x14ac:dyDescent="0.3">
      <c r="A514" t="s">
        <v>545</v>
      </c>
      <c r="B514" t="s">
        <v>15</v>
      </c>
      <c r="C514" t="s">
        <v>16</v>
      </c>
      <c r="D514" t="s">
        <v>24</v>
      </c>
      <c r="E514" t="s">
        <v>18</v>
      </c>
      <c r="F514" t="s">
        <v>42</v>
      </c>
      <c r="G514" s="3">
        <v>54.28</v>
      </c>
      <c r="H514" s="6">
        <v>7</v>
      </c>
      <c r="I514" s="3">
        <v>18.998000000000001</v>
      </c>
      <c r="J514" s="3">
        <v>398.95800000000003</v>
      </c>
      <c r="K514" s="2">
        <v>43512</v>
      </c>
      <c r="L514" s="1">
        <v>0.75347222222222221</v>
      </c>
      <c r="M514" t="s">
        <v>20</v>
      </c>
      <c r="N514" s="3">
        <v>379.96</v>
      </c>
      <c r="O514" s="4">
        <v>4.7619047620000003</v>
      </c>
      <c r="P514" s="5">
        <v>18.998000000000001</v>
      </c>
      <c r="Q514">
        <v>9.3000000000000007</v>
      </c>
      <c r="R514" s="6">
        <f>DAY(SuperMarket_Analysis[[#This Row],[Date]])</f>
        <v>16</v>
      </c>
      <c r="S514" s="6" t="str">
        <f>TEXT(SuperMarket_Analysis[[#This Row],[Date]],"mmmm")</f>
        <v>February</v>
      </c>
      <c r="T514" s="6">
        <f>YEAR(SuperMarket_Analysis[[#This Row],[Date]])</f>
        <v>2019</v>
      </c>
    </row>
    <row r="515" spans="1:20" x14ac:dyDescent="0.3">
      <c r="A515" t="s">
        <v>546</v>
      </c>
      <c r="B515" t="s">
        <v>15</v>
      </c>
      <c r="C515" t="s">
        <v>16</v>
      </c>
      <c r="D515" t="s">
        <v>24</v>
      </c>
      <c r="E515" t="s">
        <v>174</v>
      </c>
      <c r="F515" t="s">
        <v>25</v>
      </c>
      <c r="G515" s="3">
        <v>99.55</v>
      </c>
      <c r="H515" s="6">
        <v>7</v>
      </c>
      <c r="I515" s="3">
        <v>34.842500000000001</v>
      </c>
      <c r="J515" s="3">
        <v>731.6925</v>
      </c>
      <c r="K515" s="2">
        <v>43537</v>
      </c>
      <c r="L515" s="1">
        <v>0.50486111111111109</v>
      </c>
      <c r="M515" t="s">
        <v>26</v>
      </c>
      <c r="N515" s="3">
        <v>696.85</v>
      </c>
      <c r="O515" s="4">
        <v>4.7619047620000003</v>
      </c>
      <c r="P515" s="5">
        <v>34.842500000000001</v>
      </c>
      <c r="Q515">
        <v>7.6</v>
      </c>
      <c r="R515" s="6">
        <f>DAY(SuperMarket_Analysis[[#This Row],[Date]])</f>
        <v>13</v>
      </c>
      <c r="S515" s="6" t="str">
        <f>TEXT(SuperMarket_Analysis[[#This Row],[Date]],"mmmm")</f>
        <v>March</v>
      </c>
      <c r="T515" s="6">
        <f>YEAR(SuperMarket_Analysis[[#This Row],[Date]])</f>
        <v>2019</v>
      </c>
    </row>
    <row r="516" spans="1:20" x14ac:dyDescent="0.3">
      <c r="A516" t="s">
        <v>547</v>
      </c>
      <c r="B516" t="s">
        <v>22</v>
      </c>
      <c r="C516" t="s">
        <v>23</v>
      </c>
      <c r="D516" t="s">
        <v>17</v>
      </c>
      <c r="E516" t="s">
        <v>174</v>
      </c>
      <c r="F516" t="s">
        <v>32</v>
      </c>
      <c r="G516" s="3">
        <v>58.39</v>
      </c>
      <c r="H516" s="6">
        <v>7</v>
      </c>
      <c r="I516" s="3">
        <v>20.436499999999999</v>
      </c>
      <c r="J516" s="3">
        <v>429.16649999999998</v>
      </c>
      <c r="K516" s="2">
        <v>43493</v>
      </c>
      <c r="L516" s="1">
        <v>0.8256944444444444</v>
      </c>
      <c r="M516" t="s">
        <v>29</v>
      </c>
      <c r="N516" s="3">
        <v>408.73</v>
      </c>
      <c r="O516" s="4">
        <v>4.7619047620000003</v>
      </c>
      <c r="P516" s="5">
        <v>20.436499999999999</v>
      </c>
      <c r="Q516">
        <v>8.1999999999999993</v>
      </c>
      <c r="R516" s="6">
        <f>DAY(SuperMarket_Analysis[[#This Row],[Date]])</f>
        <v>28</v>
      </c>
      <c r="S516" s="6" t="str">
        <f>TEXT(SuperMarket_Analysis[[#This Row],[Date]],"mmmm")</f>
        <v>January</v>
      </c>
      <c r="T516" s="6">
        <f>YEAR(SuperMarket_Analysis[[#This Row],[Date]])</f>
        <v>2019</v>
      </c>
    </row>
    <row r="517" spans="1:20" x14ac:dyDescent="0.3">
      <c r="A517" t="s">
        <v>548</v>
      </c>
      <c r="B517" t="s">
        <v>22</v>
      </c>
      <c r="C517" t="s">
        <v>23</v>
      </c>
      <c r="D517" t="s">
        <v>17</v>
      </c>
      <c r="E517" t="s">
        <v>18</v>
      </c>
      <c r="F517" t="s">
        <v>42</v>
      </c>
      <c r="G517" s="3">
        <v>51.47</v>
      </c>
      <c r="H517" s="6">
        <v>1</v>
      </c>
      <c r="I517" s="3">
        <v>2.5735000000000001</v>
      </c>
      <c r="J517" s="3">
        <v>54.043500000000002</v>
      </c>
      <c r="K517" s="2">
        <v>43483</v>
      </c>
      <c r="L517" s="1">
        <v>0.66111111111111109</v>
      </c>
      <c r="M517" t="s">
        <v>20</v>
      </c>
      <c r="N517" s="3">
        <v>51.47</v>
      </c>
      <c r="O517" s="4">
        <v>4.7619047620000003</v>
      </c>
      <c r="P517" s="5">
        <v>2.5735000000000001</v>
      </c>
      <c r="Q517">
        <v>8.5</v>
      </c>
      <c r="R517" s="6">
        <f>DAY(SuperMarket_Analysis[[#This Row],[Date]])</f>
        <v>18</v>
      </c>
      <c r="S517" s="6" t="str">
        <f>TEXT(SuperMarket_Analysis[[#This Row],[Date]],"mmmm")</f>
        <v>January</v>
      </c>
      <c r="T517" s="6">
        <f>YEAR(SuperMarket_Analysis[[#This Row],[Date]])</f>
        <v>2019</v>
      </c>
    </row>
    <row r="518" spans="1:20" x14ac:dyDescent="0.3">
      <c r="A518" t="s">
        <v>549</v>
      </c>
      <c r="B518" t="s">
        <v>38</v>
      </c>
      <c r="C518" t="s">
        <v>39</v>
      </c>
      <c r="D518" t="s">
        <v>17</v>
      </c>
      <c r="E518" t="s">
        <v>174</v>
      </c>
      <c r="F518" t="s">
        <v>19</v>
      </c>
      <c r="G518" s="3">
        <v>54.86</v>
      </c>
      <c r="H518" s="6">
        <v>5</v>
      </c>
      <c r="I518" s="3">
        <v>13.715</v>
      </c>
      <c r="J518" s="3">
        <v>288.01499999999999</v>
      </c>
      <c r="K518" s="2">
        <v>43543</v>
      </c>
      <c r="L518" s="1">
        <v>0.7</v>
      </c>
      <c r="M518" t="s">
        <v>20</v>
      </c>
      <c r="N518" s="3">
        <v>274.3</v>
      </c>
      <c r="O518" s="4">
        <v>4.7619047620000003</v>
      </c>
      <c r="P518" s="5">
        <v>13.715</v>
      </c>
      <c r="Q518">
        <v>9.8000000000000007</v>
      </c>
      <c r="R518" s="6">
        <f>DAY(SuperMarket_Analysis[[#This Row],[Date]])</f>
        <v>19</v>
      </c>
      <c r="S518" s="6" t="str">
        <f>TEXT(SuperMarket_Analysis[[#This Row],[Date]],"mmmm")</f>
        <v>March</v>
      </c>
      <c r="T518" s="6">
        <f>YEAR(SuperMarket_Analysis[[#This Row],[Date]])</f>
        <v>2019</v>
      </c>
    </row>
    <row r="519" spans="1:20" x14ac:dyDescent="0.3">
      <c r="A519" t="s">
        <v>550</v>
      </c>
      <c r="B519" t="s">
        <v>22</v>
      </c>
      <c r="C519" t="s">
        <v>23</v>
      </c>
      <c r="D519" t="s">
        <v>17</v>
      </c>
      <c r="E519" t="s">
        <v>174</v>
      </c>
      <c r="F519" t="s">
        <v>28</v>
      </c>
      <c r="G519" s="3">
        <v>39.39</v>
      </c>
      <c r="H519" s="6">
        <v>5</v>
      </c>
      <c r="I519" s="3">
        <v>9.8475000000000001</v>
      </c>
      <c r="J519" s="3">
        <v>206.79750000000001</v>
      </c>
      <c r="K519" s="2">
        <v>43539</v>
      </c>
      <c r="L519" s="1">
        <v>0.86527777777777781</v>
      </c>
      <c r="M519" t="s">
        <v>29</v>
      </c>
      <c r="N519" s="3">
        <v>196.95</v>
      </c>
      <c r="O519" s="4">
        <v>4.7619047620000003</v>
      </c>
      <c r="P519" s="5">
        <v>9.8475000000000001</v>
      </c>
      <c r="Q519">
        <v>8.6999999999999993</v>
      </c>
      <c r="R519" s="6">
        <f>DAY(SuperMarket_Analysis[[#This Row],[Date]])</f>
        <v>15</v>
      </c>
      <c r="S519" s="6" t="str">
        <f>TEXT(SuperMarket_Analysis[[#This Row],[Date]],"mmmm")</f>
        <v>March</v>
      </c>
      <c r="T519" s="6">
        <f>YEAR(SuperMarket_Analysis[[#This Row],[Date]])</f>
        <v>2019</v>
      </c>
    </row>
    <row r="520" spans="1:20" x14ac:dyDescent="0.3">
      <c r="A520" t="s">
        <v>551</v>
      </c>
      <c r="B520" t="s">
        <v>15</v>
      </c>
      <c r="C520" t="s">
        <v>16</v>
      </c>
      <c r="D520" t="s">
        <v>24</v>
      </c>
      <c r="E520" t="s">
        <v>174</v>
      </c>
      <c r="F520" t="s">
        <v>28</v>
      </c>
      <c r="G520" s="3">
        <v>34.729999999999997</v>
      </c>
      <c r="H520" s="6">
        <v>2</v>
      </c>
      <c r="I520" s="3">
        <v>3.4729999999999999</v>
      </c>
      <c r="J520" s="3">
        <v>72.933000000000007</v>
      </c>
      <c r="K520" s="2">
        <v>43521</v>
      </c>
      <c r="L520" s="1">
        <v>0.75972222222222219</v>
      </c>
      <c r="M520" t="s">
        <v>20</v>
      </c>
      <c r="N520" s="3">
        <v>69.459999999999994</v>
      </c>
      <c r="O520" s="4">
        <v>4.7619047620000003</v>
      </c>
      <c r="P520" s="5">
        <v>3.4729999999999999</v>
      </c>
      <c r="Q520">
        <v>9.6999999999999993</v>
      </c>
      <c r="R520" s="6">
        <f>DAY(SuperMarket_Analysis[[#This Row],[Date]])</f>
        <v>25</v>
      </c>
      <c r="S520" s="6" t="str">
        <f>TEXT(SuperMarket_Analysis[[#This Row],[Date]],"mmmm")</f>
        <v>February</v>
      </c>
      <c r="T520" s="6">
        <f>YEAR(SuperMarket_Analysis[[#This Row],[Date]])</f>
        <v>2019</v>
      </c>
    </row>
    <row r="521" spans="1:20" x14ac:dyDescent="0.3">
      <c r="A521" t="s">
        <v>552</v>
      </c>
      <c r="B521" t="s">
        <v>22</v>
      </c>
      <c r="C521" t="s">
        <v>23</v>
      </c>
      <c r="D521" t="s">
        <v>17</v>
      </c>
      <c r="E521" t="s">
        <v>174</v>
      </c>
      <c r="F521" t="s">
        <v>32</v>
      </c>
      <c r="G521" s="3">
        <v>71.92</v>
      </c>
      <c r="H521" s="6">
        <v>5</v>
      </c>
      <c r="I521" s="3">
        <v>17.98</v>
      </c>
      <c r="J521" s="3">
        <v>377.58</v>
      </c>
      <c r="K521" s="2">
        <v>43545</v>
      </c>
      <c r="L521" s="1">
        <v>0.62847222222222221</v>
      </c>
      <c r="M521" t="s">
        <v>29</v>
      </c>
      <c r="N521" s="3">
        <v>359.6</v>
      </c>
      <c r="O521" s="4">
        <v>4.7619047620000003</v>
      </c>
      <c r="P521" s="5">
        <v>17.98</v>
      </c>
      <c r="Q521">
        <v>4.3</v>
      </c>
      <c r="R521" s="6">
        <f>DAY(SuperMarket_Analysis[[#This Row],[Date]])</f>
        <v>21</v>
      </c>
      <c r="S521" s="6" t="str">
        <f>TEXT(SuperMarket_Analysis[[#This Row],[Date]],"mmmm")</f>
        <v>March</v>
      </c>
      <c r="T521" s="6">
        <f>YEAR(SuperMarket_Analysis[[#This Row],[Date]])</f>
        <v>2019</v>
      </c>
    </row>
    <row r="522" spans="1:20" x14ac:dyDescent="0.3">
      <c r="A522" t="s">
        <v>553</v>
      </c>
      <c r="B522" t="s">
        <v>38</v>
      </c>
      <c r="C522" t="s">
        <v>39</v>
      </c>
      <c r="D522" t="s">
        <v>24</v>
      </c>
      <c r="E522" t="s">
        <v>18</v>
      </c>
      <c r="F522" t="s">
        <v>25</v>
      </c>
      <c r="G522" s="3">
        <v>45.71</v>
      </c>
      <c r="H522" s="6">
        <v>3</v>
      </c>
      <c r="I522" s="3">
        <v>6.8564999999999996</v>
      </c>
      <c r="J522" s="3">
        <v>143.98650000000001</v>
      </c>
      <c r="K522" s="2">
        <v>43484</v>
      </c>
      <c r="L522" s="1">
        <v>0.44027777777777777</v>
      </c>
      <c r="M522" t="s">
        <v>29</v>
      </c>
      <c r="N522" s="3">
        <v>137.13</v>
      </c>
      <c r="O522" s="4">
        <v>4.7619047620000003</v>
      </c>
      <c r="P522" s="5">
        <v>6.8564999999999996</v>
      </c>
      <c r="Q522">
        <v>7.7</v>
      </c>
      <c r="R522" s="6">
        <f>DAY(SuperMarket_Analysis[[#This Row],[Date]])</f>
        <v>19</v>
      </c>
      <c r="S522" s="6" t="str">
        <f>TEXT(SuperMarket_Analysis[[#This Row],[Date]],"mmmm")</f>
        <v>January</v>
      </c>
      <c r="T522" s="6">
        <f>YEAR(SuperMarket_Analysis[[#This Row],[Date]])</f>
        <v>2019</v>
      </c>
    </row>
    <row r="523" spans="1:20" x14ac:dyDescent="0.3">
      <c r="A523" t="s">
        <v>554</v>
      </c>
      <c r="B523" t="s">
        <v>22</v>
      </c>
      <c r="C523" t="s">
        <v>23</v>
      </c>
      <c r="D523" t="s">
        <v>17</v>
      </c>
      <c r="E523" t="s">
        <v>18</v>
      </c>
      <c r="F523" t="s">
        <v>28</v>
      </c>
      <c r="G523" s="3">
        <v>83.17</v>
      </c>
      <c r="H523" s="6">
        <v>6</v>
      </c>
      <c r="I523" s="3">
        <v>24.951000000000001</v>
      </c>
      <c r="J523" s="3">
        <v>523.971</v>
      </c>
      <c r="K523" s="2">
        <v>43554</v>
      </c>
      <c r="L523" s="1">
        <v>0.47430555555555554</v>
      </c>
      <c r="M523" t="s">
        <v>26</v>
      </c>
      <c r="N523" s="3">
        <v>499.02</v>
      </c>
      <c r="O523" s="4">
        <v>4.7619047620000003</v>
      </c>
      <c r="P523" s="5">
        <v>24.951000000000001</v>
      </c>
      <c r="Q523">
        <v>7.3</v>
      </c>
      <c r="R523" s="6">
        <f>DAY(SuperMarket_Analysis[[#This Row],[Date]])</f>
        <v>30</v>
      </c>
      <c r="S523" s="6" t="str">
        <f>TEXT(SuperMarket_Analysis[[#This Row],[Date]],"mmmm")</f>
        <v>March</v>
      </c>
      <c r="T523" s="6">
        <f>YEAR(SuperMarket_Analysis[[#This Row],[Date]])</f>
        <v>2019</v>
      </c>
    </row>
    <row r="524" spans="1:20" x14ac:dyDescent="0.3">
      <c r="A524" t="s">
        <v>555</v>
      </c>
      <c r="B524" t="s">
        <v>15</v>
      </c>
      <c r="C524" t="s">
        <v>16</v>
      </c>
      <c r="D524" t="s">
        <v>17</v>
      </c>
      <c r="E524" t="s">
        <v>18</v>
      </c>
      <c r="F524" t="s">
        <v>28</v>
      </c>
      <c r="G524" s="3">
        <v>37.44</v>
      </c>
      <c r="H524" s="6">
        <v>6</v>
      </c>
      <c r="I524" s="3">
        <v>11.231999999999999</v>
      </c>
      <c r="J524" s="3">
        <v>235.87200000000001</v>
      </c>
      <c r="K524" s="2">
        <v>43516</v>
      </c>
      <c r="L524" s="1">
        <v>0.57986111111111116</v>
      </c>
      <c r="M524" t="s">
        <v>29</v>
      </c>
      <c r="N524" s="3">
        <v>224.64</v>
      </c>
      <c r="O524" s="4">
        <v>4.7619047620000003</v>
      </c>
      <c r="P524" s="5">
        <v>11.231999999999999</v>
      </c>
      <c r="Q524">
        <v>5.9</v>
      </c>
      <c r="R524" s="6">
        <f>DAY(SuperMarket_Analysis[[#This Row],[Date]])</f>
        <v>20</v>
      </c>
      <c r="S524" s="6" t="str">
        <f>TEXT(SuperMarket_Analysis[[#This Row],[Date]],"mmmm")</f>
        <v>February</v>
      </c>
      <c r="T524" s="6">
        <f>YEAR(SuperMarket_Analysis[[#This Row],[Date]])</f>
        <v>2019</v>
      </c>
    </row>
    <row r="525" spans="1:20" x14ac:dyDescent="0.3">
      <c r="A525" t="s">
        <v>556</v>
      </c>
      <c r="B525" t="s">
        <v>22</v>
      </c>
      <c r="C525" t="s">
        <v>23</v>
      </c>
      <c r="D525" t="s">
        <v>24</v>
      </c>
      <c r="E525" t="s">
        <v>174</v>
      </c>
      <c r="F525" t="s">
        <v>19</v>
      </c>
      <c r="G525" s="3">
        <v>62.87</v>
      </c>
      <c r="H525" s="6">
        <v>2</v>
      </c>
      <c r="I525" s="3">
        <v>6.2869999999999999</v>
      </c>
      <c r="J525" s="3">
        <v>132.02699999999999</v>
      </c>
      <c r="K525" s="2">
        <v>43554</v>
      </c>
      <c r="L525" s="1">
        <v>0.48819444444444443</v>
      </c>
      <c r="M525" t="s">
        <v>26</v>
      </c>
      <c r="N525" s="3">
        <v>125.74</v>
      </c>
      <c r="O525" s="4">
        <v>4.7619047620000003</v>
      </c>
      <c r="P525" s="5">
        <v>6.2869999999999999</v>
      </c>
      <c r="Q525">
        <v>5</v>
      </c>
      <c r="R525" s="6">
        <f>DAY(SuperMarket_Analysis[[#This Row],[Date]])</f>
        <v>30</v>
      </c>
      <c r="S525" s="6" t="str">
        <f>TEXT(SuperMarket_Analysis[[#This Row],[Date]],"mmmm")</f>
        <v>March</v>
      </c>
      <c r="T525" s="6">
        <f>YEAR(SuperMarket_Analysis[[#This Row],[Date]])</f>
        <v>2019</v>
      </c>
    </row>
    <row r="526" spans="1:20" x14ac:dyDescent="0.3">
      <c r="A526" t="s">
        <v>557</v>
      </c>
      <c r="B526" t="s">
        <v>15</v>
      </c>
      <c r="C526" t="s">
        <v>16</v>
      </c>
      <c r="D526" t="s">
        <v>24</v>
      </c>
      <c r="E526" t="s">
        <v>174</v>
      </c>
      <c r="F526" t="s">
        <v>40</v>
      </c>
      <c r="G526" s="3">
        <v>81.709999999999994</v>
      </c>
      <c r="H526" s="6">
        <v>6</v>
      </c>
      <c r="I526" s="3">
        <v>24.513000000000002</v>
      </c>
      <c r="J526" s="3">
        <v>514.77300000000002</v>
      </c>
      <c r="K526" s="2">
        <v>43543</v>
      </c>
      <c r="L526" s="1">
        <v>0.60833333333333328</v>
      </c>
      <c r="M526" t="s">
        <v>29</v>
      </c>
      <c r="N526" s="3">
        <v>490.26</v>
      </c>
      <c r="O526" s="4">
        <v>4.7619047620000003</v>
      </c>
      <c r="P526" s="5">
        <v>24.513000000000002</v>
      </c>
      <c r="Q526">
        <v>8</v>
      </c>
      <c r="R526" s="6">
        <f>DAY(SuperMarket_Analysis[[#This Row],[Date]])</f>
        <v>19</v>
      </c>
      <c r="S526" s="6" t="str">
        <f>TEXT(SuperMarket_Analysis[[#This Row],[Date]],"mmmm")</f>
        <v>March</v>
      </c>
      <c r="T526" s="6">
        <f>YEAR(SuperMarket_Analysis[[#This Row],[Date]])</f>
        <v>2019</v>
      </c>
    </row>
    <row r="527" spans="1:20" x14ac:dyDescent="0.3">
      <c r="A527" t="s">
        <v>558</v>
      </c>
      <c r="B527" t="s">
        <v>15</v>
      </c>
      <c r="C527" t="s">
        <v>16</v>
      </c>
      <c r="D527" t="s">
        <v>17</v>
      </c>
      <c r="E527" t="s">
        <v>18</v>
      </c>
      <c r="F527" t="s">
        <v>32</v>
      </c>
      <c r="G527" s="3">
        <v>91.41</v>
      </c>
      <c r="H527" s="6">
        <v>5</v>
      </c>
      <c r="I527" s="3">
        <v>22.852499999999999</v>
      </c>
      <c r="J527" s="3">
        <v>479.90249999999997</v>
      </c>
      <c r="K527" s="2">
        <v>43478</v>
      </c>
      <c r="L527" s="1">
        <v>0.66874999999999996</v>
      </c>
      <c r="M527" t="s">
        <v>20</v>
      </c>
      <c r="N527" s="3">
        <v>457.05</v>
      </c>
      <c r="O527" s="4">
        <v>4.7619047620000003</v>
      </c>
      <c r="P527" s="5">
        <v>22.852499999999999</v>
      </c>
      <c r="Q527">
        <v>7.1</v>
      </c>
      <c r="R527" s="6">
        <f>DAY(SuperMarket_Analysis[[#This Row],[Date]])</f>
        <v>13</v>
      </c>
      <c r="S527" s="6" t="str">
        <f>TEXT(SuperMarket_Analysis[[#This Row],[Date]],"mmmm")</f>
        <v>January</v>
      </c>
      <c r="T527" s="6">
        <f>YEAR(SuperMarket_Analysis[[#This Row],[Date]])</f>
        <v>2019</v>
      </c>
    </row>
    <row r="528" spans="1:20" x14ac:dyDescent="0.3">
      <c r="A528" t="s">
        <v>559</v>
      </c>
      <c r="B528" t="s">
        <v>38</v>
      </c>
      <c r="C528" t="s">
        <v>39</v>
      </c>
      <c r="D528" t="s">
        <v>24</v>
      </c>
      <c r="E528" t="s">
        <v>174</v>
      </c>
      <c r="F528" t="s">
        <v>42</v>
      </c>
      <c r="G528" s="3">
        <v>39.21</v>
      </c>
      <c r="H528" s="6">
        <v>4</v>
      </c>
      <c r="I528" s="3">
        <v>7.8419999999999996</v>
      </c>
      <c r="J528" s="3">
        <v>164.68199999999999</v>
      </c>
      <c r="K528" s="2">
        <v>43547</v>
      </c>
      <c r="L528" s="1">
        <v>0.8354166666666667</v>
      </c>
      <c r="M528" t="s">
        <v>29</v>
      </c>
      <c r="N528" s="3">
        <v>156.84</v>
      </c>
      <c r="O528" s="4">
        <v>4.7619047620000003</v>
      </c>
      <c r="P528" s="5">
        <v>7.8419999999999996</v>
      </c>
      <c r="Q528">
        <v>9</v>
      </c>
      <c r="R528" s="6">
        <f>DAY(SuperMarket_Analysis[[#This Row],[Date]])</f>
        <v>23</v>
      </c>
      <c r="S528" s="6" t="str">
        <f>TEXT(SuperMarket_Analysis[[#This Row],[Date]],"mmmm")</f>
        <v>March</v>
      </c>
      <c r="T528" s="6">
        <f>YEAR(SuperMarket_Analysis[[#This Row],[Date]])</f>
        <v>2019</v>
      </c>
    </row>
    <row r="529" spans="1:20" x14ac:dyDescent="0.3">
      <c r="A529" t="s">
        <v>560</v>
      </c>
      <c r="B529" t="s">
        <v>38</v>
      </c>
      <c r="C529" t="s">
        <v>39</v>
      </c>
      <c r="D529" t="s">
        <v>17</v>
      </c>
      <c r="E529" t="s">
        <v>174</v>
      </c>
      <c r="F529" t="s">
        <v>42</v>
      </c>
      <c r="G529" s="3">
        <v>59.86</v>
      </c>
      <c r="H529" s="6">
        <v>2</v>
      </c>
      <c r="I529" s="3">
        <v>5.9859999999999998</v>
      </c>
      <c r="J529" s="3">
        <v>125.706</v>
      </c>
      <c r="K529" s="2">
        <v>43537</v>
      </c>
      <c r="L529" s="1">
        <v>0.62152777777777779</v>
      </c>
      <c r="M529" t="s">
        <v>20</v>
      </c>
      <c r="N529" s="3">
        <v>119.72</v>
      </c>
      <c r="O529" s="4">
        <v>4.7619047620000003</v>
      </c>
      <c r="P529" s="5">
        <v>5.9859999999999998</v>
      </c>
      <c r="Q529">
        <v>6.7</v>
      </c>
      <c r="R529" s="6">
        <f>DAY(SuperMarket_Analysis[[#This Row],[Date]])</f>
        <v>13</v>
      </c>
      <c r="S529" s="6" t="str">
        <f>TEXT(SuperMarket_Analysis[[#This Row],[Date]],"mmmm")</f>
        <v>March</v>
      </c>
      <c r="T529" s="6">
        <f>YEAR(SuperMarket_Analysis[[#This Row],[Date]])</f>
        <v>2019</v>
      </c>
    </row>
    <row r="530" spans="1:20" x14ac:dyDescent="0.3">
      <c r="A530" t="s">
        <v>561</v>
      </c>
      <c r="B530" t="s">
        <v>38</v>
      </c>
      <c r="C530" t="s">
        <v>39</v>
      </c>
      <c r="D530" t="s">
        <v>17</v>
      </c>
      <c r="E530" t="s">
        <v>18</v>
      </c>
      <c r="F530" t="s">
        <v>40</v>
      </c>
      <c r="G530" s="3">
        <v>54.36</v>
      </c>
      <c r="H530" s="6">
        <v>10</v>
      </c>
      <c r="I530" s="3">
        <v>27.18</v>
      </c>
      <c r="J530" s="3">
        <v>570.78</v>
      </c>
      <c r="K530" s="2">
        <v>43541</v>
      </c>
      <c r="L530" s="1">
        <v>0.4777777777777778</v>
      </c>
      <c r="M530" t="s">
        <v>29</v>
      </c>
      <c r="N530" s="3">
        <v>543.6</v>
      </c>
      <c r="O530" s="4">
        <v>4.7619047620000003</v>
      </c>
      <c r="P530" s="5">
        <v>27.18</v>
      </c>
      <c r="Q530">
        <v>6.1</v>
      </c>
      <c r="R530" s="6">
        <f>DAY(SuperMarket_Analysis[[#This Row],[Date]])</f>
        <v>17</v>
      </c>
      <c r="S530" s="6" t="str">
        <f>TEXT(SuperMarket_Analysis[[#This Row],[Date]],"mmmm")</f>
        <v>March</v>
      </c>
      <c r="T530" s="6">
        <f>YEAR(SuperMarket_Analysis[[#This Row],[Date]])</f>
        <v>2019</v>
      </c>
    </row>
    <row r="531" spans="1:20" x14ac:dyDescent="0.3">
      <c r="A531" t="s">
        <v>562</v>
      </c>
      <c r="B531" t="s">
        <v>15</v>
      </c>
      <c r="C531" t="s">
        <v>16</v>
      </c>
      <c r="D531" t="s">
        <v>24</v>
      </c>
      <c r="E531" t="s">
        <v>174</v>
      </c>
      <c r="F531" t="s">
        <v>32</v>
      </c>
      <c r="G531" s="3">
        <v>98.09</v>
      </c>
      <c r="H531" s="6">
        <v>9</v>
      </c>
      <c r="I531" s="3">
        <v>44.140500000000003</v>
      </c>
      <c r="J531" s="3">
        <v>926.95050000000003</v>
      </c>
      <c r="K531" s="2">
        <v>43517</v>
      </c>
      <c r="L531" s="1">
        <v>0.82013888888888886</v>
      </c>
      <c r="M531" t="s">
        <v>26</v>
      </c>
      <c r="N531" s="3">
        <v>882.81</v>
      </c>
      <c r="O531" s="4">
        <v>4.7619047620000003</v>
      </c>
      <c r="P531" s="5">
        <v>44.140500000000003</v>
      </c>
      <c r="Q531">
        <v>9.3000000000000007</v>
      </c>
      <c r="R531" s="6">
        <f>DAY(SuperMarket_Analysis[[#This Row],[Date]])</f>
        <v>21</v>
      </c>
      <c r="S531" s="6" t="str">
        <f>TEXT(SuperMarket_Analysis[[#This Row],[Date]],"mmmm")</f>
        <v>February</v>
      </c>
      <c r="T531" s="6">
        <f>YEAR(SuperMarket_Analysis[[#This Row],[Date]])</f>
        <v>2019</v>
      </c>
    </row>
    <row r="532" spans="1:20" x14ac:dyDescent="0.3">
      <c r="A532" t="s">
        <v>563</v>
      </c>
      <c r="B532" t="s">
        <v>15</v>
      </c>
      <c r="C532" t="s">
        <v>16</v>
      </c>
      <c r="D532" t="s">
        <v>24</v>
      </c>
      <c r="E532" t="s">
        <v>174</v>
      </c>
      <c r="F532" t="s">
        <v>19</v>
      </c>
      <c r="G532" s="3">
        <v>25.43</v>
      </c>
      <c r="H532" s="6">
        <v>6</v>
      </c>
      <c r="I532" s="3">
        <v>7.6289999999999996</v>
      </c>
      <c r="J532" s="3">
        <v>160.209</v>
      </c>
      <c r="K532" s="2">
        <v>43493</v>
      </c>
      <c r="L532" s="1">
        <v>0.79236111111111107</v>
      </c>
      <c r="M532" t="s">
        <v>20</v>
      </c>
      <c r="N532" s="3">
        <v>152.58000000000001</v>
      </c>
      <c r="O532" s="4">
        <v>4.7619047620000003</v>
      </c>
      <c r="P532" s="5">
        <v>7.6289999999999996</v>
      </c>
      <c r="Q532">
        <v>7</v>
      </c>
      <c r="R532" s="6">
        <f>DAY(SuperMarket_Analysis[[#This Row],[Date]])</f>
        <v>28</v>
      </c>
      <c r="S532" s="6" t="str">
        <f>TEXT(SuperMarket_Analysis[[#This Row],[Date]],"mmmm")</f>
        <v>January</v>
      </c>
      <c r="T532" s="6">
        <f>YEAR(SuperMarket_Analysis[[#This Row],[Date]])</f>
        <v>2019</v>
      </c>
    </row>
    <row r="533" spans="1:20" x14ac:dyDescent="0.3">
      <c r="A533" t="s">
        <v>564</v>
      </c>
      <c r="B533" t="s">
        <v>15</v>
      </c>
      <c r="C533" t="s">
        <v>16</v>
      </c>
      <c r="D533" t="s">
        <v>17</v>
      </c>
      <c r="E533" t="s">
        <v>174</v>
      </c>
      <c r="F533" t="s">
        <v>42</v>
      </c>
      <c r="G533" s="3">
        <v>86.68</v>
      </c>
      <c r="H533" s="6">
        <v>8</v>
      </c>
      <c r="I533" s="3">
        <v>34.671999999999997</v>
      </c>
      <c r="J533" s="3">
        <v>728.11199999999997</v>
      </c>
      <c r="K533" s="2">
        <v>43483</v>
      </c>
      <c r="L533" s="1">
        <v>0.75277777777777777</v>
      </c>
      <c r="M533" t="s">
        <v>29</v>
      </c>
      <c r="N533" s="3">
        <v>693.44</v>
      </c>
      <c r="O533" s="4">
        <v>4.7619047620000003</v>
      </c>
      <c r="P533" s="5">
        <v>34.671999999999997</v>
      </c>
      <c r="Q533">
        <v>7.2</v>
      </c>
      <c r="R533" s="6">
        <f>DAY(SuperMarket_Analysis[[#This Row],[Date]])</f>
        <v>18</v>
      </c>
      <c r="S533" s="6" t="str">
        <f>TEXT(SuperMarket_Analysis[[#This Row],[Date]],"mmmm")</f>
        <v>January</v>
      </c>
      <c r="T533" s="6">
        <f>YEAR(SuperMarket_Analysis[[#This Row],[Date]])</f>
        <v>2019</v>
      </c>
    </row>
    <row r="534" spans="1:20" x14ac:dyDescent="0.3">
      <c r="A534" t="s">
        <v>565</v>
      </c>
      <c r="B534" t="s">
        <v>38</v>
      </c>
      <c r="C534" t="s">
        <v>39</v>
      </c>
      <c r="D534" t="s">
        <v>24</v>
      </c>
      <c r="E534" t="s">
        <v>174</v>
      </c>
      <c r="F534" t="s">
        <v>25</v>
      </c>
      <c r="G534" s="3">
        <v>22.95</v>
      </c>
      <c r="H534" s="6">
        <v>10</v>
      </c>
      <c r="I534" s="3">
        <v>11.475</v>
      </c>
      <c r="J534" s="3">
        <v>240.97499999999999</v>
      </c>
      <c r="K534" s="2">
        <v>43479</v>
      </c>
      <c r="L534" s="1">
        <v>0.80555555555555558</v>
      </c>
      <c r="M534" t="s">
        <v>20</v>
      </c>
      <c r="N534" s="3">
        <v>229.5</v>
      </c>
      <c r="O534" s="4">
        <v>4.7619047620000003</v>
      </c>
      <c r="P534" s="5">
        <v>11.475</v>
      </c>
      <c r="Q534">
        <v>8.1999999999999993</v>
      </c>
      <c r="R534" s="6">
        <f>DAY(SuperMarket_Analysis[[#This Row],[Date]])</f>
        <v>14</v>
      </c>
      <c r="S534" s="6" t="str">
        <f>TEXT(SuperMarket_Analysis[[#This Row],[Date]],"mmmm")</f>
        <v>January</v>
      </c>
      <c r="T534" s="6">
        <f>YEAR(SuperMarket_Analysis[[#This Row],[Date]])</f>
        <v>2019</v>
      </c>
    </row>
    <row r="535" spans="1:20" x14ac:dyDescent="0.3">
      <c r="A535" t="s">
        <v>566</v>
      </c>
      <c r="B535" t="s">
        <v>22</v>
      </c>
      <c r="C535" t="s">
        <v>23</v>
      </c>
      <c r="D535" t="s">
        <v>24</v>
      </c>
      <c r="E535" t="s">
        <v>18</v>
      </c>
      <c r="F535" t="s">
        <v>40</v>
      </c>
      <c r="G535" s="3">
        <v>16.309999999999999</v>
      </c>
      <c r="H535" s="6">
        <v>9</v>
      </c>
      <c r="I535" s="3">
        <v>7.3395000000000001</v>
      </c>
      <c r="J535" s="3">
        <v>154.12950000000001</v>
      </c>
      <c r="K535" s="2">
        <v>43550</v>
      </c>
      <c r="L535" s="1">
        <v>0.43819444444444444</v>
      </c>
      <c r="M535" t="s">
        <v>20</v>
      </c>
      <c r="N535" s="3">
        <v>146.79</v>
      </c>
      <c r="O535" s="4">
        <v>4.7619047620000003</v>
      </c>
      <c r="P535" s="5">
        <v>7.3395000000000001</v>
      </c>
      <c r="Q535">
        <v>8.4</v>
      </c>
      <c r="R535" s="6">
        <f>DAY(SuperMarket_Analysis[[#This Row],[Date]])</f>
        <v>26</v>
      </c>
      <c r="S535" s="6" t="str">
        <f>TEXT(SuperMarket_Analysis[[#This Row],[Date]],"mmmm")</f>
        <v>March</v>
      </c>
      <c r="T535" s="6">
        <f>YEAR(SuperMarket_Analysis[[#This Row],[Date]])</f>
        <v>2019</v>
      </c>
    </row>
    <row r="536" spans="1:20" x14ac:dyDescent="0.3">
      <c r="A536" t="s">
        <v>567</v>
      </c>
      <c r="B536" t="s">
        <v>15</v>
      </c>
      <c r="C536" t="s">
        <v>16</v>
      </c>
      <c r="D536" t="s">
        <v>24</v>
      </c>
      <c r="E536" t="s">
        <v>18</v>
      </c>
      <c r="F536" t="s">
        <v>28</v>
      </c>
      <c r="G536" s="3">
        <v>28.32</v>
      </c>
      <c r="H536" s="6">
        <v>5</v>
      </c>
      <c r="I536" s="3">
        <v>7.08</v>
      </c>
      <c r="J536" s="3">
        <v>148.68</v>
      </c>
      <c r="K536" s="2">
        <v>43493</v>
      </c>
      <c r="L536" s="1">
        <v>0.56111111111111112</v>
      </c>
      <c r="M536" t="s">
        <v>20</v>
      </c>
      <c r="N536" s="3">
        <v>141.6</v>
      </c>
      <c r="O536" s="4">
        <v>4.7619047620000003</v>
      </c>
      <c r="P536" s="5">
        <v>7.08</v>
      </c>
      <c r="Q536">
        <v>6.2</v>
      </c>
      <c r="R536" s="6">
        <f>DAY(SuperMarket_Analysis[[#This Row],[Date]])</f>
        <v>28</v>
      </c>
      <c r="S536" s="6" t="str">
        <f>TEXT(SuperMarket_Analysis[[#This Row],[Date]],"mmmm")</f>
        <v>January</v>
      </c>
      <c r="T536" s="6">
        <f>YEAR(SuperMarket_Analysis[[#This Row],[Date]])</f>
        <v>2019</v>
      </c>
    </row>
    <row r="537" spans="1:20" x14ac:dyDescent="0.3">
      <c r="A537" t="s">
        <v>568</v>
      </c>
      <c r="B537" t="s">
        <v>22</v>
      </c>
      <c r="C537" t="s">
        <v>23</v>
      </c>
      <c r="D537" t="s">
        <v>24</v>
      </c>
      <c r="E537" t="s">
        <v>174</v>
      </c>
      <c r="F537" t="s">
        <v>28</v>
      </c>
      <c r="G537" s="3">
        <v>16.670000000000002</v>
      </c>
      <c r="H537" s="6">
        <v>7</v>
      </c>
      <c r="I537" s="3">
        <v>5.8345000000000002</v>
      </c>
      <c r="J537" s="3">
        <v>122.5245</v>
      </c>
      <c r="K537" s="2">
        <v>43510</v>
      </c>
      <c r="L537" s="1">
        <v>0.48333333333333334</v>
      </c>
      <c r="M537" t="s">
        <v>20</v>
      </c>
      <c r="N537" s="3">
        <v>116.69</v>
      </c>
      <c r="O537" s="4">
        <v>4.7619047620000003</v>
      </c>
      <c r="P537" s="5">
        <v>5.8345000000000002</v>
      </c>
      <c r="Q537">
        <v>7.4</v>
      </c>
      <c r="R537" s="6">
        <f>DAY(SuperMarket_Analysis[[#This Row],[Date]])</f>
        <v>14</v>
      </c>
      <c r="S537" s="6" t="str">
        <f>TEXT(SuperMarket_Analysis[[#This Row],[Date]],"mmmm")</f>
        <v>February</v>
      </c>
      <c r="T537" s="6">
        <f>YEAR(SuperMarket_Analysis[[#This Row],[Date]])</f>
        <v>2019</v>
      </c>
    </row>
    <row r="538" spans="1:20" x14ac:dyDescent="0.3">
      <c r="A538" t="s">
        <v>569</v>
      </c>
      <c r="B538" t="s">
        <v>38</v>
      </c>
      <c r="C538" t="s">
        <v>39</v>
      </c>
      <c r="D538" t="s">
        <v>17</v>
      </c>
      <c r="E538" t="s">
        <v>18</v>
      </c>
      <c r="F538" t="s">
        <v>42</v>
      </c>
      <c r="G538" s="3">
        <v>73.959999999999994</v>
      </c>
      <c r="H538" s="6">
        <v>1</v>
      </c>
      <c r="I538" s="3">
        <v>3.698</v>
      </c>
      <c r="J538" s="3">
        <v>77.658000000000001</v>
      </c>
      <c r="K538" s="2">
        <v>43548</v>
      </c>
      <c r="L538" s="1">
        <v>0.48055555555555557</v>
      </c>
      <c r="M538" t="s">
        <v>29</v>
      </c>
      <c r="N538" s="3">
        <v>73.959999999999994</v>
      </c>
      <c r="O538" s="4">
        <v>4.7619047620000003</v>
      </c>
      <c r="P538" s="5">
        <v>3.698</v>
      </c>
      <c r="Q538">
        <v>5</v>
      </c>
      <c r="R538" s="6">
        <f>DAY(SuperMarket_Analysis[[#This Row],[Date]])</f>
        <v>24</v>
      </c>
      <c r="S538" s="6" t="str">
        <f>TEXT(SuperMarket_Analysis[[#This Row],[Date]],"mmmm")</f>
        <v>March</v>
      </c>
      <c r="T538" s="6">
        <f>YEAR(SuperMarket_Analysis[[#This Row],[Date]])</f>
        <v>2019</v>
      </c>
    </row>
    <row r="539" spans="1:20" x14ac:dyDescent="0.3">
      <c r="A539" t="s">
        <v>570</v>
      </c>
      <c r="B539" t="s">
        <v>15</v>
      </c>
      <c r="C539" t="s">
        <v>16</v>
      </c>
      <c r="D539" t="s">
        <v>24</v>
      </c>
      <c r="E539" t="s">
        <v>174</v>
      </c>
      <c r="F539" t="s">
        <v>28</v>
      </c>
      <c r="G539" s="3">
        <v>97.94</v>
      </c>
      <c r="H539" s="6">
        <v>1</v>
      </c>
      <c r="I539" s="3">
        <v>4.8970000000000002</v>
      </c>
      <c r="J539" s="3">
        <v>102.837</v>
      </c>
      <c r="K539" s="2">
        <v>43548</v>
      </c>
      <c r="L539" s="1">
        <v>0.48888888888888887</v>
      </c>
      <c r="M539" t="s">
        <v>20</v>
      </c>
      <c r="N539" s="3">
        <v>97.94</v>
      </c>
      <c r="O539" s="4">
        <v>4.7619047620000003</v>
      </c>
      <c r="P539" s="5">
        <v>4.8970000000000002</v>
      </c>
      <c r="Q539">
        <v>6.9</v>
      </c>
      <c r="R539" s="6">
        <f>DAY(SuperMarket_Analysis[[#This Row],[Date]])</f>
        <v>24</v>
      </c>
      <c r="S539" s="6" t="str">
        <f>TEXT(SuperMarket_Analysis[[#This Row],[Date]],"mmmm")</f>
        <v>March</v>
      </c>
      <c r="T539" s="6">
        <f>YEAR(SuperMarket_Analysis[[#This Row],[Date]])</f>
        <v>2019</v>
      </c>
    </row>
    <row r="540" spans="1:20" x14ac:dyDescent="0.3">
      <c r="A540" t="s">
        <v>571</v>
      </c>
      <c r="B540" t="s">
        <v>15</v>
      </c>
      <c r="C540" t="s">
        <v>16</v>
      </c>
      <c r="D540" t="s">
        <v>24</v>
      </c>
      <c r="E540" t="s">
        <v>18</v>
      </c>
      <c r="F540" t="s">
        <v>42</v>
      </c>
      <c r="G540" s="3">
        <v>73.05</v>
      </c>
      <c r="H540" s="6">
        <v>4</v>
      </c>
      <c r="I540" s="3">
        <v>14.61</v>
      </c>
      <c r="J540" s="3">
        <v>306.81</v>
      </c>
      <c r="K540" s="2">
        <v>43551</v>
      </c>
      <c r="L540" s="1">
        <v>0.71944444444444444</v>
      </c>
      <c r="M540" t="s">
        <v>29</v>
      </c>
      <c r="N540" s="3">
        <v>292.2</v>
      </c>
      <c r="O540" s="4">
        <v>4.7619047620000003</v>
      </c>
      <c r="P540" s="5">
        <v>14.61</v>
      </c>
      <c r="Q540">
        <v>4.9000000000000004</v>
      </c>
      <c r="R540" s="6">
        <f>DAY(SuperMarket_Analysis[[#This Row],[Date]])</f>
        <v>27</v>
      </c>
      <c r="S540" s="6" t="str">
        <f>TEXT(SuperMarket_Analysis[[#This Row],[Date]],"mmmm")</f>
        <v>March</v>
      </c>
      <c r="T540" s="6">
        <f>YEAR(SuperMarket_Analysis[[#This Row],[Date]])</f>
        <v>2019</v>
      </c>
    </row>
    <row r="541" spans="1:20" x14ac:dyDescent="0.3">
      <c r="A541" t="s">
        <v>572</v>
      </c>
      <c r="B541" t="s">
        <v>22</v>
      </c>
      <c r="C541" t="s">
        <v>23</v>
      </c>
      <c r="D541" t="s">
        <v>17</v>
      </c>
      <c r="E541" t="s">
        <v>18</v>
      </c>
      <c r="F541" t="s">
        <v>40</v>
      </c>
      <c r="G541" s="3">
        <v>87.48</v>
      </c>
      <c r="H541" s="6">
        <v>6</v>
      </c>
      <c r="I541" s="3">
        <v>26.244</v>
      </c>
      <c r="J541" s="3">
        <v>551.12400000000002</v>
      </c>
      <c r="K541" s="2">
        <v>43492</v>
      </c>
      <c r="L541" s="1">
        <v>0.77986111111111112</v>
      </c>
      <c r="M541" t="s">
        <v>20</v>
      </c>
      <c r="N541" s="3">
        <v>524.88</v>
      </c>
      <c r="O541" s="4">
        <v>4.7619047620000003</v>
      </c>
      <c r="P541" s="5">
        <v>26.244</v>
      </c>
      <c r="Q541">
        <v>5.0999999999999996</v>
      </c>
      <c r="R541" s="6">
        <f>DAY(SuperMarket_Analysis[[#This Row],[Date]])</f>
        <v>27</v>
      </c>
      <c r="S541" s="6" t="str">
        <f>TEXT(SuperMarket_Analysis[[#This Row],[Date]],"mmmm")</f>
        <v>January</v>
      </c>
      <c r="T541" s="6">
        <f>YEAR(SuperMarket_Analysis[[#This Row],[Date]])</f>
        <v>2019</v>
      </c>
    </row>
    <row r="542" spans="1:20" x14ac:dyDescent="0.3">
      <c r="A542" t="s">
        <v>573</v>
      </c>
      <c r="B542" t="s">
        <v>15</v>
      </c>
      <c r="C542" t="s">
        <v>16</v>
      </c>
      <c r="D542" t="s">
        <v>24</v>
      </c>
      <c r="E542" t="s">
        <v>174</v>
      </c>
      <c r="F542" t="s">
        <v>28</v>
      </c>
      <c r="G542" s="3">
        <v>30.68</v>
      </c>
      <c r="H542" s="6">
        <v>3</v>
      </c>
      <c r="I542" s="3">
        <v>4.6020000000000003</v>
      </c>
      <c r="J542" s="3">
        <v>96.641999999999996</v>
      </c>
      <c r="K542" s="2">
        <v>43551</v>
      </c>
      <c r="L542" s="1">
        <v>0.45833333333333331</v>
      </c>
      <c r="M542" t="s">
        <v>20</v>
      </c>
      <c r="N542" s="3">
        <v>92.04</v>
      </c>
      <c r="O542" s="4">
        <v>4.7619047620000003</v>
      </c>
      <c r="P542" s="5">
        <v>4.6020000000000003</v>
      </c>
      <c r="Q542">
        <v>9.1</v>
      </c>
      <c r="R542" s="6">
        <f>DAY(SuperMarket_Analysis[[#This Row],[Date]])</f>
        <v>27</v>
      </c>
      <c r="S542" s="6" t="str">
        <f>TEXT(SuperMarket_Analysis[[#This Row],[Date]],"mmmm")</f>
        <v>March</v>
      </c>
      <c r="T542" s="6">
        <f>YEAR(SuperMarket_Analysis[[#This Row],[Date]])</f>
        <v>2019</v>
      </c>
    </row>
    <row r="543" spans="1:20" x14ac:dyDescent="0.3">
      <c r="A543" t="s">
        <v>574</v>
      </c>
      <c r="B543" t="s">
        <v>22</v>
      </c>
      <c r="C543" t="s">
        <v>23</v>
      </c>
      <c r="D543" t="s">
        <v>17</v>
      </c>
      <c r="E543" t="s">
        <v>174</v>
      </c>
      <c r="F543" t="s">
        <v>19</v>
      </c>
      <c r="G543" s="3">
        <v>75.88</v>
      </c>
      <c r="H543" s="6">
        <v>1</v>
      </c>
      <c r="I543" s="3">
        <v>3.794</v>
      </c>
      <c r="J543" s="3">
        <v>79.674000000000007</v>
      </c>
      <c r="K543" s="2">
        <v>43484</v>
      </c>
      <c r="L543" s="1">
        <v>0.4375</v>
      </c>
      <c r="M543" t="s">
        <v>29</v>
      </c>
      <c r="N543" s="3">
        <v>75.88</v>
      </c>
      <c r="O543" s="4">
        <v>4.7619047620000003</v>
      </c>
      <c r="P543" s="5">
        <v>3.794</v>
      </c>
      <c r="Q543">
        <v>7.1</v>
      </c>
      <c r="R543" s="6">
        <f>DAY(SuperMarket_Analysis[[#This Row],[Date]])</f>
        <v>19</v>
      </c>
      <c r="S543" s="6" t="str">
        <f>TEXT(SuperMarket_Analysis[[#This Row],[Date]],"mmmm")</f>
        <v>January</v>
      </c>
      <c r="T543" s="6">
        <f>YEAR(SuperMarket_Analysis[[#This Row],[Date]])</f>
        <v>2019</v>
      </c>
    </row>
    <row r="544" spans="1:20" x14ac:dyDescent="0.3">
      <c r="A544" t="s">
        <v>575</v>
      </c>
      <c r="B544" t="s">
        <v>38</v>
      </c>
      <c r="C544" t="s">
        <v>39</v>
      </c>
      <c r="D544" t="s">
        <v>17</v>
      </c>
      <c r="E544" t="s">
        <v>18</v>
      </c>
      <c r="F544" t="s">
        <v>32</v>
      </c>
      <c r="G544" s="3">
        <v>20.18</v>
      </c>
      <c r="H544" s="6">
        <v>4</v>
      </c>
      <c r="I544" s="3">
        <v>4.0359999999999996</v>
      </c>
      <c r="J544" s="3">
        <v>84.756</v>
      </c>
      <c r="K544" s="2">
        <v>43496</v>
      </c>
      <c r="L544" s="1">
        <v>0.50972222222222219</v>
      </c>
      <c r="M544" t="s">
        <v>29</v>
      </c>
      <c r="N544" s="3">
        <v>80.72</v>
      </c>
      <c r="O544" s="4">
        <v>4.7619047620000003</v>
      </c>
      <c r="P544" s="5">
        <v>4.0359999999999996</v>
      </c>
      <c r="Q544">
        <v>5</v>
      </c>
      <c r="R544" s="6">
        <f>DAY(SuperMarket_Analysis[[#This Row],[Date]])</f>
        <v>31</v>
      </c>
      <c r="S544" s="6" t="str">
        <f>TEXT(SuperMarket_Analysis[[#This Row],[Date]],"mmmm")</f>
        <v>January</v>
      </c>
      <c r="T544" s="6">
        <f>YEAR(SuperMarket_Analysis[[#This Row],[Date]])</f>
        <v>2019</v>
      </c>
    </row>
    <row r="545" spans="1:20" x14ac:dyDescent="0.3">
      <c r="A545" t="s">
        <v>576</v>
      </c>
      <c r="B545" t="s">
        <v>22</v>
      </c>
      <c r="C545" t="s">
        <v>23</v>
      </c>
      <c r="D545" t="s">
        <v>17</v>
      </c>
      <c r="E545" t="s">
        <v>174</v>
      </c>
      <c r="F545" t="s">
        <v>25</v>
      </c>
      <c r="G545" s="3">
        <v>18.77</v>
      </c>
      <c r="H545" s="6">
        <v>6</v>
      </c>
      <c r="I545" s="3">
        <v>5.6310000000000002</v>
      </c>
      <c r="J545" s="3">
        <v>118.251</v>
      </c>
      <c r="K545" s="2">
        <v>43521</v>
      </c>
      <c r="L545" s="1">
        <v>0.69652777777777775</v>
      </c>
      <c r="M545" t="s">
        <v>29</v>
      </c>
      <c r="N545" s="3">
        <v>112.62</v>
      </c>
      <c r="O545" s="4">
        <v>4.7619047620000003</v>
      </c>
      <c r="P545" s="5">
        <v>5.6310000000000002</v>
      </c>
      <c r="Q545">
        <v>5.5</v>
      </c>
      <c r="R545" s="6">
        <f>DAY(SuperMarket_Analysis[[#This Row],[Date]])</f>
        <v>25</v>
      </c>
      <c r="S545" s="6" t="str">
        <f>TEXT(SuperMarket_Analysis[[#This Row],[Date]],"mmmm")</f>
        <v>February</v>
      </c>
      <c r="T545" s="6">
        <f>YEAR(SuperMarket_Analysis[[#This Row],[Date]])</f>
        <v>2019</v>
      </c>
    </row>
    <row r="546" spans="1:20" x14ac:dyDescent="0.3">
      <c r="A546" t="s">
        <v>577</v>
      </c>
      <c r="B546" t="s">
        <v>38</v>
      </c>
      <c r="C546" t="s">
        <v>39</v>
      </c>
      <c r="D546" t="s">
        <v>24</v>
      </c>
      <c r="E546" t="s">
        <v>18</v>
      </c>
      <c r="F546" t="s">
        <v>40</v>
      </c>
      <c r="G546" s="3">
        <v>71.2</v>
      </c>
      <c r="H546" s="6">
        <v>1</v>
      </c>
      <c r="I546" s="3">
        <v>3.56</v>
      </c>
      <c r="J546" s="3">
        <v>74.760000000000005</v>
      </c>
      <c r="K546" s="2">
        <v>43538</v>
      </c>
      <c r="L546" s="1">
        <v>0.86111111111111116</v>
      </c>
      <c r="M546" t="s">
        <v>29</v>
      </c>
      <c r="N546" s="3">
        <v>71.2</v>
      </c>
      <c r="O546" s="4">
        <v>4.7619047620000003</v>
      </c>
      <c r="P546" s="5">
        <v>3.56</v>
      </c>
      <c r="Q546">
        <v>9.1999999999999993</v>
      </c>
      <c r="R546" s="6">
        <f>DAY(SuperMarket_Analysis[[#This Row],[Date]])</f>
        <v>14</v>
      </c>
      <c r="S546" s="6" t="str">
        <f>TEXT(SuperMarket_Analysis[[#This Row],[Date]],"mmmm")</f>
        <v>March</v>
      </c>
      <c r="T546" s="6">
        <f>YEAR(SuperMarket_Analysis[[#This Row],[Date]])</f>
        <v>2019</v>
      </c>
    </row>
    <row r="547" spans="1:20" x14ac:dyDescent="0.3">
      <c r="A547" t="s">
        <v>578</v>
      </c>
      <c r="B547" t="s">
        <v>38</v>
      </c>
      <c r="C547" t="s">
        <v>39</v>
      </c>
      <c r="D547" t="s">
        <v>17</v>
      </c>
      <c r="E547" t="s">
        <v>174</v>
      </c>
      <c r="F547" t="s">
        <v>28</v>
      </c>
      <c r="G547" s="3">
        <v>38.81</v>
      </c>
      <c r="H547" s="6">
        <v>4</v>
      </c>
      <c r="I547" s="3">
        <v>7.7619999999999996</v>
      </c>
      <c r="J547" s="3">
        <v>163.00200000000001</v>
      </c>
      <c r="K547" s="2">
        <v>43518</v>
      </c>
      <c r="L547" s="1">
        <v>0.56944444444444442</v>
      </c>
      <c r="M547" t="s">
        <v>20</v>
      </c>
      <c r="N547" s="3">
        <v>155.24</v>
      </c>
      <c r="O547" s="4">
        <v>4.7619047620000003</v>
      </c>
      <c r="P547" s="5">
        <v>7.7619999999999996</v>
      </c>
      <c r="Q547">
        <v>4.9000000000000004</v>
      </c>
      <c r="R547" s="6">
        <f>DAY(SuperMarket_Analysis[[#This Row],[Date]])</f>
        <v>22</v>
      </c>
      <c r="S547" s="6" t="str">
        <f>TEXT(SuperMarket_Analysis[[#This Row],[Date]],"mmmm")</f>
        <v>February</v>
      </c>
      <c r="T547" s="6">
        <f>YEAR(SuperMarket_Analysis[[#This Row],[Date]])</f>
        <v>2019</v>
      </c>
    </row>
    <row r="548" spans="1:20" x14ac:dyDescent="0.3">
      <c r="A548" t="s">
        <v>579</v>
      </c>
      <c r="B548" t="s">
        <v>15</v>
      </c>
      <c r="C548" t="s">
        <v>16</v>
      </c>
      <c r="D548" t="s">
        <v>24</v>
      </c>
      <c r="E548" t="s">
        <v>18</v>
      </c>
      <c r="F548" t="s">
        <v>42</v>
      </c>
      <c r="G548" s="3">
        <v>29.42</v>
      </c>
      <c r="H548" s="6">
        <v>10</v>
      </c>
      <c r="I548" s="3">
        <v>14.71</v>
      </c>
      <c r="J548" s="3">
        <v>308.91000000000003</v>
      </c>
      <c r="K548" s="2">
        <v>43518</v>
      </c>
      <c r="L548" s="1">
        <v>0.68263888888888891</v>
      </c>
      <c r="M548" t="s">
        <v>20</v>
      </c>
      <c r="N548" s="3">
        <v>294.2</v>
      </c>
      <c r="O548" s="4">
        <v>4.7619047620000003</v>
      </c>
      <c r="P548" s="5">
        <v>14.71</v>
      </c>
      <c r="Q548">
        <v>8.9</v>
      </c>
      <c r="R548" s="6">
        <f>DAY(SuperMarket_Analysis[[#This Row],[Date]])</f>
        <v>22</v>
      </c>
      <c r="S548" s="6" t="str">
        <f>TEXT(SuperMarket_Analysis[[#This Row],[Date]],"mmmm")</f>
        <v>February</v>
      </c>
      <c r="T548" s="6">
        <f>YEAR(SuperMarket_Analysis[[#This Row],[Date]])</f>
        <v>2019</v>
      </c>
    </row>
    <row r="549" spans="1:20" x14ac:dyDescent="0.3">
      <c r="A549" t="s">
        <v>580</v>
      </c>
      <c r="B549" t="s">
        <v>15</v>
      </c>
      <c r="C549" t="s">
        <v>16</v>
      </c>
      <c r="D549" t="s">
        <v>24</v>
      </c>
      <c r="E549" t="s">
        <v>174</v>
      </c>
      <c r="F549" t="s">
        <v>32</v>
      </c>
      <c r="G549" s="3">
        <v>60.95</v>
      </c>
      <c r="H549" s="6">
        <v>9</v>
      </c>
      <c r="I549" s="3">
        <v>27.427499999999998</v>
      </c>
      <c r="J549" s="3">
        <v>575.97749999999996</v>
      </c>
      <c r="K549" s="2">
        <v>43538</v>
      </c>
      <c r="L549" s="1">
        <v>0.50555555555555554</v>
      </c>
      <c r="M549" t="s">
        <v>29</v>
      </c>
      <c r="N549" s="3">
        <v>548.54999999999995</v>
      </c>
      <c r="O549" s="4">
        <v>4.7619047620000003</v>
      </c>
      <c r="P549" s="5">
        <v>27.427499999999998</v>
      </c>
      <c r="Q549">
        <v>6</v>
      </c>
      <c r="R549" s="6">
        <f>DAY(SuperMarket_Analysis[[#This Row],[Date]])</f>
        <v>14</v>
      </c>
      <c r="S549" s="6" t="str">
        <f>TEXT(SuperMarket_Analysis[[#This Row],[Date]],"mmmm")</f>
        <v>March</v>
      </c>
      <c r="T549" s="6">
        <f>YEAR(SuperMarket_Analysis[[#This Row],[Date]])</f>
        <v>2019</v>
      </c>
    </row>
    <row r="550" spans="1:20" x14ac:dyDescent="0.3">
      <c r="A550" t="s">
        <v>581</v>
      </c>
      <c r="B550" t="s">
        <v>38</v>
      </c>
      <c r="C550" t="s">
        <v>39</v>
      </c>
      <c r="D550" t="s">
        <v>24</v>
      </c>
      <c r="E550" t="s">
        <v>18</v>
      </c>
      <c r="F550" t="s">
        <v>32</v>
      </c>
      <c r="G550" s="3">
        <v>51.54</v>
      </c>
      <c r="H550" s="6">
        <v>5</v>
      </c>
      <c r="I550" s="3">
        <v>12.885</v>
      </c>
      <c r="J550" s="3">
        <v>270.58499999999998</v>
      </c>
      <c r="K550" s="2">
        <v>43511</v>
      </c>
      <c r="L550" s="1">
        <v>0.73958333333333337</v>
      </c>
      <c r="M550" t="s">
        <v>26</v>
      </c>
      <c r="N550" s="3">
        <v>257.7</v>
      </c>
      <c r="O550" s="4">
        <v>4.7619047620000003</v>
      </c>
      <c r="P550" s="5">
        <v>12.885</v>
      </c>
      <c r="Q550">
        <v>4.2</v>
      </c>
      <c r="R550" s="6">
        <f>DAY(SuperMarket_Analysis[[#This Row],[Date]])</f>
        <v>15</v>
      </c>
      <c r="S550" s="6" t="str">
        <f>TEXT(SuperMarket_Analysis[[#This Row],[Date]],"mmmm")</f>
        <v>February</v>
      </c>
      <c r="T550" s="6">
        <f>YEAR(SuperMarket_Analysis[[#This Row],[Date]])</f>
        <v>2019</v>
      </c>
    </row>
    <row r="551" spans="1:20" x14ac:dyDescent="0.3">
      <c r="A551" t="s">
        <v>582</v>
      </c>
      <c r="B551" t="s">
        <v>15</v>
      </c>
      <c r="C551" t="s">
        <v>16</v>
      </c>
      <c r="D551" t="s">
        <v>24</v>
      </c>
      <c r="E551" t="s">
        <v>18</v>
      </c>
      <c r="F551" t="s">
        <v>25</v>
      </c>
      <c r="G551" s="3">
        <v>66.06</v>
      </c>
      <c r="H551" s="6">
        <v>6</v>
      </c>
      <c r="I551" s="3">
        <v>19.818000000000001</v>
      </c>
      <c r="J551" s="3">
        <v>416.178</v>
      </c>
      <c r="K551" s="2">
        <v>43478</v>
      </c>
      <c r="L551" s="1">
        <v>0.43611111111111112</v>
      </c>
      <c r="M551" t="s">
        <v>26</v>
      </c>
      <c r="N551" s="3">
        <v>396.36</v>
      </c>
      <c r="O551" s="4">
        <v>4.7619047620000003</v>
      </c>
      <c r="P551" s="5">
        <v>19.818000000000001</v>
      </c>
      <c r="Q551">
        <v>7.3</v>
      </c>
      <c r="R551" s="6">
        <f>DAY(SuperMarket_Analysis[[#This Row],[Date]])</f>
        <v>13</v>
      </c>
      <c r="S551" s="6" t="str">
        <f>TEXT(SuperMarket_Analysis[[#This Row],[Date]],"mmmm")</f>
        <v>January</v>
      </c>
      <c r="T551" s="6">
        <f>YEAR(SuperMarket_Analysis[[#This Row],[Date]])</f>
        <v>2019</v>
      </c>
    </row>
    <row r="552" spans="1:20" x14ac:dyDescent="0.3">
      <c r="A552" t="s">
        <v>583</v>
      </c>
      <c r="B552" t="s">
        <v>38</v>
      </c>
      <c r="C552" t="s">
        <v>39</v>
      </c>
      <c r="D552" t="s">
        <v>24</v>
      </c>
      <c r="E552" t="s">
        <v>174</v>
      </c>
      <c r="F552" t="s">
        <v>42</v>
      </c>
      <c r="G552" s="3">
        <v>57.27</v>
      </c>
      <c r="H552" s="6">
        <v>3</v>
      </c>
      <c r="I552" s="3">
        <v>8.5905000000000005</v>
      </c>
      <c r="J552" s="3">
        <v>180.40049999999999</v>
      </c>
      <c r="K552" s="2">
        <v>43511</v>
      </c>
      <c r="L552" s="1">
        <v>0.85486111111111107</v>
      </c>
      <c r="M552" t="s">
        <v>20</v>
      </c>
      <c r="N552" s="3">
        <v>171.81</v>
      </c>
      <c r="O552" s="4">
        <v>4.7619047620000003</v>
      </c>
      <c r="P552" s="5">
        <v>8.5905000000000005</v>
      </c>
      <c r="Q552">
        <v>6.5</v>
      </c>
      <c r="R552" s="6">
        <f>DAY(SuperMarket_Analysis[[#This Row],[Date]])</f>
        <v>15</v>
      </c>
      <c r="S552" s="6" t="str">
        <f>TEXT(SuperMarket_Analysis[[#This Row],[Date]],"mmmm")</f>
        <v>February</v>
      </c>
      <c r="T552" s="6">
        <f>YEAR(SuperMarket_Analysis[[#This Row],[Date]])</f>
        <v>2019</v>
      </c>
    </row>
    <row r="553" spans="1:20" x14ac:dyDescent="0.3">
      <c r="A553" t="s">
        <v>584</v>
      </c>
      <c r="B553" t="s">
        <v>38</v>
      </c>
      <c r="C553" t="s">
        <v>39</v>
      </c>
      <c r="D553" t="s">
        <v>24</v>
      </c>
      <c r="E553" t="s">
        <v>18</v>
      </c>
      <c r="F553" t="s">
        <v>42</v>
      </c>
      <c r="G553" s="3">
        <v>54.31</v>
      </c>
      <c r="H553" s="6">
        <v>9</v>
      </c>
      <c r="I553" s="3">
        <v>24.439499999999999</v>
      </c>
      <c r="J553" s="3">
        <v>513.22950000000003</v>
      </c>
      <c r="K553" s="2">
        <v>43548</v>
      </c>
      <c r="L553" s="1">
        <v>0.45069444444444445</v>
      </c>
      <c r="M553" t="s">
        <v>26</v>
      </c>
      <c r="N553" s="3">
        <v>488.79</v>
      </c>
      <c r="O553" s="4">
        <v>4.7619047620000003</v>
      </c>
      <c r="P553" s="5">
        <v>24.439499999999999</v>
      </c>
      <c r="Q553">
        <v>8.9</v>
      </c>
      <c r="R553" s="6">
        <f>DAY(SuperMarket_Analysis[[#This Row],[Date]])</f>
        <v>24</v>
      </c>
      <c r="S553" s="6" t="str">
        <f>TEXT(SuperMarket_Analysis[[#This Row],[Date]],"mmmm")</f>
        <v>March</v>
      </c>
      <c r="T553" s="6">
        <f>YEAR(SuperMarket_Analysis[[#This Row],[Date]])</f>
        <v>2019</v>
      </c>
    </row>
    <row r="554" spans="1:20" x14ac:dyDescent="0.3">
      <c r="A554" t="s">
        <v>585</v>
      </c>
      <c r="B554" t="s">
        <v>38</v>
      </c>
      <c r="C554" t="s">
        <v>39</v>
      </c>
      <c r="D554" t="s">
        <v>24</v>
      </c>
      <c r="E554" t="s">
        <v>18</v>
      </c>
      <c r="F554" t="s">
        <v>19</v>
      </c>
      <c r="G554" s="3">
        <v>58.24</v>
      </c>
      <c r="H554" s="6">
        <v>9</v>
      </c>
      <c r="I554" s="3">
        <v>26.207999999999998</v>
      </c>
      <c r="J554" s="3">
        <v>550.36800000000005</v>
      </c>
      <c r="K554" s="2">
        <v>43523</v>
      </c>
      <c r="L554" s="1">
        <v>0.52361111111111114</v>
      </c>
      <c r="M554" t="s">
        <v>26</v>
      </c>
      <c r="N554" s="3">
        <v>524.16</v>
      </c>
      <c r="O554" s="4">
        <v>4.7619047620000003</v>
      </c>
      <c r="P554" s="5">
        <v>26.207999999999998</v>
      </c>
      <c r="Q554">
        <v>9.6999999999999993</v>
      </c>
      <c r="R554" s="6">
        <f>DAY(SuperMarket_Analysis[[#This Row],[Date]])</f>
        <v>27</v>
      </c>
      <c r="S554" s="6" t="str">
        <f>TEXT(SuperMarket_Analysis[[#This Row],[Date]],"mmmm")</f>
        <v>February</v>
      </c>
      <c r="T554" s="6">
        <f>YEAR(SuperMarket_Analysis[[#This Row],[Date]])</f>
        <v>2019</v>
      </c>
    </row>
    <row r="555" spans="1:20" x14ac:dyDescent="0.3">
      <c r="A555" t="s">
        <v>586</v>
      </c>
      <c r="B555" t="s">
        <v>22</v>
      </c>
      <c r="C555" t="s">
        <v>23</v>
      </c>
      <c r="D555" t="s">
        <v>24</v>
      </c>
      <c r="E555" t="s">
        <v>174</v>
      </c>
      <c r="F555" t="s">
        <v>25</v>
      </c>
      <c r="G555" s="3">
        <v>22.21</v>
      </c>
      <c r="H555" s="6">
        <v>6</v>
      </c>
      <c r="I555" s="3">
        <v>6.6630000000000003</v>
      </c>
      <c r="J555" s="3">
        <v>139.923</v>
      </c>
      <c r="K555" s="2">
        <v>43485</v>
      </c>
      <c r="L555" s="1">
        <v>0.43263888888888891</v>
      </c>
      <c r="M555" t="s">
        <v>29</v>
      </c>
      <c r="N555" s="3">
        <v>133.26</v>
      </c>
      <c r="O555" s="4">
        <v>4.7619047620000003</v>
      </c>
      <c r="P555" s="5">
        <v>6.6630000000000003</v>
      </c>
      <c r="Q555">
        <v>8.6</v>
      </c>
      <c r="R555" s="6">
        <f>DAY(SuperMarket_Analysis[[#This Row],[Date]])</f>
        <v>20</v>
      </c>
      <c r="S555" s="6" t="str">
        <f>TEXT(SuperMarket_Analysis[[#This Row],[Date]],"mmmm")</f>
        <v>January</v>
      </c>
      <c r="T555" s="6">
        <f>YEAR(SuperMarket_Analysis[[#This Row],[Date]])</f>
        <v>2019</v>
      </c>
    </row>
    <row r="556" spans="1:20" x14ac:dyDescent="0.3">
      <c r="A556" t="s">
        <v>587</v>
      </c>
      <c r="B556" t="s">
        <v>15</v>
      </c>
      <c r="C556" t="s">
        <v>16</v>
      </c>
      <c r="D556" t="s">
        <v>17</v>
      </c>
      <c r="E556" t="s">
        <v>174</v>
      </c>
      <c r="F556" t="s">
        <v>25</v>
      </c>
      <c r="G556" s="3">
        <v>19.32</v>
      </c>
      <c r="H556" s="6">
        <v>7</v>
      </c>
      <c r="I556" s="3">
        <v>6.7619999999999996</v>
      </c>
      <c r="J556" s="3">
        <v>142.00200000000001</v>
      </c>
      <c r="K556" s="2">
        <v>43489</v>
      </c>
      <c r="L556" s="1">
        <v>0.78541666666666665</v>
      </c>
      <c r="M556" t="s">
        <v>26</v>
      </c>
      <c r="N556" s="3">
        <v>135.24</v>
      </c>
      <c r="O556" s="4">
        <v>4.7619047620000003</v>
      </c>
      <c r="P556" s="5">
        <v>6.7619999999999996</v>
      </c>
      <c r="Q556">
        <v>6.9</v>
      </c>
      <c r="R556" s="6">
        <f>DAY(SuperMarket_Analysis[[#This Row],[Date]])</f>
        <v>24</v>
      </c>
      <c r="S556" s="6" t="str">
        <f>TEXT(SuperMarket_Analysis[[#This Row],[Date]],"mmmm")</f>
        <v>January</v>
      </c>
      <c r="T556" s="6">
        <f>YEAR(SuperMarket_Analysis[[#This Row],[Date]])</f>
        <v>2019</v>
      </c>
    </row>
    <row r="557" spans="1:20" x14ac:dyDescent="0.3">
      <c r="A557" t="s">
        <v>588</v>
      </c>
      <c r="B557" t="s">
        <v>38</v>
      </c>
      <c r="C557" t="s">
        <v>39</v>
      </c>
      <c r="D557" t="s">
        <v>24</v>
      </c>
      <c r="E557" t="s">
        <v>174</v>
      </c>
      <c r="F557" t="s">
        <v>28</v>
      </c>
      <c r="G557" s="3">
        <v>37.479999999999997</v>
      </c>
      <c r="H557" s="6">
        <v>3</v>
      </c>
      <c r="I557" s="3">
        <v>5.6219999999999999</v>
      </c>
      <c r="J557" s="3">
        <v>118.062</v>
      </c>
      <c r="K557" s="2">
        <v>43554</v>
      </c>
      <c r="L557" s="1">
        <v>0.57291666666666663</v>
      </c>
      <c r="M557" t="s">
        <v>29</v>
      </c>
      <c r="N557" s="3">
        <v>112.44</v>
      </c>
      <c r="O557" s="4">
        <v>4.7619047620000003</v>
      </c>
      <c r="P557" s="5">
        <v>5.6219999999999999</v>
      </c>
      <c r="Q557">
        <v>7.7</v>
      </c>
      <c r="R557" s="6">
        <f>DAY(SuperMarket_Analysis[[#This Row],[Date]])</f>
        <v>30</v>
      </c>
      <c r="S557" s="6" t="str">
        <f>TEXT(SuperMarket_Analysis[[#This Row],[Date]],"mmmm")</f>
        <v>March</v>
      </c>
      <c r="T557" s="6">
        <f>YEAR(SuperMarket_Analysis[[#This Row],[Date]])</f>
        <v>2019</v>
      </c>
    </row>
    <row r="558" spans="1:20" x14ac:dyDescent="0.3">
      <c r="A558" t="s">
        <v>589</v>
      </c>
      <c r="B558" t="s">
        <v>38</v>
      </c>
      <c r="C558" t="s">
        <v>39</v>
      </c>
      <c r="D558" t="s">
        <v>17</v>
      </c>
      <c r="E558" t="s">
        <v>18</v>
      </c>
      <c r="F558" t="s">
        <v>42</v>
      </c>
      <c r="G558" s="3">
        <v>72.040000000000006</v>
      </c>
      <c r="H558" s="6">
        <v>2</v>
      </c>
      <c r="I558" s="3">
        <v>7.2039999999999997</v>
      </c>
      <c r="J558" s="3">
        <v>151.28399999999999</v>
      </c>
      <c r="K558" s="2">
        <v>43513</v>
      </c>
      <c r="L558" s="1">
        <v>0.81805555555555554</v>
      </c>
      <c r="M558" t="s">
        <v>26</v>
      </c>
      <c r="N558" s="3">
        <v>144.08000000000001</v>
      </c>
      <c r="O558" s="4">
        <v>4.7619047620000003</v>
      </c>
      <c r="P558" s="5">
        <v>7.2039999999999997</v>
      </c>
      <c r="Q558">
        <v>9.5</v>
      </c>
      <c r="R558" s="6">
        <f>DAY(SuperMarket_Analysis[[#This Row],[Date]])</f>
        <v>17</v>
      </c>
      <c r="S558" s="6" t="str">
        <f>TEXT(SuperMarket_Analysis[[#This Row],[Date]],"mmmm")</f>
        <v>February</v>
      </c>
      <c r="T558" s="6">
        <f>YEAR(SuperMarket_Analysis[[#This Row],[Date]])</f>
        <v>2019</v>
      </c>
    </row>
    <row r="559" spans="1:20" x14ac:dyDescent="0.3">
      <c r="A559" t="s">
        <v>590</v>
      </c>
      <c r="B559" t="s">
        <v>22</v>
      </c>
      <c r="C559" t="s">
        <v>23</v>
      </c>
      <c r="D559" t="s">
        <v>17</v>
      </c>
      <c r="E559" t="s">
        <v>18</v>
      </c>
      <c r="F559" t="s">
        <v>40</v>
      </c>
      <c r="G559" s="3">
        <v>98.52</v>
      </c>
      <c r="H559" s="6">
        <v>10</v>
      </c>
      <c r="I559" s="3">
        <v>49.26</v>
      </c>
      <c r="J559" s="3">
        <v>1034.46</v>
      </c>
      <c r="K559" s="2">
        <v>43545</v>
      </c>
      <c r="L559" s="1">
        <v>0.84930555555555554</v>
      </c>
      <c r="M559" t="s">
        <v>20</v>
      </c>
      <c r="N559" s="3">
        <v>985.2</v>
      </c>
      <c r="O559" s="4">
        <v>4.7619047620000003</v>
      </c>
      <c r="P559" s="5">
        <v>49.26</v>
      </c>
      <c r="Q559">
        <v>4.5</v>
      </c>
      <c r="R559" s="6">
        <f>DAY(SuperMarket_Analysis[[#This Row],[Date]])</f>
        <v>21</v>
      </c>
      <c r="S559" s="6" t="str">
        <f>TEXT(SuperMarket_Analysis[[#This Row],[Date]],"mmmm")</f>
        <v>March</v>
      </c>
      <c r="T559" s="6">
        <f>YEAR(SuperMarket_Analysis[[#This Row],[Date]])</f>
        <v>2019</v>
      </c>
    </row>
    <row r="560" spans="1:20" x14ac:dyDescent="0.3">
      <c r="A560" t="s">
        <v>591</v>
      </c>
      <c r="B560" t="s">
        <v>15</v>
      </c>
      <c r="C560" t="s">
        <v>16</v>
      </c>
      <c r="D560" t="s">
        <v>17</v>
      </c>
      <c r="E560" t="s">
        <v>174</v>
      </c>
      <c r="F560" t="s">
        <v>40</v>
      </c>
      <c r="G560" s="3">
        <v>41.66</v>
      </c>
      <c r="H560" s="6">
        <v>6</v>
      </c>
      <c r="I560" s="3">
        <v>12.497999999999999</v>
      </c>
      <c r="J560" s="3">
        <v>262.45800000000003</v>
      </c>
      <c r="K560" s="2">
        <v>43551</v>
      </c>
      <c r="L560" s="1">
        <v>0.64166666666666672</v>
      </c>
      <c r="M560" t="s">
        <v>20</v>
      </c>
      <c r="N560" s="3">
        <v>249.96</v>
      </c>
      <c r="O560" s="4">
        <v>4.7619047620000003</v>
      </c>
      <c r="P560" s="5">
        <v>12.497999999999999</v>
      </c>
      <c r="Q560">
        <v>5.6</v>
      </c>
      <c r="R560" s="6">
        <f>DAY(SuperMarket_Analysis[[#This Row],[Date]])</f>
        <v>27</v>
      </c>
      <c r="S560" s="6" t="str">
        <f>TEXT(SuperMarket_Analysis[[#This Row],[Date]],"mmmm")</f>
        <v>March</v>
      </c>
      <c r="T560" s="6">
        <f>YEAR(SuperMarket_Analysis[[#This Row],[Date]])</f>
        <v>2019</v>
      </c>
    </row>
    <row r="561" spans="1:20" x14ac:dyDescent="0.3">
      <c r="A561" t="s">
        <v>592</v>
      </c>
      <c r="B561" t="s">
        <v>15</v>
      </c>
      <c r="C561" t="s">
        <v>16</v>
      </c>
      <c r="D561" t="s">
        <v>17</v>
      </c>
      <c r="E561" t="s">
        <v>18</v>
      </c>
      <c r="F561" t="s">
        <v>28</v>
      </c>
      <c r="G561" s="3">
        <v>72.42</v>
      </c>
      <c r="H561" s="6">
        <v>3</v>
      </c>
      <c r="I561" s="3">
        <v>10.863</v>
      </c>
      <c r="J561" s="3">
        <v>228.12299999999999</v>
      </c>
      <c r="K561" s="2">
        <v>43484</v>
      </c>
      <c r="L561" s="1">
        <v>0.70416666666666672</v>
      </c>
      <c r="M561" t="s">
        <v>20</v>
      </c>
      <c r="N561" s="3">
        <v>217.26</v>
      </c>
      <c r="O561" s="4">
        <v>4.7619047620000003</v>
      </c>
      <c r="P561" s="5">
        <v>10.863</v>
      </c>
      <c r="Q561">
        <v>8.1999999999999993</v>
      </c>
      <c r="R561" s="6">
        <f>DAY(SuperMarket_Analysis[[#This Row],[Date]])</f>
        <v>19</v>
      </c>
      <c r="S561" s="6" t="str">
        <f>TEXT(SuperMarket_Analysis[[#This Row],[Date]],"mmmm")</f>
        <v>January</v>
      </c>
      <c r="T561" s="6">
        <f>YEAR(SuperMarket_Analysis[[#This Row],[Date]])</f>
        <v>2019</v>
      </c>
    </row>
    <row r="562" spans="1:20" x14ac:dyDescent="0.3">
      <c r="A562" t="s">
        <v>593</v>
      </c>
      <c r="B562" t="s">
        <v>38</v>
      </c>
      <c r="C562" t="s">
        <v>39</v>
      </c>
      <c r="D562" t="s">
        <v>24</v>
      </c>
      <c r="E562" t="s">
        <v>174</v>
      </c>
      <c r="F562" t="s">
        <v>25</v>
      </c>
      <c r="G562" s="3">
        <v>21.58</v>
      </c>
      <c r="H562" s="6">
        <v>9</v>
      </c>
      <c r="I562" s="3">
        <v>9.7110000000000003</v>
      </c>
      <c r="J562" s="3">
        <v>203.93100000000001</v>
      </c>
      <c r="K562" s="2">
        <v>43515</v>
      </c>
      <c r="L562" s="1">
        <v>0.52222222222222225</v>
      </c>
      <c r="M562" t="s">
        <v>26</v>
      </c>
      <c r="N562" s="3">
        <v>194.22</v>
      </c>
      <c r="O562" s="4">
        <v>4.7619047620000003</v>
      </c>
      <c r="P562" s="5">
        <v>9.7110000000000003</v>
      </c>
      <c r="Q562">
        <v>7.3</v>
      </c>
      <c r="R562" s="6">
        <f>DAY(SuperMarket_Analysis[[#This Row],[Date]])</f>
        <v>19</v>
      </c>
      <c r="S562" s="6" t="str">
        <f>TEXT(SuperMarket_Analysis[[#This Row],[Date]],"mmmm")</f>
        <v>February</v>
      </c>
      <c r="T562" s="6">
        <f>YEAR(SuperMarket_Analysis[[#This Row],[Date]])</f>
        <v>2019</v>
      </c>
    </row>
    <row r="563" spans="1:20" x14ac:dyDescent="0.3">
      <c r="A563" t="s">
        <v>594</v>
      </c>
      <c r="B563" t="s">
        <v>22</v>
      </c>
      <c r="C563" t="s">
        <v>23</v>
      </c>
      <c r="D563" t="s">
        <v>24</v>
      </c>
      <c r="E563" t="s">
        <v>174</v>
      </c>
      <c r="F563" t="s">
        <v>40</v>
      </c>
      <c r="G563" s="3">
        <v>89.2</v>
      </c>
      <c r="H563" s="6">
        <v>10</v>
      </c>
      <c r="I563" s="3">
        <v>44.6</v>
      </c>
      <c r="J563" s="3">
        <v>936.6</v>
      </c>
      <c r="K563" s="2">
        <v>43552</v>
      </c>
      <c r="L563" s="1">
        <v>0.65416666666666667</v>
      </c>
      <c r="M563" t="s">
        <v>29</v>
      </c>
      <c r="N563" s="3">
        <v>892</v>
      </c>
      <c r="O563" s="4">
        <v>4.7619047620000003</v>
      </c>
      <c r="P563" s="5">
        <v>44.6</v>
      </c>
      <c r="Q563">
        <v>4.4000000000000004</v>
      </c>
      <c r="R563" s="6">
        <f>DAY(SuperMarket_Analysis[[#This Row],[Date]])</f>
        <v>28</v>
      </c>
      <c r="S563" s="6" t="str">
        <f>TEXT(SuperMarket_Analysis[[#This Row],[Date]],"mmmm")</f>
        <v>March</v>
      </c>
      <c r="T563" s="6">
        <f>YEAR(SuperMarket_Analysis[[#This Row],[Date]])</f>
        <v>2019</v>
      </c>
    </row>
    <row r="564" spans="1:20" x14ac:dyDescent="0.3">
      <c r="A564" t="s">
        <v>595</v>
      </c>
      <c r="B564" t="s">
        <v>38</v>
      </c>
      <c r="C564" t="s">
        <v>39</v>
      </c>
      <c r="D564" t="s">
        <v>24</v>
      </c>
      <c r="E564" t="s">
        <v>18</v>
      </c>
      <c r="F564" t="s">
        <v>25</v>
      </c>
      <c r="G564" s="3">
        <v>42.42</v>
      </c>
      <c r="H564" s="6">
        <v>8</v>
      </c>
      <c r="I564" s="3">
        <v>16.968</v>
      </c>
      <c r="J564" s="3">
        <v>356.32799999999997</v>
      </c>
      <c r="K564" s="2">
        <v>43550</v>
      </c>
      <c r="L564" s="1">
        <v>0.58194444444444449</v>
      </c>
      <c r="M564" t="s">
        <v>20</v>
      </c>
      <c r="N564" s="3">
        <v>339.36</v>
      </c>
      <c r="O564" s="4">
        <v>4.7619047620000003</v>
      </c>
      <c r="P564" s="5">
        <v>16.968</v>
      </c>
      <c r="Q564">
        <v>5.7</v>
      </c>
      <c r="R564" s="6">
        <f>DAY(SuperMarket_Analysis[[#This Row],[Date]])</f>
        <v>26</v>
      </c>
      <c r="S564" s="6" t="str">
        <f>TEXT(SuperMarket_Analysis[[#This Row],[Date]],"mmmm")</f>
        <v>March</v>
      </c>
      <c r="T564" s="6">
        <f>YEAR(SuperMarket_Analysis[[#This Row],[Date]])</f>
        <v>2019</v>
      </c>
    </row>
    <row r="565" spans="1:20" x14ac:dyDescent="0.3">
      <c r="A565" t="s">
        <v>596</v>
      </c>
      <c r="B565" t="s">
        <v>15</v>
      </c>
      <c r="C565" t="s">
        <v>16</v>
      </c>
      <c r="D565" t="s">
        <v>17</v>
      </c>
      <c r="E565" t="s">
        <v>174</v>
      </c>
      <c r="F565" t="s">
        <v>25</v>
      </c>
      <c r="G565" s="3">
        <v>74.510000000000005</v>
      </c>
      <c r="H565" s="6">
        <v>6</v>
      </c>
      <c r="I565" s="3">
        <v>22.353000000000002</v>
      </c>
      <c r="J565" s="3">
        <v>469.41300000000001</v>
      </c>
      <c r="K565" s="2">
        <v>43520</v>
      </c>
      <c r="L565" s="1">
        <v>0.63055555555555554</v>
      </c>
      <c r="M565" t="s">
        <v>20</v>
      </c>
      <c r="N565" s="3">
        <v>447.06</v>
      </c>
      <c r="O565" s="4">
        <v>4.7619047620000003</v>
      </c>
      <c r="P565" s="5">
        <v>22.353000000000002</v>
      </c>
      <c r="Q565">
        <v>5</v>
      </c>
      <c r="R565" s="6">
        <f>DAY(SuperMarket_Analysis[[#This Row],[Date]])</f>
        <v>24</v>
      </c>
      <c r="S565" s="6" t="str">
        <f>TEXT(SuperMarket_Analysis[[#This Row],[Date]],"mmmm")</f>
        <v>February</v>
      </c>
      <c r="T565" s="6">
        <f>YEAR(SuperMarket_Analysis[[#This Row],[Date]])</f>
        <v>2019</v>
      </c>
    </row>
    <row r="566" spans="1:20" x14ac:dyDescent="0.3">
      <c r="A566" t="s">
        <v>597</v>
      </c>
      <c r="B566" t="s">
        <v>38</v>
      </c>
      <c r="C566" t="s">
        <v>39</v>
      </c>
      <c r="D566" t="s">
        <v>24</v>
      </c>
      <c r="E566" t="s">
        <v>174</v>
      </c>
      <c r="F566" t="s">
        <v>42</v>
      </c>
      <c r="G566" s="3">
        <v>99.25</v>
      </c>
      <c r="H566" s="6">
        <v>2</v>
      </c>
      <c r="I566" s="3">
        <v>9.9250000000000007</v>
      </c>
      <c r="J566" s="3">
        <v>208.42500000000001</v>
      </c>
      <c r="K566" s="2">
        <v>43517</v>
      </c>
      <c r="L566" s="1">
        <v>0.54305555555555551</v>
      </c>
      <c r="M566" t="s">
        <v>26</v>
      </c>
      <c r="N566" s="3">
        <v>198.5</v>
      </c>
      <c r="O566" s="4">
        <v>4.7619047620000003</v>
      </c>
      <c r="P566" s="5">
        <v>9.9250000000000007</v>
      </c>
      <c r="Q566">
        <v>9</v>
      </c>
      <c r="R566" s="6">
        <f>DAY(SuperMarket_Analysis[[#This Row],[Date]])</f>
        <v>21</v>
      </c>
      <c r="S566" s="6" t="str">
        <f>TEXT(SuperMarket_Analysis[[#This Row],[Date]],"mmmm")</f>
        <v>February</v>
      </c>
      <c r="T566" s="6">
        <f>YEAR(SuperMarket_Analysis[[#This Row],[Date]])</f>
        <v>2019</v>
      </c>
    </row>
    <row r="567" spans="1:20" x14ac:dyDescent="0.3">
      <c r="A567" t="s">
        <v>598</v>
      </c>
      <c r="B567" t="s">
        <v>15</v>
      </c>
      <c r="C567" t="s">
        <v>16</v>
      </c>
      <c r="D567" t="s">
        <v>24</v>
      </c>
      <c r="E567" t="s">
        <v>18</v>
      </c>
      <c r="F567" t="s">
        <v>40</v>
      </c>
      <c r="G567" s="3">
        <v>81.209999999999994</v>
      </c>
      <c r="H567" s="6">
        <v>10</v>
      </c>
      <c r="I567" s="3">
        <v>40.604999999999997</v>
      </c>
      <c r="J567" s="3">
        <v>852.70500000000004</v>
      </c>
      <c r="K567" s="2">
        <v>43521</v>
      </c>
      <c r="L567" s="1">
        <v>0.54236111111111107</v>
      </c>
      <c r="M567" t="s">
        <v>29</v>
      </c>
      <c r="N567" s="3">
        <v>812.1</v>
      </c>
      <c r="O567" s="4">
        <v>4.7619047620000003</v>
      </c>
      <c r="P567" s="5">
        <v>40.604999999999997</v>
      </c>
      <c r="Q567">
        <v>6.3</v>
      </c>
      <c r="R567" s="6">
        <f>DAY(SuperMarket_Analysis[[#This Row],[Date]])</f>
        <v>25</v>
      </c>
      <c r="S567" s="6" t="str">
        <f>TEXT(SuperMarket_Analysis[[#This Row],[Date]],"mmmm")</f>
        <v>February</v>
      </c>
      <c r="T567" s="6">
        <f>YEAR(SuperMarket_Analysis[[#This Row],[Date]])</f>
        <v>2019</v>
      </c>
    </row>
    <row r="568" spans="1:20" x14ac:dyDescent="0.3">
      <c r="A568" t="s">
        <v>599</v>
      </c>
      <c r="B568" t="s">
        <v>22</v>
      </c>
      <c r="C568" t="s">
        <v>23</v>
      </c>
      <c r="D568" t="s">
        <v>24</v>
      </c>
      <c r="E568" t="s">
        <v>18</v>
      </c>
      <c r="F568" t="s">
        <v>32</v>
      </c>
      <c r="G568" s="3">
        <v>49.33</v>
      </c>
      <c r="H568" s="6">
        <v>10</v>
      </c>
      <c r="I568" s="3">
        <v>24.664999999999999</v>
      </c>
      <c r="J568" s="3">
        <v>517.96500000000003</v>
      </c>
      <c r="K568" s="2">
        <v>43478</v>
      </c>
      <c r="L568" s="1">
        <v>0.69444444444444442</v>
      </c>
      <c r="M568" t="s">
        <v>29</v>
      </c>
      <c r="N568" s="3">
        <v>493.3</v>
      </c>
      <c r="O568" s="4">
        <v>4.7619047620000003</v>
      </c>
      <c r="P568" s="5">
        <v>24.664999999999999</v>
      </c>
      <c r="Q568">
        <v>9.4</v>
      </c>
      <c r="R568" s="6">
        <f>DAY(SuperMarket_Analysis[[#This Row],[Date]])</f>
        <v>13</v>
      </c>
      <c r="S568" s="6" t="str">
        <f>TEXT(SuperMarket_Analysis[[#This Row],[Date]],"mmmm")</f>
        <v>January</v>
      </c>
      <c r="T568" s="6">
        <f>YEAR(SuperMarket_Analysis[[#This Row],[Date]])</f>
        <v>2019</v>
      </c>
    </row>
    <row r="569" spans="1:20" x14ac:dyDescent="0.3">
      <c r="A569" t="s">
        <v>600</v>
      </c>
      <c r="B569" t="s">
        <v>15</v>
      </c>
      <c r="C569" t="s">
        <v>16</v>
      </c>
      <c r="D569" t="s">
        <v>24</v>
      </c>
      <c r="E569" t="s">
        <v>18</v>
      </c>
      <c r="F569" t="s">
        <v>42</v>
      </c>
      <c r="G569" s="3">
        <v>65.739999999999995</v>
      </c>
      <c r="H569" s="6">
        <v>9</v>
      </c>
      <c r="I569" s="3">
        <v>29.582999999999998</v>
      </c>
      <c r="J569" s="3">
        <v>621.24300000000005</v>
      </c>
      <c r="K569" s="2">
        <v>43515</v>
      </c>
      <c r="L569" s="1">
        <v>0.57986111111111116</v>
      </c>
      <c r="M569" t="s">
        <v>26</v>
      </c>
      <c r="N569" s="3">
        <v>591.66</v>
      </c>
      <c r="O569" s="4">
        <v>4.7619047620000003</v>
      </c>
      <c r="P569" s="5">
        <v>29.582999999999998</v>
      </c>
      <c r="Q569">
        <v>7.7</v>
      </c>
      <c r="R569" s="6">
        <f>DAY(SuperMarket_Analysis[[#This Row],[Date]])</f>
        <v>19</v>
      </c>
      <c r="S569" s="6" t="str">
        <f>TEXT(SuperMarket_Analysis[[#This Row],[Date]],"mmmm")</f>
        <v>February</v>
      </c>
      <c r="T569" s="6">
        <f>YEAR(SuperMarket_Analysis[[#This Row],[Date]])</f>
        <v>2019</v>
      </c>
    </row>
    <row r="570" spans="1:20" x14ac:dyDescent="0.3">
      <c r="A570" t="s">
        <v>601</v>
      </c>
      <c r="B570" t="s">
        <v>38</v>
      </c>
      <c r="C570" t="s">
        <v>39</v>
      </c>
      <c r="D570" t="s">
        <v>24</v>
      </c>
      <c r="E570" t="s">
        <v>18</v>
      </c>
      <c r="F570" t="s">
        <v>42</v>
      </c>
      <c r="G570" s="3">
        <v>79.86</v>
      </c>
      <c r="H570" s="6">
        <v>7</v>
      </c>
      <c r="I570" s="3">
        <v>27.951000000000001</v>
      </c>
      <c r="J570" s="3">
        <v>586.971</v>
      </c>
      <c r="K570" s="2">
        <v>43542</v>
      </c>
      <c r="L570" s="1">
        <v>0.43958333333333333</v>
      </c>
      <c r="M570" t="s">
        <v>29</v>
      </c>
      <c r="N570" s="3">
        <v>559.02</v>
      </c>
      <c r="O570" s="4">
        <v>4.7619047620000003</v>
      </c>
      <c r="P570" s="5">
        <v>27.951000000000001</v>
      </c>
      <c r="Q570">
        <v>5.5</v>
      </c>
      <c r="R570" s="6">
        <f>DAY(SuperMarket_Analysis[[#This Row],[Date]])</f>
        <v>18</v>
      </c>
      <c r="S570" s="6" t="str">
        <f>TEXT(SuperMarket_Analysis[[#This Row],[Date]],"mmmm")</f>
        <v>March</v>
      </c>
      <c r="T570" s="6">
        <f>YEAR(SuperMarket_Analysis[[#This Row],[Date]])</f>
        <v>2019</v>
      </c>
    </row>
    <row r="571" spans="1:20" x14ac:dyDescent="0.3">
      <c r="A571" t="s">
        <v>602</v>
      </c>
      <c r="B571" t="s">
        <v>22</v>
      </c>
      <c r="C571" t="s">
        <v>23</v>
      </c>
      <c r="D571" t="s">
        <v>24</v>
      </c>
      <c r="E571" t="s">
        <v>18</v>
      </c>
      <c r="F571" t="s">
        <v>32</v>
      </c>
      <c r="G571" s="3">
        <v>73.98</v>
      </c>
      <c r="H571" s="6">
        <v>7</v>
      </c>
      <c r="I571" s="3">
        <v>25.893000000000001</v>
      </c>
      <c r="J571" s="3">
        <v>543.75300000000004</v>
      </c>
      <c r="K571" s="2">
        <v>43543</v>
      </c>
      <c r="L571" s="1">
        <v>0.6958333333333333</v>
      </c>
      <c r="M571" t="s">
        <v>20</v>
      </c>
      <c r="N571" s="3">
        <v>517.86</v>
      </c>
      <c r="O571" s="4">
        <v>4.7619047620000003</v>
      </c>
      <c r="P571" s="5">
        <v>25.893000000000001</v>
      </c>
      <c r="Q571">
        <v>4.0999999999999996</v>
      </c>
      <c r="R571" s="6">
        <f>DAY(SuperMarket_Analysis[[#This Row],[Date]])</f>
        <v>19</v>
      </c>
      <c r="S571" s="6" t="str">
        <f>TEXT(SuperMarket_Analysis[[#This Row],[Date]],"mmmm")</f>
        <v>March</v>
      </c>
      <c r="T571" s="6">
        <f>YEAR(SuperMarket_Analysis[[#This Row],[Date]])</f>
        <v>2019</v>
      </c>
    </row>
    <row r="572" spans="1:20" x14ac:dyDescent="0.3">
      <c r="A572" t="s">
        <v>603</v>
      </c>
      <c r="B572" t="s">
        <v>38</v>
      </c>
      <c r="C572" t="s">
        <v>39</v>
      </c>
      <c r="D572" t="s">
        <v>17</v>
      </c>
      <c r="E572" t="s">
        <v>18</v>
      </c>
      <c r="F572" t="s">
        <v>28</v>
      </c>
      <c r="G572" s="3">
        <v>82.04</v>
      </c>
      <c r="H572" s="6">
        <v>5</v>
      </c>
      <c r="I572" s="3">
        <v>20.51</v>
      </c>
      <c r="J572" s="3">
        <v>430.71</v>
      </c>
      <c r="K572" s="2">
        <v>43554</v>
      </c>
      <c r="L572" s="1">
        <v>0.71944444444444444</v>
      </c>
      <c r="M572" t="s">
        <v>29</v>
      </c>
      <c r="N572" s="3">
        <v>410.2</v>
      </c>
      <c r="O572" s="4">
        <v>4.7619047620000003</v>
      </c>
      <c r="P572" s="5">
        <v>20.51</v>
      </c>
      <c r="Q572">
        <v>7.6</v>
      </c>
      <c r="R572" s="6">
        <f>DAY(SuperMarket_Analysis[[#This Row],[Date]])</f>
        <v>30</v>
      </c>
      <c r="S572" s="6" t="str">
        <f>TEXT(SuperMarket_Analysis[[#This Row],[Date]],"mmmm")</f>
        <v>March</v>
      </c>
      <c r="T572" s="6">
        <f>YEAR(SuperMarket_Analysis[[#This Row],[Date]])</f>
        <v>2019</v>
      </c>
    </row>
    <row r="573" spans="1:20" x14ac:dyDescent="0.3">
      <c r="A573" t="s">
        <v>604</v>
      </c>
      <c r="B573" t="s">
        <v>38</v>
      </c>
      <c r="C573" t="s">
        <v>39</v>
      </c>
      <c r="D573" t="s">
        <v>17</v>
      </c>
      <c r="E573" t="s">
        <v>174</v>
      </c>
      <c r="F573" t="s">
        <v>32</v>
      </c>
      <c r="G573" s="3">
        <v>26.67</v>
      </c>
      <c r="H573" s="6">
        <v>10</v>
      </c>
      <c r="I573" s="3">
        <v>13.335000000000001</v>
      </c>
      <c r="J573" s="3">
        <v>280.03500000000003</v>
      </c>
      <c r="K573" s="2">
        <v>43491</v>
      </c>
      <c r="L573" s="1">
        <v>0.49166666666666664</v>
      </c>
      <c r="M573" t="s">
        <v>26</v>
      </c>
      <c r="N573" s="3">
        <v>266.7</v>
      </c>
      <c r="O573" s="4">
        <v>4.7619047620000003</v>
      </c>
      <c r="P573" s="5">
        <v>13.335000000000001</v>
      </c>
      <c r="Q573">
        <v>8.6</v>
      </c>
      <c r="R573" s="6">
        <f>DAY(SuperMarket_Analysis[[#This Row],[Date]])</f>
        <v>26</v>
      </c>
      <c r="S573" s="6" t="str">
        <f>TEXT(SuperMarket_Analysis[[#This Row],[Date]],"mmmm")</f>
        <v>January</v>
      </c>
      <c r="T573" s="6">
        <f>YEAR(SuperMarket_Analysis[[#This Row],[Date]])</f>
        <v>2019</v>
      </c>
    </row>
    <row r="574" spans="1:20" x14ac:dyDescent="0.3">
      <c r="A574" t="s">
        <v>605</v>
      </c>
      <c r="B574" t="s">
        <v>15</v>
      </c>
      <c r="C574" t="s">
        <v>16</v>
      </c>
      <c r="D574" t="s">
        <v>17</v>
      </c>
      <c r="E574" t="s">
        <v>174</v>
      </c>
      <c r="F574" t="s">
        <v>40</v>
      </c>
      <c r="G574" s="3">
        <v>10.130000000000001</v>
      </c>
      <c r="H574" s="6">
        <v>7</v>
      </c>
      <c r="I574" s="3">
        <v>3.5455000000000001</v>
      </c>
      <c r="J574" s="3">
        <v>74.455500000000001</v>
      </c>
      <c r="K574" s="2">
        <v>43478</v>
      </c>
      <c r="L574" s="1">
        <v>0.81597222222222221</v>
      </c>
      <c r="M574" t="s">
        <v>20</v>
      </c>
      <c r="N574" s="3">
        <v>70.91</v>
      </c>
      <c r="O574" s="4">
        <v>4.7619047620000003</v>
      </c>
      <c r="P574" s="5">
        <v>3.5455000000000001</v>
      </c>
      <c r="Q574">
        <v>8.3000000000000007</v>
      </c>
      <c r="R574" s="6">
        <f>DAY(SuperMarket_Analysis[[#This Row],[Date]])</f>
        <v>13</v>
      </c>
      <c r="S574" s="6" t="str">
        <f>TEXT(SuperMarket_Analysis[[#This Row],[Date]],"mmmm")</f>
        <v>January</v>
      </c>
      <c r="T574" s="6">
        <f>YEAR(SuperMarket_Analysis[[#This Row],[Date]])</f>
        <v>2019</v>
      </c>
    </row>
    <row r="575" spans="1:20" x14ac:dyDescent="0.3">
      <c r="A575" t="s">
        <v>606</v>
      </c>
      <c r="B575" t="s">
        <v>38</v>
      </c>
      <c r="C575" t="s">
        <v>39</v>
      </c>
      <c r="D575" t="s">
        <v>24</v>
      </c>
      <c r="E575" t="s">
        <v>174</v>
      </c>
      <c r="F575" t="s">
        <v>40</v>
      </c>
      <c r="G575" s="3">
        <v>72.39</v>
      </c>
      <c r="H575" s="6">
        <v>2</v>
      </c>
      <c r="I575" s="3">
        <v>7.2389999999999999</v>
      </c>
      <c r="J575" s="3">
        <v>152.01900000000001</v>
      </c>
      <c r="K575" s="2">
        <v>43549</v>
      </c>
      <c r="L575" s="1">
        <v>0.82986111111111116</v>
      </c>
      <c r="M575" t="s">
        <v>29</v>
      </c>
      <c r="N575" s="3">
        <v>144.78</v>
      </c>
      <c r="O575" s="4">
        <v>4.7619047620000003</v>
      </c>
      <c r="P575" s="5">
        <v>7.2389999999999999</v>
      </c>
      <c r="Q575">
        <v>8.1</v>
      </c>
      <c r="R575" s="6">
        <f>DAY(SuperMarket_Analysis[[#This Row],[Date]])</f>
        <v>25</v>
      </c>
      <c r="S575" s="6" t="str">
        <f>TEXT(SuperMarket_Analysis[[#This Row],[Date]],"mmmm")</f>
        <v>March</v>
      </c>
      <c r="T575" s="6">
        <f>YEAR(SuperMarket_Analysis[[#This Row],[Date]])</f>
        <v>2019</v>
      </c>
    </row>
    <row r="576" spans="1:20" x14ac:dyDescent="0.3">
      <c r="A576" t="s">
        <v>607</v>
      </c>
      <c r="B576" t="s">
        <v>15</v>
      </c>
      <c r="C576" t="s">
        <v>16</v>
      </c>
      <c r="D576" t="s">
        <v>24</v>
      </c>
      <c r="E576" t="s">
        <v>174</v>
      </c>
      <c r="F576" t="s">
        <v>32</v>
      </c>
      <c r="G576" s="3">
        <v>85.91</v>
      </c>
      <c r="H576" s="6">
        <v>5</v>
      </c>
      <c r="I576" s="3">
        <v>21.477499999999999</v>
      </c>
      <c r="J576" s="3">
        <v>451.02749999999997</v>
      </c>
      <c r="K576" s="2">
        <v>43491</v>
      </c>
      <c r="L576" s="1">
        <v>0.60624999999999996</v>
      </c>
      <c r="M576" t="s">
        <v>29</v>
      </c>
      <c r="N576" s="3">
        <v>429.55</v>
      </c>
      <c r="O576" s="4">
        <v>4.7619047620000003</v>
      </c>
      <c r="P576" s="5">
        <v>21.477499999999999</v>
      </c>
      <c r="Q576">
        <v>8.6</v>
      </c>
      <c r="R576" s="6">
        <f>DAY(SuperMarket_Analysis[[#This Row],[Date]])</f>
        <v>26</v>
      </c>
      <c r="S576" s="6" t="str">
        <f>TEXT(SuperMarket_Analysis[[#This Row],[Date]],"mmmm")</f>
        <v>January</v>
      </c>
      <c r="T576" s="6">
        <f>YEAR(SuperMarket_Analysis[[#This Row],[Date]])</f>
        <v>2019</v>
      </c>
    </row>
    <row r="577" spans="1:20" x14ac:dyDescent="0.3">
      <c r="A577" t="s">
        <v>608</v>
      </c>
      <c r="B577" t="s">
        <v>38</v>
      </c>
      <c r="C577" t="s">
        <v>39</v>
      </c>
      <c r="D577" t="s">
        <v>17</v>
      </c>
      <c r="E577" t="s">
        <v>174</v>
      </c>
      <c r="F577" t="s">
        <v>42</v>
      </c>
      <c r="G577" s="3">
        <v>81.31</v>
      </c>
      <c r="H577" s="6">
        <v>7</v>
      </c>
      <c r="I577" s="3">
        <v>28.458500000000001</v>
      </c>
      <c r="J577" s="3">
        <v>597.62850000000003</v>
      </c>
      <c r="K577" s="2">
        <v>43522</v>
      </c>
      <c r="L577" s="1">
        <v>0.8256944444444444</v>
      </c>
      <c r="M577" t="s">
        <v>20</v>
      </c>
      <c r="N577" s="3">
        <v>569.16999999999996</v>
      </c>
      <c r="O577" s="4">
        <v>4.7619047620000003</v>
      </c>
      <c r="P577" s="5">
        <v>28.458500000000001</v>
      </c>
      <c r="Q577">
        <v>6.3</v>
      </c>
      <c r="R577" s="6">
        <f>DAY(SuperMarket_Analysis[[#This Row],[Date]])</f>
        <v>26</v>
      </c>
      <c r="S577" s="6" t="str">
        <f>TEXT(SuperMarket_Analysis[[#This Row],[Date]],"mmmm")</f>
        <v>February</v>
      </c>
      <c r="T577" s="6">
        <f>YEAR(SuperMarket_Analysis[[#This Row],[Date]])</f>
        <v>2019</v>
      </c>
    </row>
    <row r="578" spans="1:20" x14ac:dyDescent="0.3">
      <c r="A578" t="s">
        <v>609</v>
      </c>
      <c r="B578" t="s">
        <v>38</v>
      </c>
      <c r="C578" t="s">
        <v>39</v>
      </c>
      <c r="D578" t="s">
        <v>24</v>
      </c>
      <c r="E578" t="s">
        <v>174</v>
      </c>
      <c r="F578" t="s">
        <v>40</v>
      </c>
      <c r="G578" s="3">
        <v>60.3</v>
      </c>
      <c r="H578" s="6">
        <v>4</v>
      </c>
      <c r="I578" s="3">
        <v>12.06</v>
      </c>
      <c r="J578" s="3">
        <v>253.26</v>
      </c>
      <c r="K578" s="2">
        <v>43484</v>
      </c>
      <c r="L578" s="1">
        <v>0.77986111111111112</v>
      </c>
      <c r="M578" t="s">
        <v>26</v>
      </c>
      <c r="N578" s="3">
        <v>241.2</v>
      </c>
      <c r="O578" s="4">
        <v>4.7619047620000003</v>
      </c>
      <c r="P578" s="5">
        <v>12.06</v>
      </c>
      <c r="Q578">
        <v>5.8</v>
      </c>
      <c r="R578" s="6">
        <f>DAY(SuperMarket_Analysis[[#This Row],[Date]])</f>
        <v>19</v>
      </c>
      <c r="S578" s="6" t="str">
        <f>TEXT(SuperMarket_Analysis[[#This Row],[Date]],"mmmm")</f>
        <v>January</v>
      </c>
      <c r="T578" s="6">
        <f>YEAR(SuperMarket_Analysis[[#This Row],[Date]])</f>
        <v>2019</v>
      </c>
    </row>
    <row r="579" spans="1:20" x14ac:dyDescent="0.3">
      <c r="A579" t="s">
        <v>610</v>
      </c>
      <c r="B579" t="s">
        <v>22</v>
      </c>
      <c r="C579" t="s">
        <v>23</v>
      </c>
      <c r="D579" t="s">
        <v>24</v>
      </c>
      <c r="E579" t="s">
        <v>174</v>
      </c>
      <c r="F579" t="s">
        <v>40</v>
      </c>
      <c r="G579" s="3">
        <v>31.77</v>
      </c>
      <c r="H579" s="6">
        <v>4</v>
      </c>
      <c r="I579" s="3">
        <v>6.3540000000000001</v>
      </c>
      <c r="J579" s="3">
        <v>133.434</v>
      </c>
      <c r="K579" s="2">
        <v>43488</v>
      </c>
      <c r="L579" s="1">
        <v>0.61319444444444449</v>
      </c>
      <c r="M579" t="s">
        <v>20</v>
      </c>
      <c r="N579" s="3">
        <v>127.08</v>
      </c>
      <c r="O579" s="4">
        <v>4.7619047620000003</v>
      </c>
      <c r="P579" s="5">
        <v>6.3540000000000001</v>
      </c>
      <c r="Q579">
        <v>6.2</v>
      </c>
      <c r="R579" s="6">
        <f>DAY(SuperMarket_Analysis[[#This Row],[Date]])</f>
        <v>23</v>
      </c>
      <c r="S579" s="6" t="str">
        <f>TEXT(SuperMarket_Analysis[[#This Row],[Date]],"mmmm")</f>
        <v>January</v>
      </c>
      <c r="T579" s="6">
        <f>YEAR(SuperMarket_Analysis[[#This Row],[Date]])</f>
        <v>2019</v>
      </c>
    </row>
    <row r="580" spans="1:20" x14ac:dyDescent="0.3">
      <c r="A580" t="s">
        <v>611</v>
      </c>
      <c r="B580" t="s">
        <v>15</v>
      </c>
      <c r="C580" t="s">
        <v>16</v>
      </c>
      <c r="D580" t="s">
        <v>24</v>
      </c>
      <c r="E580" t="s">
        <v>18</v>
      </c>
      <c r="F580" t="s">
        <v>19</v>
      </c>
      <c r="G580" s="3">
        <v>64.27</v>
      </c>
      <c r="H580" s="6">
        <v>4</v>
      </c>
      <c r="I580" s="3">
        <v>12.853999999999999</v>
      </c>
      <c r="J580" s="3">
        <v>269.93400000000003</v>
      </c>
      <c r="K580" s="2">
        <v>43538</v>
      </c>
      <c r="L580" s="1">
        <v>0.57916666666666672</v>
      </c>
      <c r="M580" t="s">
        <v>26</v>
      </c>
      <c r="N580" s="3">
        <v>257.08</v>
      </c>
      <c r="O580" s="4">
        <v>4.7619047620000003</v>
      </c>
      <c r="P580" s="5">
        <v>12.853999999999999</v>
      </c>
      <c r="Q580">
        <v>7.7</v>
      </c>
      <c r="R580" s="6">
        <f>DAY(SuperMarket_Analysis[[#This Row],[Date]])</f>
        <v>14</v>
      </c>
      <c r="S580" s="6" t="str">
        <f>TEXT(SuperMarket_Analysis[[#This Row],[Date]],"mmmm")</f>
        <v>March</v>
      </c>
      <c r="T580" s="6">
        <f>YEAR(SuperMarket_Analysis[[#This Row],[Date]])</f>
        <v>2019</v>
      </c>
    </row>
    <row r="581" spans="1:20" x14ac:dyDescent="0.3">
      <c r="A581" t="s">
        <v>612</v>
      </c>
      <c r="B581" t="s">
        <v>38</v>
      </c>
      <c r="C581" t="s">
        <v>39</v>
      </c>
      <c r="D581" t="s">
        <v>24</v>
      </c>
      <c r="E581" t="s">
        <v>174</v>
      </c>
      <c r="F581" t="s">
        <v>19</v>
      </c>
      <c r="G581" s="3">
        <v>69.510000000000005</v>
      </c>
      <c r="H581" s="6">
        <v>2</v>
      </c>
      <c r="I581" s="3">
        <v>6.9509999999999996</v>
      </c>
      <c r="J581" s="3">
        <v>145.971</v>
      </c>
      <c r="K581" s="2">
        <v>43488</v>
      </c>
      <c r="L581" s="1">
        <v>0.51041666666666663</v>
      </c>
      <c r="M581" t="s">
        <v>20</v>
      </c>
      <c r="N581" s="3">
        <v>139.02000000000001</v>
      </c>
      <c r="O581" s="4">
        <v>4.7619047620000003</v>
      </c>
      <c r="P581" s="5">
        <v>6.9509999999999996</v>
      </c>
      <c r="Q581">
        <v>8.1</v>
      </c>
      <c r="R581" s="6">
        <f>DAY(SuperMarket_Analysis[[#This Row],[Date]])</f>
        <v>23</v>
      </c>
      <c r="S581" s="6" t="str">
        <f>TEXT(SuperMarket_Analysis[[#This Row],[Date]],"mmmm")</f>
        <v>January</v>
      </c>
      <c r="T581" s="6">
        <f>YEAR(SuperMarket_Analysis[[#This Row],[Date]])</f>
        <v>2019</v>
      </c>
    </row>
    <row r="582" spans="1:20" x14ac:dyDescent="0.3">
      <c r="A582" t="s">
        <v>613</v>
      </c>
      <c r="B582" t="s">
        <v>22</v>
      </c>
      <c r="C582" t="s">
        <v>23</v>
      </c>
      <c r="D582" t="s">
        <v>24</v>
      </c>
      <c r="E582" t="s">
        <v>174</v>
      </c>
      <c r="F582" t="s">
        <v>40</v>
      </c>
      <c r="G582" s="3">
        <v>27.22</v>
      </c>
      <c r="H582" s="6">
        <v>3</v>
      </c>
      <c r="I582" s="3">
        <v>4.0830000000000002</v>
      </c>
      <c r="J582" s="3">
        <v>85.742999999999995</v>
      </c>
      <c r="K582" s="2">
        <v>43514</v>
      </c>
      <c r="L582" s="1">
        <v>0.52569444444444446</v>
      </c>
      <c r="M582" t="s">
        <v>26</v>
      </c>
      <c r="N582" s="3">
        <v>81.66</v>
      </c>
      <c r="O582" s="4">
        <v>4.7619047620000003</v>
      </c>
      <c r="P582" s="5">
        <v>4.0830000000000002</v>
      </c>
      <c r="Q582">
        <v>7.3</v>
      </c>
      <c r="R582" s="6">
        <f>DAY(SuperMarket_Analysis[[#This Row],[Date]])</f>
        <v>18</v>
      </c>
      <c r="S582" s="6" t="str">
        <f>TEXT(SuperMarket_Analysis[[#This Row],[Date]],"mmmm")</f>
        <v>February</v>
      </c>
      <c r="T582" s="6">
        <f>YEAR(SuperMarket_Analysis[[#This Row],[Date]])</f>
        <v>2019</v>
      </c>
    </row>
    <row r="583" spans="1:20" x14ac:dyDescent="0.3">
      <c r="A583" t="s">
        <v>614</v>
      </c>
      <c r="B583" t="s">
        <v>15</v>
      </c>
      <c r="C583" t="s">
        <v>16</v>
      </c>
      <c r="D583" t="s">
        <v>17</v>
      </c>
      <c r="E583" t="s">
        <v>18</v>
      </c>
      <c r="F583" t="s">
        <v>19</v>
      </c>
      <c r="G583" s="3">
        <v>77.680000000000007</v>
      </c>
      <c r="H583" s="6">
        <v>4</v>
      </c>
      <c r="I583" s="3">
        <v>15.536</v>
      </c>
      <c r="J583" s="3">
        <v>326.25599999999997</v>
      </c>
      <c r="K583" s="2">
        <v>43553</v>
      </c>
      <c r="L583" s="1">
        <v>0.82916666666666672</v>
      </c>
      <c r="M583" t="s">
        <v>26</v>
      </c>
      <c r="N583" s="3">
        <v>310.72000000000003</v>
      </c>
      <c r="O583" s="4">
        <v>4.7619047620000003</v>
      </c>
      <c r="P583" s="5">
        <v>15.536</v>
      </c>
      <c r="Q583">
        <v>8.4</v>
      </c>
      <c r="R583" s="6">
        <f>DAY(SuperMarket_Analysis[[#This Row],[Date]])</f>
        <v>29</v>
      </c>
      <c r="S583" s="6" t="str">
        <f>TEXT(SuperMarket_Analysis[[#This Row],[Date]],"mmmm")</f>
        <v>March</v>
      </c>
      <c r="T583" s="6">
        <f>YEAR(SuperMarket_Analysis[[#This Row],[Date]])</f>
        <v>2019</v>
      </c>
    </row>
    <row r="584" spans="1:20" x14ac:dyDescent="0.3">
      <c r="A584" t="s">
        <v>615</v>
      </c>
      <c r="B584" t="s">
        <v>22</v>
      </c>
      <c r="C584" t="s">
        <v>23</v>
      </c>
      <c r="D584" t="s">
        <v>17</v>
      </c>
      <c r="E584" t="s">
        <v>18</v>
      </c>
      <c r="F584" t="s">
        <v>42</v>
      </c>
      <c r="G584" s="3">
        <v>92.98</v>
      </c>
      <c r="H584" s="6">
        <v>2</v>
      </c>
      <c r="I584" s="3">
        <v>9.298</v>
      </c>
      <c r="J584" s="3">
        <v>195.25800000000001</v>
      </c>
      <c r="K584" s="2">
        <v>43493</v>
      </c>
      <c r="L584" s="1">
        <v>0.62916666666666665</v>
      </c>
      <c r="M584" t="s">
        <v>29</v>
      </c>
      <c r="N584" s="3">
        <v>185.96</v>
      </c>
      <c r="O584" s="4">
        <v>4.7619047620000003</v>
      </c>
      <c r="P584" s="5">
        <v>9.298</v>
      </c>
      <c r="Q584">
        <v>8</v>
      </c>
      <c r="R584" s="6">
        <f>DAY(SuperMarket_Analysis[[#This Row],[Date]])</f>
        <v>28</v>
      </c>
      <c r="S584" s="6" t="str">
        <f>TEXT(SuperMarket_Analysis[[#This Row],[Date]],"mmmm")</f>
        <v>January</v>
      </c>
      <c r="T584" s="6">
        <f>YEAR(SuperMarket_Analysis[[#This Row],[Date]])</f>
        <v>2019</v>
      </c>
    </row>
    <row r="585" spans="1:20" x14ac:dyDescent="0.3">
      <c r="A585" t="s">
        <v>616</v>
      </c>
      <c r="B585" t="s">
        <v>38</v>
      </c>
      <c r="C585" t="s">
        <v>39</v>
      </c>
      <c r="D585" t="s">
        <v>17</v>
      </c>
      <c r="E585" t="s">
        <v>18</v>
      </c>
      <c r="F585" t="s">
        <v>42</v>
      </c>
      <c r="G585" s="3">
        <v>18.079999999999998</v>
      </c>
      <c r="H585" s="6">
        <v>4</v>
      </c>
      <c r="I585" s="3">
        <v>3.6160000000000001</v>
      </c>
      <c r="J585" s="3">
        <v>75.936000000000007</v>
      </c>
      <c r="K585" s="2">
        <v>43546</v>
      </c>
      <c r="L585" s="1">
        <v>0.75208333333333333</v>
      </c>
      <c r="M585" t="s">
        <v>29</v>
      </c>
      <c r="N585" s="3">
        <v>72.319999999999993</v>
      </c>
      <c r="O585" s="4">
        <v>4.7619047620000003</v>
      </c>
      <c r="P585" s="5">
        <v>3.6160000000000001</v>
      </c>
      <c r="Q585">
        <v>9.5</v>
      </c>
      <c r="R585" s="6">
        <f>DAY(SuperMarket_Analysis[[#This Row],[Date]])</f>
        <v>22</v>
      </c>
      <c r="S585" s="6" t="str">
        <f>TEXT(SuperMarket_Analysis[[#This Row],[Date]],"mmmm")</f>
        <v>March</v>
      </c>
      <c r="T585" s="6">
        <f>YEAR(SuperMarket_Analysis[[#This Row],[Date]])</f>
        <v>2019</v>
      </c>
    </row>
    <row r="586" spans="1:20" x14ac:dyDescent="0.3">
      <c r="A586" t="s">
        <v>617</v>
      </c>
      <c r="B586" t="s">
        <v>38</v>
      </c>
      <c r="C586" t="s">
        <v>39</v>
      </c>
      <c r="D586" t="s">
        <v>24</v>
      </c>
      <c r="E586" t="s">
        <v>174</v>
      </c>
      <c r="F586" t="s">
        <v>32</v>
      </c>
      <c r="G586" s="3">
        <v>63.06</v>
      </c>
      <c r="H586" s="6">
        <v>3</v>
      </c>
      <c r="I586" s="3">
        <v>9.4589999999999996</v>
      </c>
      <c r="J586" s="3">
        <v>198.63900000000001</v>
      </c>
      <c r="K586" s="2">
        <v>43489</v>
      </c>
      <c r="L586" s="1">
        <v>0.66527777777777775</v>
      </c>
      <c r="M586" t="s">
        <v>20</v>
      </c>
      <c r="N586" s="3">
        <v>189.18</v>
      </c>
      <c r="O586" s="4">
        <v>4.7619047620000003</v>
      </c>
      <c r="P586" s="5">
        <v>9.4589999999999996</v>
      </c>
      <c r="Q586">
        <v>7</v>
      </c>
      <c r="R586" s="6">
        <f>DAY(SuperMarket_Analysis[[#This Row],[Date]])</f>
        <v>24</v>
      </c>
      <c r="S586" s="6" t="str">
        <f>TEXT(SuperMarket_Analysis[[#This Row],[Date]],"mmmm")</f>
        <v>January</v>
      </c>
      <c r="T586" s="6">
        <f>YEAR(SuperMarket_Analysis[[#This Row],[Date]])</f>
        <v>2019</v>
      </c>
    </row>
    <row r="587" spans="1:20" x14ac:dyDescent="0.3">
      <c r="A587" t="s">
        <v>618</v>
      </c>
      <c r="B587" t="s">
        <v>15</v>
      </c>
      <c r="C587" t="s">
        <v>16</v>
      </c>
      <c r="D587" t="s">
        <v>24</v>
      </c>
      <c r="E587" t="s">
        <v>174</v>
      </c>
      <c r="F587" t="s">
        <v>19</v>
      </c>
      <c r="G587" s="3">
        <v>51.71</v>
      </c>
      <c r="H587" s="6">
        <v>4</v>
      </c>
      <c r="I587" s="3">
        <v>10.342000000000001</v>
      </c>
      <c r="J587" s="3">
        <v>217.18199999999999</v>
      </c>
      <c r="K587" s="2">
        <v>43518</v>
      </c>
      <c r="L587" s="1">
        <v>0.57847222222222228</v>
      </c>
      <c r="M587" t="s">
        <v>29</v>
      </c>
      <c r="N587" s="3">
        <v>206.84</v>
      </c>
      <c r="O587" s="4">
        <v>4.7619047620000003</v>
      </c>
      <c r="P587" s="5">
        <v>10.342000000000001</v>
      </c>
      <c r="Q587">
        <v>9.8000000000000007</v>
      </c>
      <c r="R587" s="6">
        <f>DAY(SuperMarket_Analysis[[#This Row],[Date]])</f>
        <v>22</v>
      </c>
      <c r="S587" s="6" t="str">
        <f>TEXT(SuperMarket_Analysis[[#This Row],[Date]],"mmmm")</f>
        <v>February</v>
      </c>
      <c r="T587" s="6">
        <f>YEAR(SuperMarket_Analysis[[#This Row],[Date]])</f>
        <v>2019</v>
      </c>
    </row>
    <row r="588" spans="1:20" x14ac:dyDescent="0.3">
      <c r="A588" t="s">
        <v>619</v>
      </c>
      <c r="B588" t="s">
        <v>15</v>
      </c>
      <c r="C588" t="s">
        <v>16</v>
      </c>
      <c r="D588" t="s">
        <v>24</v>
      </c>
      <c r="E588" t="s">
        <v>18</v>
      </c>
      <c r="F588" t="s">
        <v>40</v>
      </c>
      <c r="G588" s="3">
        <v>52.34</v>
      </c>
      <c r="H588" s="6">
        <v>3</v>
      </c>
      <c r="I588" s="3">
        <v>7.851</v>
      </c>
      <c r="J588" s="3">
        <v>164.87100000000001</v>
      </c>
      <c r="K588" s="2">
        <v>43514</v>
      </c>
      <c r="L588" s="1">
        <v>0.5854166666666667</v>
      </c>
      <c r="M588" t="s">
        <v>26</v>
      </c>
      <c r="N588" s="3">
        <v>157.02000000000001</v>
      </c>
      <c r="O588" s="4">
        <v>4.7619047620000003</v>
      </c>
      <c r="P588" s="5">
        <v>7.851</v>
      </c>
      <c r="Q588">
        <v>9.1999999999999993</v>
      </c>
      <c r="R588" s="6">
        <f>DAY(SuperMarket_Analysis[[#This Row],[Date]])</f>
        <v>18</v>
      </c>
      <c r="S588" s="6" t="str">
        <f>TEXT(SuperMarket_Analysis[[#This Row],[Date]],"mmmm")</f>
        <v>February</v>
      </c>
      <c r="T588" s="6">
        <f>YEAR(SuperMarket_Analysis[[#This Row],[Date]])</f>
        <v>2019</v>
      </c>
    </row>
    <row r="589" spans="1:20" x14ac:dyDescent="0.3">
      <c r="A589" t="s">
        <v>620</v>
      </c>
      <c r="B589" t="s">
        <v>15</v>
      </c>
      <c r="C589" t="s">
        <v>16</v>
      </c>
      <c r="D589" t="s">
        <v>24</v>
      </c>
      <c r="E589" t="s">
        <v>18</v>
      </c>
      <c r="F589" t="s">
        <v>32</v>
      </c>
      <c r="G589" s="3">
        <v>43.06</v>
      </c>
      <c r="H589" s="6">
        <v>5</v>
      </c>
      <c r="I589" s="3">
        <v>10.765000000000001</v>
      </c>
      <c r="J589" s="3">
        <v>226.065</v>
      </c>
      <c r="K589" s="2">
        <v>43494</v>
      </c>
      <c r="L589" s="1">
        <v>0.69305555555555554</v>
      </c>
      <c r="M589" t="s">
        <v>20</v>
      </c>
      <c r="N589" s="3">
        <v>215.3</v>
      </c>
      <c r="O589" s="4">
        <v>4.7619047620000003</v>
      </c>
      <c r="P589" s="5">
        <v>10.765000000000001</v>
      </c>
      <c r="Q589">
        <v>7.7</v>
      </c>
      <c r="R589" s="6">
        <f>DAY(SuperMarket_Analysis[[#This Row],[Date]])</f>
        <v>29</v>
      </c>
      <c r="S589" s="6" t="str">
        <f>TEXT(SuperMarket_Analysis[[#This Row],[Date]],"mmmm")</f>
        <v>January</v>
      </c>
      <c r="T589" s="6">
        <f>YEAR(SuperMarket_Analysis[[#This Row],[Date]])</f>
        <v>2019</v>
      </c>
    </row>
    <row r="590" spans="1:20" x14ac:dyDescent="0.3">
      <c r="A590" t="s">
        <v>621</v>
      </c>
      <c r="B590" t="s">
        <v>22</v>
      </c>
      <c r="C590" t="s">
        <v>23</v>
      </c>
      <c r="D590" t="s">
        <v>24</v>
      </c>
      <c r="E590" t="s">
        <v>174</v>
      </c>
      <c r="F590" t="s">
        <v>42</v>
      </c>
      <c r="G590" s="3">
        <v>59.61</v>
      </c>
      <c r="H590" s="6">
        <v>10</v>
      </c>
      <c r="I590" s="3">
        <v>29.805</v>
      </c>
      <c r="J590" s="3">
        <v>625.90499999999997</v>
      </c>
      <c r="K590" s="2">
        <v>43518</v>
      </c>
      <c r="L590" s="1">
        <v>0.46319444444444446</v>
      </c>
      <c r="M590" t="s">
        <v>26</v>
      </c>
      <c r="N590" s="3">
        <v>596.1</v>
      </c>
      <c r="O590" s="4">
        <v>4.7619047620000003</v>
      </c>
      <c r="P590" s="5">
        <v>29.805</v>
      </c>
      <c r="Q590">
        <v>5.3</v>
      </c>
      <c r="R590" s="6">
        <f>DAY(SuperMarket_Analysis[[#This Row],[Date]])</f>
        <v>22</v>
      </c>
      <c r="S590" s="6" t="str">
        <f>TEXT(SuperMarket_Analysis[[#This Row],[Date]],"mmmm")</f>
        <v>February</v>
      </c>
      <c r="T590" s="6">
        <f>YEAR(SuperMarket_Analysis[[#This Row],[Date]])</f>
        <v>2019</v>
      </c>
    </row>
    <row r="591" spans="1:20" x14ac:dyDescent="0.3">
      <c r="A591" t="s">
        <v>622</v>
      </c>
      <c r="B591" t="s">
        <v>15</v>
      </c>
      <c r="C591" t="s">
        <v>16</v>
      </c>
      <c r="D591" t="s">
        <v>24</v>
      </c>
      <c r="E591" t="s">
        <v>174</v>
      </c>
      <c r="F591" t="s">
        <v>19</v>
      </c>
      <c r="G591" s="3">
        <v>14.62</v>
      </c>
      <c r="H591" s="6">
        <v>5</v>
      </c>
      <c r="I591" s="3">
        <v>3.6549999999999998</v>
      </c>
      <c r="J591" s="3">
        <v>76.754999999999995</v>
      </c>
      <c r="K591" s="2">
        <v>43514</v>
      </c>
      <c r="L591" s="1">
        <v>0.51597222222222228</v>
      </c>
      <c r="M591" t="s">
        <v>26</v>
      </c>
      <c r="N591" s="3">
        <v>73.099999999999994</v>
      </c>
      <c r="O591" s="4">
        <v>4.7619047620000003</v>
      </c>
      <c r="P591" s="5">
        <v>3.6549999999999998</v>
      </c>
      <c r="Q591">
        <v>4.4000000000000004</v>
      </c>
      <c r="R591" s="6">
        <f>DAY(SuperMarket_Analysis[[#This Row],[Date]])</f>
        <v>18</v>
      </c>
      <c r="S591" s="6" t="str">
        <f>TEXT(SuperMarket_Analysis[[#This Row],[Date]],"mmmm")</f>
        <v>February</v>
      </c>
      <c r="T591" s="6">
        <f>YEAR(SuperMarket_Analysis[[#This Row],[Date]])</f>
        <v>2019</v>
      </c>
    </row>
    <row r="592" spans="1:20" x14ac:dyDescent="0.3">
      <c r="A592" t="s">
        <v>623</v>
      </c>
      <c r="B592" t="s">
        <v>22</v>
      </c>
      <c r="C592" t="s">
        <v>23</v>
      </c>
      <c r="D592" t="s">
        <v>17</v>
      </c>
      <c r="E592" t="s">
        <v>174</v>
      </c>
      <c r="F592" t="s">
        <v>19</v>
      </c>
      <c r="G592" s="3">
        <v>46.53</v>
      </c>
      <c r="H592" s="6">
        <v>6</v>
      </c>
      <c r="I592" s="3">
        <v>13.959</v>
      </c>
      <c r="J592" s="3">
        <v>293.13900000000001</v>
      </c>
      <c r="K592" s="2">
        <v>43527</v>
      </c>
      <c r="L592" s="1">
        <v>0.45416666666666666</v>
      </c>
      <c r="M592" t="s">
        <v>29</v>
      </c>
      <c r="N592" s="3">
        <v>279.18</v>
      </c>
      <c r="O592" s="4">
        <v>4.7619047620000003</v>
      </c>
      <c r="P592" s="5">
        <v>13.959</v>
      </c>
      <c r="Q592">
        <v>4.3</v>
      </c>
      <c r="R592" s="6">
        <f>DAY(SuperMarket_Analysis[[#This Row],[Date]])</f>
        <v>3</v>
      </c>
      <c r="S592" s="6" t="str">
        <f>TEXT(SuperMarket_Analysis[[#This Row],[Date]],"mmmm")</f>
        <v>March</v>
      </c>
      <c r="T592" s="6">
        <f>YEAR(SuperMarket_Analysis[[#This Row],[Date]])</f>
        <v>2019</v>
      </c>
    </row>
    <row r="593" spans="1:20" x14ac:dyDescent="0.3">
      <c r="A593" t="s">
        <v>624</v>
      </c>
      <c r="B593" t="s">
        <v>15</v>
      </c>
      <c r="C593" t="s">
        <v>16</v>
      </c>
      <c r="D593" t="s">
        <v>17</v>
      </c>
      <c r="E593" t="s">
        <v>18</v>
      </c>
      <c r="F593" t="s">
        <v>32</v>
      </c>
      <c r="G593" s="3">
        <v>45.58</v>
      </c>
      <c r="H593" s="6">
        <v>1</v>
      </c>
      <c r="I593" s="3">
        <v>2.2789999999999999</v>
      </c>
      <c r="J593" s="3">
        <v>47.859000000000002</v>
      </c>
      <c r="K593" s="2">
        <v>43648</v>
      </c>
      <c r="L593" s="1">
        <v>0.59236111111111112</v>
      </c>
      <c r="M593" t="s">
        <v>26</v>
      </c>
      <c r="N593" s="3">
        <v>45.58</v>
      </c>
      <c r="O593" s="4">
        <v>4.7619047620000003</v>
      </c>
      <c r="P593" s="5">
        <v>2.2789999999999999</v>
      </c>
      <c r="Q593">
        <v>9.8000000000000007</v>
      </c>
      <c r="R593" s="6">
        <f>DAY(SuperMarket_Analysis[[#This Row],[Date]])</f>
        <v>2</v>
      </c>
      <c r="S593" s="6" t="str">
        <f>TEXT(SuperMarket_Analysis[[#This Row],[Date]],"mmmm")</f>
        <v>July</v>
      </c>
      <c r="T593" s="6">
        <f>YEAR(SuperMarket_Analysis[[#This Row],[Date]])</f>
        <v>2019</v>
      </c>
    </row>
    <row r="594" spans="1:20" x14ac:dyDescent="0.3">
      <c r="A594" t="s">
        <v>625</v>
      </c>
      <c r="B594" t="s">
        <v>15</v>
      </c>
      <c r="C594" t="s">
        <v>16</v>
      </c>
      <c r="D594" t="s">
        <v>17</v>
      </c>
      <c r="E594" t="s">
        <v>18</v>
      </c>
      <c r="F594" t="s">
        <v>32</v>
      </c>
      <c r="G594" s="3">
        <v>75.2</v>
      </c>
      <c r="H594" s="6">
        <v>3</v>
      </c>
      <c r="I594" s="3">
        <v>11.28</v>
      </c>
      <c r="J594" s="3">
        <v>236.88</v>
      </c>
      <c r="K594" s="2">
        <v>43587</v>
      </c>
      <c r="L594" s="1">
        <v>0.49375000000000002</v>
      </c>
      <c r="M594" t="s">
        <v>20</v>
      </c>
      <c r="N594" s="3">
        <v>225.6</v>
      </c>
      <c r="O594" s="4">
        <v>4.7619047620000003</v>
      </c>
      <c r="P594" s="5">
        <v>11.28</v>
      </c>
      <c r="Q594">
        <v>4.8</v>
      </c>
      <c r="R594" s="6">
        <f>DAY(SuperMarket_Analysis[[#This Row],[Date]])</f>
        <v>2</v>
      </c>
      <c r="S594" s="6" t="str">
        <f>TEXT(SuperMarket_Analysis[[#This Row],[Date]],"mmmm")</f>
        <v>May</v>
      </c>
      <c r="T594" s="6">
        <f>YEAR(SuperMarket_Analysis[[#This Row],[Date]])</f>
        <v>2019</v>
      </c>
    </row>
    <row r="595" spans="1:20" x14ac:dyDescent="0.3">
      <c r="A595" t="s">
        <v>626</v>
      </c>
      <c r="B595" t="s">
        <v>38</v>
      </c>
      <c r="C595" t="s">
        <v>39</v>
      </c>
      <c r="D595" t="s">
        <v>24</v>
      </c>
      <c r="E595" t="s">
        <v>174</v>
      </c>
      <c r="F595" t="s">
        <v>19</v>
      </c>
      <c r="G595" s="3">
        <v>14.82</v>
      </c>
      <c r="H595" s="6">
        <v>3</v>
      </c>
      <c r="I595" s="3">
        <v>2.2229999999999999</v>
      </c>
      <c r="J595" s="3">
        <v>46.683</v>
      </c>
      <c r="K595" s="2">
        <v>43468</v>
      </c>
      <c r="L595" s="1">
        <v>0.47916666666666669</v>
      </c>
      <c r="M595" t="s">
        <v>29</v>
      </c>
      <c r="N595" s="3">
        <v>44.46</v>
      </c>
      <c r="O595" s="4">
        <v>4.7619047620000003</v>
      </c>
      <c r="P595" s="5">
        <v>2.2229999999999999</v>
      </c>
      <c r="Q595">
        <v>8.6999999999999993</v>
      </c>
      <c r="R595" s="6">
        <f>DAY(SuperMarket_Analysis[[#This Row],[Date]])</f>
        <v>3</v>
      </c>
      <c r="S595" s="6" t="str">
        <f>TEXT(SuperMarket_Analysis[[#This Row],[Date]],"mmmm")</f>
        <v>January</v>
      </c>
      <c r="T595" s="6">
        <f>YEAR(SuperMarket_Analysis[[#This Row],[Date]])</f>
        <v>2019</v>
      </c>
    </row>
    <row r="596" spans="1:20" x14ac:dyDescent="0.3">
      <c r="A596" t="s">
        <v>627</v>
      </c>
      <c r="B596" t="s">
        <v>22</v>
      </c>
      <c r="C596" t="s">
        <v>23</v>
      </c>
      <c r="D596" t="s">
        <v>17</v>
      </c>
      <c r="E596" t="s">
        <v>18</v>
      </c>
      <c r="F596" t="s">
        <v>42</v>
      </c>
      <c r="G596" s="3">
        <v>51.89</v>
      </c>
      <c r="H596" s="6">
        <v>7</v>
      </c>
      <c r="I596" s="3">
        <v>18.1615</v>
      </c>
      <c r="J596" s="3">
        <v>381.39150000000001</v>
      </c>
      <c r="K596" s="2">
        <v>43678</v>
      </c>
      <c r="L596" s="1">
        <v>0.83888888888888891</v>
      </c>
      <c r="M596" t="s">
        <v>26</v>
      </c>
      <c r="N596" s="3">
        <v>363.23</v>
      </c>
      <c r="O596" s="4">
        <v>4.7619047620000003</v>
      </c>
      <c r="P596" s="5">
        <v>18.1615</v>
      </c>
      <c r="Q596">
        <v>4.5</v>
      </c>
      <c r="R596" s="6">
        <f>DAY(SuperMarket_Analysis[[#This Row],[Date]])</f>
        <v>1</v>
      </c>
      <c r="S596" s="6" t="str">
        <f>TEXT(SuperMarket_Analysis[[#This Row],[Date]],"mmmm")</f>
        <v>August</v>
      </c>
      <c r="T596" s="6">
        <f>YEAR(SuperMarket_Analysis[[#This Row],[Date]])</f>
        <v>2019</v>
      </c>
    </row>
    <row r="597" spans="1:20" x14ac:dyDescent="0.3">
      <c r="A597" t="s">
        <v>628</v>
      </c>
      <c r="B597" t="s">
        <v>38</v>
      </c>
      <c r="C597" t="s">
        <v>39</v>
      </c>
      <c r="D597" t="s">
        <v>24</v>
      </c>
      <c r="E597" t="s">
        <v>174</v>
      </c>
      <c r="F597" t="s">
        <v>28</v>
      </c>
      <c r="G597" s="3">
        <v>31.75</v>
      </c>
      <c r="H597" s="6">
        <v>4</v>
      </c>
      <c r="I597" s="3">
        <v>6.35</v>
      </c>
      <c r="J597" s="3">
        <v>133.35</v>
      </c>
      <c r="K597" s="2">
        <v>43679</v>
      </c>
      <c r="L597" s="1">
        <v>0.6430555555555556</v>
      </c>
      <c r="M597" t="s">
        <v>26</v>
      </c>
      <c r="N597" s="3">
        <v>127</v>
      </c>
      <c r="O597" s="4">
        <v>4.7619047620000003</v>
      </c>
      <c r="P597" s="5">
        <v>6.35</v>
      </c>
      <c r="Q597">
        <v>8.6</v>
      </c>
      <c r="R597" s="6">
        <f>DAY(SuperMarket_Analysis[[#This Row],[Date]])</f>
        <v>2</v>
      </c>
      <c r="S597" s="6" t="str">
        <f>TEXT(SuperMarket_Analysis[[#This Row],[Date]],"mmmm")</f>
        <v>August</v>
      </c>
      <c r="T597" s="6">
        <f>YEAR(SuperMarket_Analysis[[#This Row],[Date]])</f>
        <v>2019</v>
      </c>
    </row>
    <row r="598" spans="1:20" x14ac:dyDescent="0.3">
      <c r="A598" t="s">
        <v>629</v>
      </c>
      <c r="B598" t="s">
        <v>15</v>
      </c>
      <c r="C598" t="s">
        <v>16</v>
      </c>
      <c r="D598" t="s">
        <v>17</v>
      </c>
      <c r="E598" t="s">
        <v>18</v>
      </c>
      <c r="F598" t="s">
        <v>42</v>
      </c>
      <c r="G598" s="3">
        <v>53.65</v>
      </c>
      <c r="H598" s="6">
        <v>7</v>
      </c>
      <c r="I598" s="3">
        <v>18.7775</v>
      </c>
      <c r="J598" s="3">
        <v>394.32749999999999</v>
      </c>
      <c r="K598" s="2">
        <v>43740</v>
      </c>
      <c r="L598" s="1">
        <v>0.53888888888888886</v>
      </c>
      <c r="M598" t="s">
        <v>20</v>
      </c>
      <c r="N598" s="3">
        <v>375.55</v>
      </c>
      <c r="O598" s="4">
        <v>4.7619047620000003</v>
      </c>
      <c r="P598" s="5">
        <v>18.7775</v>
      </c>
      <c r="Q598">
        <v>5.2</v>
      </c>
      <c r="R598" s="6">
        <f>DAY(SuperMarket_Analysis[[#This Row],[Date]])</f>
        <v>2</v>
      </c>
      <c r="S598" s="6" t="str">
        <f>TEXT(SuperMarket_Analysis[[#This Row],[Date]],"mmmm")</f>
        <v>October</v>
      </c>
      <c r="T598" s="6">
        <f>YEAR(SuperMarket_Analysis[[#This Row],[Date]])</f>
        <v>2019</v>
      </c>
    </row>
    <row r="599" spans="1:20" x14ac:dyDescent="0.3">
      <c r="A599" t="s">
        <v>630</v>
      </c>
      <c r="B599" t="s">
        <v>15</v>
      </c>
      <c r="C599" t="s">
        <v>16</v>
      </c>
      <c r="D599" t="s">
        <v>24</v>
      </c>
      <c r="E599" t="s">
        <v>18</v>
      </c>
      <c r="F599" t="s">
        <v>25</v>
      </c>
      <c r="G599" s="3">
        <v>28.96</v>
      </c>
      <c r="H599" s="6">
        <v>1</v>
      </c>
      <c r="I599" s="3">
        <v>1.448</v>
      </c>
      <c r="J599" s="3">
        <v>30.408000000000001</v>
      </c>
      <c r="K599" s="2">
        <v>43648</v>
      </c>
      <c r="L599" s="1">
        <v>0.42916666666666664</v>
      </c>
      <c r="M599" t="s">
        <v>29</v>
      </c>
      <c r="N599" s="3">
        <v>28.96</v>
      </c>
      <c r="O599" s="4">
        <v>4.7619047620000003</v>
      </c>
      <c r="P599" s="5">
        <v>1.448</v>
      </c>
      <c r="Q599">
        <v>6.2</v>
      </c>
      <c r="R599" s="6">
        <f>DAY(SuperMarket_Analysis[[#This Row],[Date]])</f>
        <v>2</v>
      </c>
      <c r="S599" s="6" t="str">
        <f>TEXT(SuperMarket_Analysis[[#This Row],[Date]],"mmmm")</f>
        <v>July</v>
      </c>
      <c r="T599" s="6">
        <f>YEAR(SuperMarket_Analysis[[#This Row],[Date]])</f>
        <v>2019</v>
      </c>
    </row>
    <row r="600" spans="1:20" x14ac:dyDescent="0.3">
      <c r="A600" t="s">
        <v>631</v>
      </c>
      <c r="B600" t="s">
        <v>22</v>
      </c>
      <c r="C600" t="s">
        <v>23</v>
      </c>
      <c r="D600" t="s">
        <v>17</v>
      </c>
      <c r="E600" t="s">
        <v>18</v>
      </c>
      <c r="F600" t="s">
        <v>40</v>
      </c>
      <c r="G600" s="3">
        <v>98.97</v>
      </c>
      <c r="H600" s="6">
        <v>9</v>
      </c>
      <c r="I600" s="3">
        <v>44.536499999999997</v>
      </c>
      <c r="J600" s="3">
        <v>935.26649999999995</v>
      </c>
      <c r="K600" s="2">
        <v>43711</v>
      </c>
      <c r="L600" s="1">
        <v>0.47430555555555554</v>
      </c>
      <c r="M600" t="s">
        <v>26</v>
      </c>
      <c r="N600" s="3">
        <v>890.73</v>
      </c>
      <c r="O600" s="4">
        <v>4.7619047620000003</v>
      </c>
      <c r="P600" s="5">
        <v>44.536499999999997</v>
      </c>
      <c r="Q600">
        <v>6.7</v>
      </c>
      <c r="R600" s="6">
        <f>DAY(SuperMarket_Analysis[[#This Row],[Date]])</f>
        <v>3</v>
      </c>
      <c r="S600" s="6" t="str">
        <f>TEXT(SuperMarket_Analysis[[#This Row],[Date]],"mmmm")</f>
        <v>September</v>
      </c>
      <c r="T600" s="6">
        <f>YEAR(SuperMarket_Analysis[[#This Row],[Date]])</f>
        <v>2019</v>
      </c>
    </row>
    <row r="601" spans="1:20" x14ac:dyDescent="0.3">
      <c r="A601" t="s">
        <v>632</v>
      </c>
      <c r="B601" t="s">
        <v>15</v>
      </c>
      <c r="C601" t="s">
        <v>16</v>
      </c>
      <c r="D601" t="s">
        <v>17</v>
      </c>
      <c r="E601" t="s">
        <v>174</v>
      </c>
      <c r="F601" t="s">
        <v>40</v>
      </c>
      <c r="G601" s="3">
        <v>67.45</v>
      </c>
      <c r="H601" s="6">
        <v>10</v>
      </c>
      <c r="I601" s="3">
        <v>33.725000000000001</v>
      </c>
      <c r="J601" s="3">
        <v>708.22500000000002</v>
      </c>
      <c r="K601" s="2">
        <v>43526</v>
      </c>
      <c r="L601" s="1">
        <v>0.47569444444444442</v>
      </c>
      <c r="M601" t="s">
        <v>20</v>
      </c>
      <c r="N601" s="3">
        <v>674.5</v>
      </c>
      <c r="O601" s="4">
        <v>4.7619047620000003</v>
      </c>
      <c r="P601" s="5">
        <v>33.725000000000001</v>
      </c>
      <c r="Q601">
        <v>4.2</v>
      </c>
      <c r="R601" s="6">
        <f>DAY(SuperMarket_Analysis[[#This Row],[Date]])</f>
        <v>2</v>
      </c>
      <c r="S601" s="6" t="str">
        <f>TEXT(SuperMarket_Analysis[[#This Row],[Date]],"mmmm")</f>
        <v>March</v>
      </c>
      <c r="T601" s="6">
        <f>YEAR(SuperMarket_Analysis[[#This Row],[Date]])</f>
        <v>2019</v>
      </c>
    </row>
    <row r="602" spans="1:20" x14ac:dyDescent="0.3">
      <c r="A602" t="s">
        <v>633</v>
      </c>
      <c r="B602" t="s">
        <v>22</v>
      </c>
      <c r="C602" t="s">
        <v>23</v>
      </c>
      <c r="D602" t="s">
        <v>17</v>
      </c>
      <c r="E602" t="s">
        <v>18</v>
      </c>
      <c r="F602" t="s">
        <v>42</v>
      </c>
      <c r="G602" s="3">
        <v>43.46</v>
      </c>
      <c r="H602" s="6">
        <v>6</v>
      </c>
      <c r="I602" s="3">
        <v>13.038</v>
      </c>
      <c r="J602" s="3">
        <v>273.798</v>
      </c>
      <c r="K602" s="2">
        <v>43648</v>
      </c>
      <c r="L602" s="1">
        <v>0.74652777777777779</v>
      </c>
      <c r="M602" t="s">
        <v>20</v>
      </c>
      <c r="N602" s="3">
        <v>260.76</v>
      </c>
      <c r="O602" s="4">
        <v>4.7619047620000003</v>
      </c>
      <c r="P602" s="5">
        <v>13.038</v>
      </c>
      <c r="Q602">
        <v>8.5</v>
      </c>
      <c r="R602" s="6">
        <f>DAY(SuperMarket_Analysis[[#This Row],[Date]])</f>
        <v>2</v>
      </c>
      <c r="S602" s="6" t="str">
        <f>TEXT(SuperMarket_Analysis[[#This Row],[Date]],"mmmm")</f>
        <v>July</v>
      </c>
      <c r="T602" s="6">
        <f>YEAR(SuperMarket_Analysis[[#This Row],[Date]])</f>
        <v>2019</v>
      </c>
    </row>
    <row r="603" spans="1:20" x14ac:dyDescent="0.3">
      <c r="A603" t="s">
        <v>634</v>
      </c>
      <c r="B603" t="s">
        <v>38</v>
      </c>
      <c r="C603" t="s">
        <v>39</v>
      </c>
      <c r="D603" t="s">
        <v>24</v>
      </c>
      <c r="E603" t="s">
        <v>18</v>
      </c>
      <c r="F603" t="s">
        <v>42</v>
      </c>
      <c r="G603" s="3">
        <v>83.25</v>
      </c>
      <c r="H603" s="6">
        <v>10</v>
      </c>
      <c r="I603" s="3">
        <v>41.625</v>
      </c>
      <c r="J603" s="3">
        <v>874.125</v>
      </c>
      <c r="K603" s="2">
        <v>43800</v>
      </c>
      <c r="L603" s="1">
        <v>0.47569444444444442</v>
      </c>
      <c r="M603" t="s">
        <v>29</v>
      </c>
      <c r="N603" s="3">
        <v>832.5</v>
      </c>
      <c r="O603" s="4">
        <v>4.7619047620000003</v>
      </c>
      <c r="P603" s="5">
        <v>41.625</v>
      </c>
      <c r="Q603">
        <v>4.4000000000000004</v>
      </c>
      <c r="R603" s="6">
        <f>DAY(SuperMarket_Analysis[[#This Row],[Date]])</f>
        <v>1</v>
      </c>
      <c r="S603" s="6" t="str">
        <f>TEXT(SuperMarket_Analysis[[#This Row],[Date]],"mmmm")</f>
        <v>December</v>
      </c>
      <c r="T603" s="6">
        <f>YEAR(SuperMarket_Analysis[[#This Row],[Date]])</f>
        <v>2019</v>
      </c>
    </row>
    <row r="604" spans="1:20" x14ac:dyDescent="0.3">
      <c r="A604" t="s">
        <v>635</v>
      </c>
      <c r="B604" t="s">
        <v>15</v>
      </c>
      <c r="C604" t="s">
        <v>16</v>
      </c>
      <c r="D604" t="s">
        <v>24</v>
      </c>
      <c r="E604" t="s">
        <v>174</v>
      </c>
      <c r="F604" t="s">
        <v>32</v>
      </c>
      <c r="G604" s="3">
        <v>60.87</v>
      </c>
      <c r="H604" s="6">
        <v>2</v>
      </c>
      <c r="I604" s="3">
        <v>6.0869999999999997</v>
      </c>
      <c r="J604" s="3">
        <v>127.827</v>
      </c>
      <c r="K604" s="2">
        <v>43711</v>
      </c>
      <c r="L604" s="1">
        <v>0.52569444444444446</v>
      </c>
      <c r="M604" t="s">
        <v>20</v>
      </c>
      <c r="N604" s="3">
        <v>121.74</v>
      </c>
      <c r="O604" s="4">
        <v>4.7619047620000003</v>
      </c>
      <c r="P604" s="5">
        <v>6.0869999999999997</v>
      </c>
      <c r="Q604">
        <v>8.6999999999999993</v>
      </c>
      <c r="R604" s="6">
        <f>DAY(SuperMarket_Analysis[[#This Row],[Date]])</f>
        <v>3</v>
      </c>
      <c r="S604" s="6" t="str">
        <f>TEXT(SuperMarket_Analysis[[#This Row],[Date]],"mmmm")</f>
        <v>September</v>
      </c>
      <c r="T604" s="6">
        <f>YEAR(SuperMarket_Analysis[[#This Row],[Date]])</f>
        <v>2019</v>
      </c>
    </row>
    <row r="605" spans="1:20" x14ac:dyDescent="0.3">
      <c r="A605" t="s">
        <v>636</v>
      </c>
      <c r="B605" t="s">
        <v>15</v>
      </c>
      <c r="C605" t="s">
        <v>16</v>
      </c>
      <c r="D605" t="s">
        <v>24</v>
      </c>
      <c r="E605" t="s">
        <v>174</v>
      </c>
      <c r="F605" t="s">
        <v>25</v>
      </c>
      <c r="G605" s="3">
        <v>78.31</v>
      </c>
      <c r="H605" s="6">
        <v>3</v>
      </c>
      <c r="I605" s="3">
        <v>11.746499999999999</v>
      </c>
      <c r="J605" s="3">
        <v>246.6765</v>
      </c>
      <c r="K605" s="2">
        <v>43588</v>
      </c>
      <c r="L605" s="1">
        <v>0.69305555555555554</v>
      </c>
      <c r="M605" t="s">
        <v>20</v>
      </c>
      <c r="N605" s="3">
        <v>234.93</v>
      </c>
      <c r="O605" s="4">
        <v>4.7619047620000003</v>
      </c>
      <c r="P605" s="5">
        <v>11.746499999999999</v>
      </c>
      <c r="Q605">
        <v>5.4</v>
      </c>
      <c r="R605" s="6">
        <f>DAY(SuperMarket_Analysis[[#This Row],[Date]])</f>
        <v>3</v>
      </c>
      <c r="S605" s="6" t="str">
        <f>TEXT(SuperMarket_Analysis[[#This Row],[Date]],"mmmm")</f>
        <v>May</v>
      </c>
      <c r="T605" s="6">
        <f>YEAR(SuperMarket_Analysis[[#This Row],[Date]])</f>
        <v>2019</v>
      </c>
    </row>
    <row r="606" spans="1:20" x14ac:dyDescent="0.3">
      <c r="A606" t="s">
        <v>637</v>
      </c>
      <c r="B606" t="s">
        <v>15</v>
      </c>
      <c r="C606" t="s">
        <v>16</v>
      </c>
      <c r="D606" t="s">
        <v>24</v>
      </c>
      <c r="E606" t="s">
        <v>174</v>
      </c>
      <c r="F606" t="s">
        <v>19</v>
      </c>
      <c r="G606" s="3">
        <v>28.95</v>
      </c>
      <c r="H606" s="6">
        <v>7</v>
      </c>
      <c r="I606" s="3">
        <v>10.1325</v>
      </c>
      <c r="J606" s="3">
        <v>212.7825</v>
      </c>
      <c r="K606" s="2">
        <v>43527</v>
      </c>
      <c r="L606" s="1">
        <v>0.85486111111111107</v>
      </c>
      <c r="M606" t="s">
        <v>29</v>
      </c>
      <c r="N606" s="3">
        <v>202.65</v>
      </c>
      <c r="O606" s="4">
        <v>4.7619047620000003</v>
      </c>
      <c r="P606" s="5">
        <v>10.1325</v>
      </c>
      <c r="Q606">
        <v>6</v>
      </c>
      <c r="R606" s="6">
        <f>DAY(SuperMarket_Analysis[[#This Row],[Date]])</f>
        <v>3</v>
      </c>
      <c r="S606" s="6" t="str">
        <f>TEXT(SuperMarket_Analysis[[#This Row],[Date]],"mmmm")</f>
        <v>March</v>
      </c>
      <c r="T606" s="6">
        <f>YEAR(SuperMarket_Analysis[[#This Row],[Date]])</f>
        <v>2019</v>
      </c>
    </row>
    <row r="607" spans="1:20" x14ac:dyDescent="0.3">
      <c r="A607" t="s">
        <v>638</v>
      </c>
      <c r="B607" t="s">
        <v>38</v>
      </c>
      <c r="C607" t="s">
        <v>39</v>
      </c>
      <c r="D607" t="s">
        <v>17</v>
      </c>
      <c r="E607" t="s">
        <v>18</v>
      </c>
      <c r="F607" t="s">
        <v>40</v>
      </c>
      <c r="G607" s="3">
        <v>17.63</v>
      </c>
      <c r="H607" s="6">
        <v>5</v>
      </c>
      <c r="I607" s="3">
        <v>4.4074999999999998</v>
      </c>
      <c r="J607" s="3">
        <v>92.557500000000005</v>
      </c>
      <c r="K607" s="2">
        <v>43680</v>
      </c>
      <c r="L607" s="1">
        <v>0.64375000000000004</v>
      </c>
      <c r="M607" t="s">
        <v>26</v>
      </c>
      <c r="N607" s="3">
        <v>88.15</v>
      </c>
      <c r="O607" s="4">
        <v>4.7619047620000003</v>
      </c>
      <c r="P607" s="5">
        <v>4.4074999999999998</v>
      </c>
      <c r="Q607">
        <v>8.5</v>
      </c>
      <c r="R607" s="6">
        <f>DAY(SuperMarket_Analysis[[#This Row],[Date]])</f>
        <v>3</v>
      </c>
      <c r="S607" s="6" t="str">
        <f>TEXT(SuperMarket_Analysis[[#This Row],[Date]],"mmmm")</f>
        <v>August</v>
      </c>
      <c r="T607" s="6">
        <f>YEAR(SuperMarket_Analysis[[#This Row],[Date]])</f>
        <v>2019</v>
      </c>
    </row>
    <row r="608" spans="1:20" x14ac:dyDescent="0.3">
      <c r="A608" t="s">
        <v>639</v>
      </c>
      <c r="B608" t="s">
        <v>15</v>
      </c>
      <c r="C608" t="s">
        <v>16</v>
      </c>
      <c r="D608" t="s">
        <v>17</v>
      </c>
      <c r="E608" t="s">
        <v>174</v>
      </c>
      <c r="F608" t="s">
        <v>28</v>
      </c>
      <c r="G608" s="3">
        <v>72.78</v>
      </c>
      <c r="H608" s="6">
        <v>10</v>
      </c>
      <c r="I608" s="3">
        <v>36.39</v>
      </c>
      <c r="J608" s="3">
        <v>764.19</v>
      </c>
      <c r="K608" s="2">
        <v>43526</v>
      </c>
      <c r="L608" s="1">
        <v>0.72499999999999998</v>
      </c>
      <c r="M608" t="s">
        <v>26</v>
      </c>
      <c r="N608" s="3">
        <v>727.8</v>
      </c>
      <c r="O608" s="4">
        <v>4.7619047620000003</v>
      </c>
      <c r="P608" s="5">
        <v>36.39</v>
      </c>
      <c r="Q608">
        <v>7.3</v>
      </c>
      <c r="R608" s="6">
        <f>DAY(SuperMarket_Analysis[[#This Row],[Date]])</f>
        <v>2</v>
      </c>
      <c r="S608" s="6" t="str">
        <f>TEXT(SuperMarket_Analysis[[#This Row],[Date]],"mmmm")</f>
        <v>March</v>
      </c>
      <c r="T608" s="6">
        <f>YEAR(SuperMarket_Analysis[[#This Row],[Date]])</f>
        <v>2019</v>
      </c>
    </row>
    <row r="609" spans="1:20" x14ac:dyDescent="0.3">
      <c r="A609" t="s">
        <v>640</v>
      </c>
      <c r="B609" t="s">
        <v>38</v>
      </c>
      <c r="C609" t="s">
        <v>39</v>
      </c>
      <c r="D609" t="s">
        <v>17</v>
      </c>
      <c r="E609" t="s">
        <v>174</v>
      </c>
      <c r="F609" t="s">
        <v>32</v>
      </c>
      <c r="G609" s="3">
        <v>37.32</v>
      </c>
      <c r="H609" s="6">
        <v>9</v>
      </c>
      <c r="I609" s="3">
        <v>16.794</v>
      </c>
      <c r="J609" s="3">
        <v>352.67399999999998</v>
      </c>
      <c r="K609" s="2">
        <v>43619</v>
      </c>
      <c r="L609" s="1">
        <v>0.64652777777777781</v>
      </c>
      <c r="M609" t="s">
        <v>20</v>
      </c>
      <c r="N609" s="3">
        <v>335.88</v>
      </c>
      <c r="O609" s="4">
        <v>4.7619047620000003</v>
      </c>
      <c r="P609" s="5">
        <v>16.794</v>
      </c>
      <c r="Q609">
        <v>5.0999999999999996</v>
      </c>
      <c r="R609" s="6">
        <f>DAY(SuperMarket_Analysis[[#This Row],[Date]])</f>
        <v>3</v>
      </c>
      <c r="S609" s="6" t="str">
        <f>TEXT(SuperMarket_Analysis[[#This Row],[Date]],"mmmm")</f>
        <v>June</v>
      </c>
      <c r="T609" s="6">
        <f>YEAR(SuperMarket_Analysis[[#This Row],[Date]])</f>
        <v>2019</v>
      </c>
    </row>
    <row r="610" spans="1:20" x14ac:dyDescent="0.3">
      <c r="A610" t="s">
        <v>641</v>
      </c>
      <c r="B610" t="s">
        <v>38</v>
      </c>
      <c r="C610" t="s">
        <v>39</v>
      </c>
      <c r="D610" t="s">
        <v>24</v>
      </c>
      <c r="E610" t="s">
        <v>18</v>
      </c>
      <c r="F610" t="s">
        <v>32</v>
      </c>
      <c r="G610" s="3">
        <v>42.97</v>
      </c>
      <c r="H610" s="6">
        <v>3</v>
      </c>
      <c r="I610" s="3">
        <v>6.4455</v>
      </c>
      <c r="J610" s="3">
        <v>135.35550000000001</v>
      </c>
      <c r="K610" s="2">
        <v>43526</v>
      </c>
      <c r="L610" s="1">
        <v>0.49027777777777776</v>
      </c>
      <c r="M610" t="s">
        <v>26</v>
      </c>
      <c r="N610" s="3">
        <v>128.91</v>
      </c>
      <c r="O610" s="4">
        <v>4.7619047620000003</v>
      </c>
      <c r="P610" s="5">
        <v>6.4455</v>
      </c>
      <c r="Q610">
        <v>9.3000000000000007</v>
      </c>
      <c r="R610" s="6">
        <f>DAY(SuperMarket_Analysis[[#This Row],[Date]])</f>
        <v>2</v>
      </c>
      <c r="S610" s="6" t="str">
        <f>TEXT(SuperMarket_Analysis[[#This Row],[Date]],"mmmm")</f>
        <v>March</v>
      </c>
      <c r="T610" s="6">
        <f>YEAR(SuperMarket_Analysis[[#This Row],[Date]])</f>
        <v>2019</v>
      </c>
    </row>
    <row r="611" spans="1:20" x14ac:dyDescent="0.3">
      <c r="A611" t="s">
        <v>642</v>
      </c>
      <c r="B611" t="s">
        <v>22</v>
      </c>
      <c r="C611" t="s">
        <v>23</v>
      </c>
      <c r="D611" t="s">
        <v>17</v>
      </c>
      <c r="E611" t="s">
        <v>18</v>
      </c>
      <c r="F611" t="s">
        <v>40</v>
      </c>
      <c r="G611" s="3">
        <v>87.1</v>
      </c>
      <c r="H611" s="6">
        <v>10</v>
      </c>
      <c r="I611" s="3">
        <v>43.55</v>
      </c>
      <c r="J611" s="3">
        <v>914.55</v>
      </c>
      <c r="K611" s="2">
        <v>43801</v>
      </c>
      <c r="L611" s="1">
        <v>0.61458333333333337</v>
      </c>
      <c r="M611" t="s">
        <v>29</v>
      </c>
      <c r="N611" s="3">
        <v>871</v>
      </c>
      <c r="O611" s="4">
        <v>4.7619047620000003</v>
      </c>
      <c r="P611" s="5">
        <v>43.55</v>
      </c>
      <c r="Q611">
        <v>9.9</v>
      </c>
      <c r="R611" s="6">
        <f>DAY(SuperMarket_Analysis[[#This Row],[Date]])</f>
        <v>2</v>
      </c>
      <c r="S611" s="6" t="str">
        <f>TEXT(SuperMarket_Analysis[[#This Row],[Date]],"mmmm")</f>
        <v>December</v>
      </c>
      <c r="T611" s="6">
        <f>YEAR(SuperMarket_Analysis[[#This Row],[Date]])</f>
        <v>2019</v>
      </c>
    </row>
    <row r="612" spans="1:20" x14ac:dyDescent="0.3">
      <c r="A612" t="s">
        <v>643</v>
      </c>
      <c r="B612" t="s">
        <v>15</v>
      </c>
      <c r="C612" t="s">
        <v>16</v>
      </c>
      <c r="D612" t="s">
        <v>24</v>
      </c>
      <c r="E612" t="s">
        <v>18</v>
      </c>
      <c r="F612" t="s">
        <v>42</v>
      </c>
      <c r="G612" s="3">
        <v>48.63</v>
      </c>
      <c r="H612" s="6">
        <v>4</v>
      </c>
      <c r="I612" s="3">
        <v>9.7260000000000009</v>
      </c>
      <c r="J612" s="3">
        <v>204.24600000000001</v>
      </c>
      <c r="K612" s="2">
        <v>43557</v>
      </c>
      <c r="L612" s="1">
        <v>0.65555555555555556</v>
      </c>
      <c r="M612" t="s">
        <v>20</v>
      </c>
      <c r="N612" s="3">
        <v>194.52</v>
      </c>
      <c r="O612" s="4">
        <v>4.7619047620000003</v>
      </c>
      <c r="P612" s="5">
        <v>9.7260000000000009</v>
      </c>
      <c r="Q612">
        <v>7.6</v>
      </c>
      <c r="R612" s="6">
        <f>DAY(SuperMarket_Analysis[[#This Row],[Date]])</f>
        <v>2</v>
      </c>
      <c r="S612" s="6" t="str">
        <f>TEXT(SuperMarket_Analysis[[#This Row],[Date]],"mmmm")</f>
        <v>April</v>
      </c>
      <c r="T612" s="6">
        <f>YEAR(SuperMarket_Analysis[[#This Row],[Date]])</f>
        <v>2019</v>
      </c>
    </row>
    <row r="613" spans="1:20" x14ac:dyDescent="0.3">
      <c r="A613" t="s">
        <v>644</v>
      </c>
      <c r="B613" t="s">
        <v>38</v>
      </c>
      <c r="C613" t="s">
        <v>39</v>
      </c>
      <c r="D613" t="s">
        <v>24</v>
      </c>
      <c r="E613" t="s">
        <v>18</v>
      </c>
      <c r="F613" t="s">
        <v>19</v>
      </c>
      <c r="G613" s="3">
        <v>73.41</v>
      </c>
      <c r="H613" s="6">
        <v>3</v>
      </c>
      <c r="I613" s="3">
        <v>11.0115</v>
      </c>
      <c r="J613" s="3">
        <v>231.2415</v>
      </c>
      <c r="K613" s="2">
        <v>43499</v>
      </c>
      <c r="L613" s="1">
        <v>0.54861111111111116</v>
      </c>
      <c r="M613" t="s">
        <v>20</v>
      </c>
      <c r="N613" s="3">
        <v>220.23</v>
      </c>
      <c r="O613" s="4">
        <v>4.7619047620000003</v>
      </c>
      <c r="P613" s="5">
        <v>11.0115</v>
      </c>
      <c r="Q613">
        <v>4</v>
      </c>
      <c r="R613" s="6">
        <f>DAY(SuperMarket_Analysis[[#This Row],[Date]])</f>
        <v>3</v>
      </c>
      <c r="S613" s="6" t="str">
        <f>TEXT(SuperMarket_Analysis[[#This Row],[Date]],"mmmm")</f>
        <v>February</v>
      </c>
      <c r="T613" s="6">
        <f>YEAR(SuperMarket_Analysis[[#This Row],[Date]])</f>
        <v>2019</v>
      </c>
    </row>
    <row r="614" spans="1:20" x14ac:dyDescent="0.3">
      <c r="A614" t="s">
        <v>645</v>
      </c>
      <c r="B614" t="s">
        <v>15</v>
      </c>
      <c r="C614" t="s">
        <v>16</v>
      </c>
      <c r="D614" t="s">
        <v>24</v>
      </c>
      <c r="E614" t="s">
        <v>18</v>
      </c>
      <c r="F614" t="s">
        <v>25</v>
      </c>
      <c r="G614" s="3">
        <v>45.48</v>
      </c>
      <c r="H614" s="6">
        <v>10</v>
      </c>
      <c r="I614" s="3">
        <v>22.74</v>
      </c>
      <c r="J614" s="3">
        <v>477.54</v>
      </c>
      <c r="K614" s="2">
        <v>43468</v>
      </c>
      <c r="L614" s="1">
        <v>0.43194444444444446</v>
      </c>
      <c r="M614" t="s">
        <v>29</v>
      </c>
      <c r="N614" s="3">
        <v>454.8</v>
      </c>
      <c r="O614" s="4">
        <v>4.7619047620000003</v>
      </c>
      <c r="P614" s="5">
        <v>22.74</v>
      </c>
      <c r="Q614">
        <v>4.8</v>
      </c>
      <c r="R614" s="6">
        <f>DAY(SuperMarket_Analysis[[#This Row],[Date]])</f>
        <v>3</v>
      </c>
      <c r="S614" s="6" t="str">
        <f>TEXT(SuperMarket_Analysis[[#This Row],[Date]],"mmmm")</f>
        <v>January</v>
      </c>
      <c r="T614" s="6">
        <f>YEAR(SuperMarket_Analysis[[#This Row],[Date]])</f>
        <v>2019</v>
      </c>
    </row>
    <row r="615" spans="1:20" x14ac:dyDescent="0.3">
      <c r="A615" t="s">
        <v>646</v>
      </c>
      <c r="B615" t="s">
        <v>22</v>
      </c>
      <c r="C615" t="s">
        <v>23</v>
      </c>
      <c r="D615" t="s">
        <v>24</v>
      </c>
      <c r="E615" t="s">
        <v>174</v>
      </c>
      <c r="F615" t="s">
        <v>19</v>
      </c>
      <c r="G615" s="3">
        <v>58.95</v>
      </c>
      <c r="H615" s="6">
        <v>10</v>
      </c>
      <c r="I615" s="3">
        <v>29.475000000000001</v>
      </c>
      <c r="J615" s="3">
        <v>618.97500000000002</v>
      </c>
      <c r="K615" s="2">
        <v>43648</v>
      </c>
      <c r="L615" s="1">
        <v>0.6020833333333333</v>
      </c>
      <c r="M615" t="s">
        <v>20</v>
      </c>
      <c r="N615" s="3">
        <v>589.5</v>
      </c>
      <c r="O615" s="4">
        <v>4.7619047620000003</v>
      </c>
      <c r="P615" s="5">
        <v>29.475000000000001</v>
      </c>
      <c r="Q615">
        <v>8.1</v>
      </c>
      <c r="R615" s="6">
        <f>DAY(SuperMarket_Analysis[[#This Row],[Date]])</f>
        <v>2</v>
      </c>
      <c r="S615" s="6" t="str">
        <f>TEXT(SuperMarket_Analysis[[#This Row],[Date]],"mmmm")</f>
        <v>July</v>
      </c>
      <c r="T615" s="6">
        <f>YEAR(SuperMarket_Analysis[[#This Row],[Date]])</f>
        <v>2019</v>
      </c>
    </row>
    <row r="616" spans="1:20" x14ac:dyDescent="0.3">
      <c r="A616" t="s">
        <v>647</v>
      </c>
      <c r="B616" t="s">
        <v>15</v>
      </c>
      <c r="C616" t="s">
        <v>16</v>
      </c>
      <c r="D616" t="s">
        <v>17</v>
      </c>
      <c r="E616" t="s">
        <v>174</v>
      </c>
      <c r="F616" t="s">
        <v>40</v>
      </c>
      <c r="G616" s="3">
        <v>48.5</v>
      </c>
      <c r="H616" s="6">
        <v>6</v>
      </c>
      <c r="I616" s="3">
        <v>14.55</v>
      </c>
      <c r="J616" s="3">
        <v>305.55</v>
      </c>
      <c r="K616" s="2">
        <v>43770</v>
      </c>
      <c r="L616" s="1">
        <v>0.58125000000000004</v>
      </c>
      <c r="M616" t="s">
        <v>20</v>
      </c>
      <c r="N616" s="3">
        <v>291</v>
      </c>
      <c r="O616" s="4">
        <v>4.7619047620000003</v>
      </c>
      <c r="P616" s="5">
        <v>14.55</v>
      </c>
      <c r="Q616">
        <v>9.4</v>
      </c>
      <c r="R616" s="6">
        <f>DAY(SuperMarket_Analysis[[#This Row],[Date]])</f>
        <v>1</v>
      </c>
      <c r="S616" s="6" t="str">
        <f>TEXT(SuperMarket_Analysis[[#This Row],[Date]],"mmmm")</f>
        <v>November</v>
      </c>
      <c r="T616" s="6">
        <f>YEAR(SuperMarket_Analysis[[#This Row],[Date]])</f>
        <v>2019</v>
      </c>
    </row>
    <row r="617" spans="1:20" x14ac:dyDescent="0.3">
      <c r="A617" t="s">
        <v>648</v>
      </c>
      <c r="B617" t="s">
        <v>38</v>
      </c>
      <c r="C617" t="s">
        <v>39</v>
      </c>
      <c r="D617" t="s">
        <v>17</v>
      </c>
      <c r="E617" t="s">
        <v>18</v>
      </c>
      <c r="F617" t="s">
        <v>25</v>
      </c>
      <c r="G617" s="3">
        <v>39.479999999999997</v>
      </c>
      <c r="H617" s="6">
        <v>1</v>
      </c>
      <c r="I617" s="3">
        <v>1.974</v>
      </c>
      <c r="J617" s="3">
        <v>41.454000000000001</v>
      </c>
      <c r="K617" s="2">
        <v>43801</v>
      </c>
      <c r="L617" s="1">
        <v>0.82152777777777775</v>
      </c>
      <c r="M617" t="s">
        <v>26</v>
      </c>
      <c r="N617" s="3">
        <v>39.479999999999997</v>
      </c>
      <c r="O617" s="4">
        <v>4.7619047620000003</v>
      </c>
      <c r="P617" s="5">
        <v>1.974</v>
      </c>
      <c r="Q617">
        <v>6.5</v>
      </c>
      <c r="R617" s="6">
        <f>DAY(SuperMarket_Analysis[[#This Row],[Date]])</f>
        <v>2</v>
      </c>
      <c r="S617" s="6" t="str">
        <f>TEXT(SuperMarket_Analysis[[#This Row],[Date]],"mmmm")</f>
        <v>December</v>
      </c>
      <c r="T617" s="6">
        <f>YEAR(SuperMarket_Analysis[[#This Row],[Date]])</f>
        <v>2019</v>
      </c>
    </row>
    <row r="618" spans="1:20" x14ac:dyDescent="0.3">
      <c r="A618" t="s">
        <v>649</v>
      </c>
      <c r="B618" t="s">
        <v>22</v>
      </c>
      <c r="C618" t="s">
        <v>23</v>
      </c>
      <c r="D618" t="s">
        <v>24</v>
      </c>
      <c r="E618" t="s">
        <v>18</v>
      </c>
      <c r="F618" t="s">
        <v>42</v>
      </c>
      <c r="G618" s="3">
        <v>49.32</v>
      </c>
      <c r="H618" s="6">
        <v>6</v>
      </c>
      <c r="I618" s="3">
        <v>14.795999999999999</v>
      </c>
      <c r="J618" s="3">
        <v>310.71600000000001</v>
      </c>
      <c r="K618" s="2">
        <v>43709</v>
      </c>
      <c r="L618" s="1">
        <v>0.57361111111111107</v>
      </c>
      <c r="M618" t="s">
        <v>20</v>
      </c>
      <c r="N618" s="3">
        <v>295.92</v>
      </c>
      <c r="O618" s="4">
        <v>4.7619047620000003</v>
      </c>
      <c r="P618" s="5">
        <v>14.795999999999999</v>
      </c>
      <c r="Q618">
        <v>7.1</v>
      </c>
      <c r="R618" s="6">
        <f>DAY(SuperMarket_Analysis[[#This Row],[Date]])</f>
        <v>1</v>
      </c>
      <c r="S618" s="6" t="str">
        <f>TEXT(SuperMarket_Analysis[[#This Row],[Date]],"mmmm")</f>
        <v>September</v>
      </c>
      <c r="T618" s="6">
        <f>YEAR(SuperMarket_Analysis[[#This Row],[Date]])</f>
        <v>2019</v>
      </c>
    </row>
    <row r="619" spans="1:20" x14ac:dyDescent="0.3">
      <c r="A619" t="s">
        <v>650</v>
      </c>
      <c r="B619" t="s">
        <v>38</v>
      </c>
      <c r="C619" t="s">
        <v>39</v>
      </c>
      <c r="D619" t="s">
        <v>17</v>
      </c>
      <c r="E619" t="s">
        <v>18</v>
      </c>
      <c r="F619" t="s">
        <v>28</v>
      </c>
      <c r="G619" s="3">
        <v>49.1</v>
      </c>
      <c r="H619" s="6">
        <v>2</v>
      </c>
      <c r="I619" s="3">
        <v>4.91</v>
      </c>
      <c r="J619" s="3">
        <v>103.11</v>
      </c>
      <c r="K619" s="2">
        <v>43678</v>
      </c>
      <c r="L619" s="1">
        <v>0.54027777777777775</v>
      </c>
      <c r="M619" t="s">
        <v>29</v>
      </c>
      <c r="N619" s="3">
        <v>98.2</v>
      </c>
      <c r="O619" s="4">
        <v>4.7619047620000003</v>
      </c>
      <c r="P619" s="5">
        <v>4.91</v>
      </c>
      <c r="Q619">
        <v>6.4</v>
      </c>
      <c r="R619" s="6">
        <f>DAY(SuperMarket_Analysis[[#This Row],[Date]])</f>
        <v>1</v>
      </c>
      <c r="S619" s="6" t="str">
        <f>TEXT(SuperMarket_Analysis[[#This Row],[Date]],"mmmm")</f>
        <v>August</v>
      </c>
      <c r="T619" s="6">
        <f>YEAR(SuperMarket_Analysis[[#This Row],[Date]])</f>
        <v>2019</v>
      </c>
    </row>
    <row r="620" spans="1:20" x14ac:dyDescent="0.3">
      <c r="A620" t="s">
        <v>651</v>
      </c>
      <c r="B620" t="s">
        <v>38</v>
      </c>
      <c r="C620" t="s">
        <v>39</v>
      </c>
      <c r="D620" t="s">
        <v>17</v>
      </c>
      <c r="E620" t="s">
        <v>18</v>
      </c>
      <c r="F620" t="s">
        <v>32</v>
      </c>
      <c r="G620" s="3">
        <v>64.83</v>
      </c>
      <c r="H620" s="6">
        <v>2</v>
      </c>
      <c r="I620" s="3">
        <v>6.4829999999999997</v>
      </c>
      <c r="J620" s="3">
        <v>136.143</v>
      </c>
      <c r="K620" s="2">
        <v>43678</v>
      </c>
      <c r="L620" s="1">
        <v>0.49930555555555556</v>
      </c>
      <c r="M620" t="s">
        <v>29</v>
      </c>
      <c r="N620" s="3">
        <v>129.66</v>
      </c>
      <c r="O620" s="4">
        <v>4.7619047620000003</v>
      </c>
      <c r="P620" s="5">
        <v>6.4829999999999997</v>
      </c>
      <c r="Q620">
        <v>8</v>
      </c>
      <c r="R620" s="6">
        <f>DAY(SuperMarket_Analysis[[#This Row],[Date]])</f>
        <v>1</v>
      </c>
      <c r="S620" s="6" t="str">
        <f>TEXT(SuperMarket_Analysis[[#This Row],[Date]],"mmmm")</f>
        <v>August</v>
      </c>
      <c r="T620" s="6">
        <f>YEAR(SuperMarket_Analysis[[#This Row],[Date]])</f>
        <v>2019</v>
      </c>
    </row>
    <row r="621" spans="1:20" x14ac:dyDescent="0.3">
      <c r="A621" t="s">
        <v>652</v>
      </c>
      <c r="B621" t="s">
        <v>22</v>
      </c>
      <c r="C621" t="s">
        <v>23</v>
      </c>
      <c r="D621" t="s">
        <v>17</v>
      </c>
      <c r="E621" t="s">
        <v>174</v>
      </c>
      <c r="F621" t="s">
        <v>40</v>
      </c>
      <c r="G621" s="3">
        <v>55.04</v>
      </c>
      <c r="H621" s="6">
        <v>7</v>
      </c>
      <c r="I621" s="3">
        <v>19.263999999999999</v>
      </c>
      <c r="J621" s="3">
        <v>404.54399999999998</v>
      </c>
      <c r="K621" s="2">
        <v>43802</v>
      </c>
      <c r="L621" s="1">
        <v>0.81874999999999998</v>
      </c>
      <c r="M621" t="s">
        <v>20</v>
      </c>
      <c r="N621" s="3">
        <v>385.28</v>
      </c>
      <c r="O621" s="4">
        <v>4.7619047620000003</v>
      </c>
      <c r="P621" s="5">
        <v>19.263999999999999</v>
      </c>
      <c r="Q621">
        <v>5.2</v>
      </c>
      <c r="R621" s="6">
        <f>DAY(SuperMarket_Analysis[[#This Row],[Date]])</f>
        <v>3</v>
      </c>
      <c r="S621" s="6" t="str">
        <f>TEXT(SuperMarket_Analysis[[#This Row],[Date]],"mmmm")</f>
        <v>December</v>
      </c>
      <c r="T621" s="6">
        <f>YEAR(SuperMarket_Analysis[[#This Row],[Date]])</f>
        <v>2019</v>
      </c>
    </row>
    <row r="622" spans="1:20" x14ac:dyDescent="0.3">
      <c r="A622" t="s">
        <v>653</v>
      </c>
      <c r="B622" t="s">
        <v>15</v>
      </c>
      <c r="C622" t="s">
        <v>16</v>
      </c>
      <c r="D622" t="s">
        <v>17</v>
      </c>
      <c r="E622" t="s">
        <v>174</v>
      </c>
      <c r="F622" t="s">
        <v>19</v>
      </c>
      <c r="G622" s="3">
        <v>48.63</v>
      </c>
      <c r="H622" s="6">
        <v>10</v>
      </c>
      <c r="I622" s="3">
        <v>24.315000000000001</v>
      </c>
      <c r="J622" s="3">
        <v>510.61500000000001</v>
      </c>
      <c r="K622" s="2">
        <v>43558</v>
      </c>
      <c r="L622" s="1">
        <v>0.53055555555555556</v>
      </c>
      <c r="M622" t="s">
        <v>26</v>
      </c>
      <c r="N622" s="3">
        <v>486.3</v>
      </c>
      <c r="O622" s="4">
        <v>4.7619047620000003</v>
      </c>
      <c r="P622" s="5">
        <v>24.315000000000001</v>
      </c>
      <c r="Q622">
        <v>8.8000000000000007</v>
      </c>
      <c r="R622" s="6">
        <f>DAY(SuperMarket_Analysis[[#This Row],[Date]])</f>
        <v>3</v>
      </c>
      <c r="S622" s="6" t="str">
        <f>TEXT(SuperMarket_Analysis[[#This Row],[Date]],"mmmm")</f>
        <v>April</v>
      </c>
      <c r="T622" s="6">
        <f>YEAR(SuperMarket_Analysis[[#This Row],[Date]])</f>
        <v>2019</v>
      </c>
    </row>
    <row r="623" spans="1:20" x14ac:dyDescent="0.3">
      <c r="A623" t="s">
        <v>654</v>
      </c>
      <c r="B623" t="s">
        <v>22</v>
      </c>
      <c r="C623" t="s">
        <v>23</v>
      </c>
      <c r="D623" t="s">
        <v>17</v>
      </c>
      <c r="E623" t="s">
        <v>18</v>
      </c>
      <c r="F623" t="s">
        <v>42</v>
      </c>
      <c r="G623" s="3">
        <v>73.38</v>
      </c>
      <c r="H623" s="6">
        <v>7</v>
      </c>
      <c r="I623" s="3">
        <v>25.683</v>
      </c>
      <c r="J623" s="3">
        <v>539.34299999999996</v>
      </c>
      <c r="K623" s="2">
        <v>43740</v>
      </c>
      <c r="L623" s="1">
        <v>0.5805555555555556</v>
      </c>
      <c r="M623" t="s">
        <v>26</v>
      </c>
      <c r="N623" s="3">
        <v>513.66</v>
      </c>
      <c r="O623" s="4">
        <v>4.7619047620000003</v>
      </c>
      <c r="P623" s="5">
        <v>25.683</v>
      </c>
      <c r="Q623">
        <v>9.5</v>
      </c>
      <c r="R623" s="6">
        <f>DAY(SuperMarket_Analysis[[#This Row],[Date]])</f>
        <v>2</v>
      </c>
      <c r="S623" s="6" t="str">
        <f>TEXT(SuperMarket_Analysis[[#This Row],[Date]],"mmmm")</f>
        <v>October</v>
      </c>
      <c r="T623" s="6">
        <f>YEAR(SuperMarket_Analysis[[#This Row],[Date]])</f>
        <v>2019</v>
      </c>
    </row>
    <row r="624" spans="1:20" x14ac:dyDescent="0.3">
      <c r="A624" t="s">
        <v>655</v>
      </c>
      <c r="B624" t="s">
        <v>15</v>
      </c>
      <c r="C624" t="s">
        <v>16</v>
      </c>
      <c r="D624" t="s">
        <v>17</v>
      </c>
      <c r="E624" t="s">
        <v>18</v>
      </c>
      <c r="F624" t="s">
        <v>32</v>
      </c>
      <c r="G624" s="3">
        <v>27.04</v>
      </c>
      <c r="H624" s="6">
        <v>4</v>
      </c>
      <c r="I624" s="3">
        <v>5.4080000000000004</v>
      </c>
      <c r="J624" s="3">
        <v>113.568</v>
      </c>
      <c r="K624" s="2">
        <v>43466</v>
      </c>
      <c r="L624" s="1">
        <v>0.85138888888888886</v>
      </c>
      <c r="M624" t="s">
        <v>20</v>
      </c>
      <c r="N624" s="3">
        <v>108.16</v>
      </c>
      <c r="O624" s="4">
        <v>4.7619047620000003</v>
      </c>
      <c r="P624" s="5">
        <v>5.4080000000000004</v>
      </c>
      <c r="Q624">
        <v>6.9</v>
      </c>
      <c r="R624" s="6">
        <f>DAY(SuperMarket_Analysis[[#This Row],[Date]])</f>
        <v>1</v>
      </c>
      <c r="S624" s="6" t="str">
        <f>TEXT(SuperMarket_Analysis[[#This Row],[Date]],"mmmm")</f>
        <v>January</v>
      </c>
      <c r="T624" s="6">
        <f>YEAR(SuperMarket_Analysis[[#This Row],[Date]])</f>
        <v>2019</v>
      </c>
    </row>
    <row r="625" spans="1:20" x14ac:dyDescent="0.3">
      <c r="A625" t="s">
        <v>656</v>
      </c>
      <c r="B625" t="s">
        <v>38</v>
      </c>
      <c r="C625" t="s">
        <v>39</v>
      </c>
      <c r="D625" t="s">
        <v>24</v>
      </c>
      <c r="E625" t="s">
        <v>174</v>
      </c>
      <c r="F625" t="s">
        <v>28</v>
      </c>
      <c r="G625" s="3">
        <v>62.19</v>
      </c>
      <c r="H625" s="6">
        <v>4</v>
      </c>
      <c r="I625" s="3">
        <v>12.438000000000001</v>
      </c>
      <c r="J625" s="3">
        <v>261.19799999999998</v>
      </c>
      <c r="K625" s="2">
        <v>43617</v>
      </c>
      <c r="L625" s="1">
        <v>0.82361111111111107</v>
      </c>
      <c r="M625" t="s">
        <v>20</v>
      </c>
      <c r="N625" s="3">
        <v>248.76</v>
      </c>
      <c r="O625" s="4">
        <v>4.7619047620000003</v>
      </c>
      <c r="P625" s="5">
        <v>12.438000000000001</v>
      </c>
      <c r="Q625">
        <v>4.3</v>
      </c>
      <c r="R625" s="6">
        <f>DAY(SuperMarket_Analysis[[#This Row],[Date]])</f>
        <v>1</v>
      </c>
      <c r="S625" s="6" t="str">
        <f>TEXT(SuperMarket_Analysis[[#This Row],[Date]],"mmmm")</f>
        <v>June</v>
      </c>
      <c r="T625" s="6">
        <f>YEAR(SuperMarket_Analysis[[#This Row],[Date]])</f>
        <v>2019</v>
      </c>
    </row>
    <row r="626" spans="1:20" x14ac:dyDescent="0.3">
      <c r="A626" t="s">
        <v>657</v>
      </c>
      <c r="B626" t="s">
        <v>22</v>
      </c>
      <c r="C626" t="s">
        <v>23</v>
      </c>
      <c r="D626" t="s">
        <v>24</v>
      </c>
      <c r="E626" t="s">
        <v>174</v>
      </c>
      <c r="F626" t="s">
        <v>28</v>
      </c>
      <c r="G626" s="3">
        <v>97.5</v>
      </c>
      <c r="H626" s="6">
        <v>10</v>
      </c>
      <c r="I626" s="3">
        <v>48.75</v>
      </c>
      <c r="J626" s="3">
        <v>1023.75</v>
      </c>
      <c r="K626" s="2">
        <v>43800</v>
      </c>
      <c r="L626" s="1">
        <v>0.6791666666666667</v>
      </c>
      <c r="M626" t="s">
        <v>20</v>
      </c>
      <c r="N626" s="3">
        <v>975</v>
      </c>
      <c r="O626" s="4">
        <v>4.7619047620000003</v>
      </c>
      <c r="P626" s="5">
        <v>48.75</v>
      </c>
      <c r="Q626">
        <v>8</v>
      </c>
      <c r="R626" s="6">
        <f>DAY(SuperMarket_Analysis[[#This Row],[Date]])</f>
        <v>1</v>
      </c>
      <c r="S626" s="6" t="str">
        <f>TEXT(SuperMarket_Analysis[[#This Row],[Date]],"mmmm")</f>
        <v>December</v>
      </c>
      <c r="T626" s="6">
        <f>YEAR(SuperMarket_Analysis[[#This Row],[Date]])</f>
        <v>2019</v>
      </c>
    </row>
    <row r="627" spans="1:20" x14ac:dyDescent="0.3">
      <c r="A627" t="s">
        <v>658</v>
      </c>
      <c r="B627" t="s">
        <v>22</v>
      </c>
      <c r="C627" t="s">
        <v>23</v>
      </c>
      <c r="D627" t="s">
        <v>24</v>
      </c>
      <c r="E627" t="s">
        <v>18</v>
      </c>
      <c r="F627" t="s">
        <v>42</v>
      </c>
      <c r="G627" s="3">
        <v>60.41</v>
      </c>
      <c r="H627" s="6">
        <v>8</v>
      </c>
      <c r="I627" s="3">
        <v>24.164000000000001</v>
      </c>
      <c r="J627" s="3">
        <v>507.44400000000002</v>
      </c>
      <c r="K627" s="2">
        <v>43648</v>
      </c>
      <c r="L627" s="1">
        <v>0.51597222222222228</v>
      </c>
      <c r="M627" t="s">
        <v>20</v>
      </c>
      <c r="N627" s="3">
        <v>483.28</v>
      </c>
      <c r="O627" s="4">
        <v>4.7619047620000003</v>
      </c>
      <c r="P627" s="5">
        <v>24.164000000000001</v>
      </c>
      <c r="Q627">
        <v>9.6</v>
      </c>
      <c r="R627" s="6">
        <f>DAY(SuperMarket_Analysis[[#This Row],[Date]])</f>
        <v>2</v>
      </c>
      <c r="S627" s="6" t="str">
        <f>TEXT(SuperMarket_Analysis[[#This Row],[Date]],"mmmm")</f>
        <v>July</v>
      </c>
      <c r="T627" s="6">
        <f>YEAR(SuperMarket_Analysis[[#This Row],[Date]])</f>
        <v>2019</v>
      </c>
    </row>
    <row r="628" spans="1:20" x14ac:dyDescent="0.3">
      <c r="A628" t="s">
        <v>659</v>
      </c>
      <c r="B628" t="s">
        <v>38</v>
      </c>
      <c r="C628" t="s">
        <v>39</v>
      </c>
      <c r="D628" t="s">
        <v>17</v>
      </c>
      <c r="E628" t="s">
        <v>174</v>
      </c>
      <c r="F628" t="s">
        <v>19</v>
      </c>
      <c r="G628" s="3">
        <v>80.47</v>
      </c>
      <c r="H628" s="6">
        <v>9</v>
      </c>
      <c r="I628" s="3">
        <v>36.211500000000001</v>
      </c>
      <c r="J628" s="3">
        <v>760.44150000000002</v>
      </c>
      <c r="K628" s="2">
        <v>43617</v>
      </c>
      <c r="L628" s="1">
        <v>0.47083333333333333</v>
      </c>
      <c r="M628" t="s">
        <v>26</v>
      </c>
      <c r="N628" s="3">
        <v>724.23</v>
      </c>
      <c r="O628" s="4">
        <v>4.7619047620000003</v>
      </c>
      <c r="P628" s="5">
        <v>36.211500000000001</v>
      </c>
      <c r="Q628">
        <v>9.1999999999999993</v>
      </c>
      <c r="R628" s="6">
        <f>DAY(SuperMarket_Analysis[[#This Row],[Date]])</f>
        <v>1</v>
      </c>
      <c r="S628" s="6" t="str">
        <f>TEXT(SuperMarket_Analysis[[#This Row],[Date]],"mmmm")</f>
        <v>June</v>
      </c>
      <c r="T628" s="6">
        <f>YEAR(SuperMarket_Analysis[[#This Row],[Date]])</f>
        <v>2019</v>
      </c>
    </row>
    <row r="629" spans="1:20" x14ac:dyDescent="0.3">
      <c r="A629" t="s">
        <v>660</v>
      </c>
      <c r="B629" t="s">
        <v>38</v>
      </c>
      <c r="C629" t="s">
        <v>39</v>
      </c>
      <c r="D629" t="s">
        <v>17</v>
      </c>
      <c r="E629" t="s">
        <v>18</v>
      </c>
      <c r="F629" t="s">
        <v>28</v>
      </c>
      <c r="G629" s="3">
        <v>88.39</v>
      </c>
      <c r="H629" s="6">
        <v>9</v>
      </c>
      <c r="I629" s="3">
        <v>39.775500000000001</v>
      </c>
      <c r="J629" s="3">
        <v>835.28549999999996</v>
      </c>
      <c r="K629" s="2">
        <v>43499</v>
      </c>
      <c r="L629" s="1">
        <v>0.52777777777777779</v>
      </c>
      <c r="M629" t="s">
        <v>26</v>
      </c>
      <c r="N629" s="3">
        <v>795.51</v>
      </c>
      <c r="O629" s="4">
        <v>4.7619047620000003</v>
      </c>
      <c r="P629" s="5">
        <v>39.775500000000001</v>
      </c>
      <c r="Q629">
        <v>6.3</v>
      </c>
      <c r="R629" s="6">
        <f>DAY(SuperMarket_Analysis[[#This Row],[Date]])</f>
        <v>3</v>
      </c>
      <c r="S629" s="6" t="str">
        <f>TEXT(SuperMarket_Analysis[[#This Row],[Date]],"mmmm")</f>
        <v>February</v>
      </c>
      <c r="T629" s="6">
        <f>YEAR(SuperMarket_Analysis[[#This Row],[Date]])</f>
        <v>2019</v>
      </c>
    </row>
    <row r="630" spans="1:20" x14ac:dyDescent="0.3">
      <c r="A630" t="s">
        <v>661</v>
      </c>
      <c r="B630" t="s">
        <v>22</v>
      </c>
      <c r="C630" t="s">
        <v>23</v>
      </c>
      <c r="D630" t="s">
        <v>24</v>
      </c>
      <c r="E630" t="s">
        <v>18</v>
      </c>
      <c r="F630" t="s">
        <v>19</v>
      </c>
      <c r="G630" s="3">
        <v>13.85</v>
      </c>
      <c r="H630" s="6">
        <v>9</v>
      </c>
      <c r="I630" s="3">
        <v>6.2324999999999999</v>
      </c>
      <c r="J630" s="3">
        <v>130.88249999999999</v>
      </c>
      <c r="K630" s="2">
        <v>43557</v>
      </c>
      <c r="L630" s="1">
        <v>0.53472222222222221</v>
      </c>
      <c r="M630" t="s">
        <v>20</v>
      </c>
      <c r="N630" s="3">
        <v>124.65</v>
      </c>
      <c r="O630" s="4">
        <v>4.7619047620000003</v>
      </c>
      <c r="P630" s="5">
        <v>6.2324999999999999</v>
      </c>
      <c r="Q630">
        <v>6</v>
      </c>
      <c r="R630" s="6">
        <f>DAY(SuperMarket_Analysis[[#This Row],[Date]])</f>
        <v>2</v>
      </c>
      <c r="S630" s="6" t="str">
        <f>TEXT(SuperMarket_Analysis[[#This Row],[Date]],"mmmm")</f>
        <v>April</v>
      </c>
      <c r="T630" s="6">
        <f>YEAR(SuperMarket_Analysis[[#This Row],[Date]])</f>
        <v>2019</v>
      </c>
    </row>
    <row r="631" spans="1:20" x14ac:dyDescent="0.3">
      <c r="A631" t="s">
        <v>662</v>
      </c>
      <c r="B631" t="s">
        <v>15</v>
      </c>
      <c r="C631" t="s">
        <v>16</v>
      </c>
      <c r="D631" t="s">
        <v>24</v>
      </c>
      <c r="E631" t="s">
        <v>18</v>
      </c>
      <c r="F631" t="s">
        <v>19</v>
      </c>
      <c r="G631" s="3">
        <v>35.68</v>
      </c>
      <c r="H631" s="6">
        <v>5</v>
      </c>
      <c r="I631" s="3">
        <v>8.92</v>
      </c>
      <c r="J631" s="3">
        <v>187.32</v>
      </c>
      <c r="K631" s="2">
        <v>43618</v>
      </c>
      <c r="L631" s="1">
        <v>0.7729166666666667</v>
      </c>
      <c r="M631" t="s">
        <v>29</v>
      </c>
      <c r="N631" s="3">
        <v>178.4</v>
      </c>
      <c r="O631" s="4">
        <v>4.7619047620000003</v>
      </c>
      <c r="P631" s="5">
        <v>8.92</v>
      </c>
      <c r="Q631">
        <v>6.6</v>
      </c>
      <c r="R631" s="6">
        <f>DAY(SuperMarket_Analysis[[#This Row],[Date]])</f>
        <v>2</v>
      </c>
      <c r="S631" s="6" t="str">
        <f>TEXT(SuperMarket_Analysis[[#This Row],[Date]],"mmmm")</f>
        <v>June</v>
      </c>
      <c r="T631" s="6">
        <f>YEAR(SuperMarket_Analysis[[#This Row],[Date]])</f>
        <v>2019</v>
      </c>
    </row>
    <row r="632" spans="1:20" x14ac:dyDescent="0.3">
      <c r="A632" t="s">
        <v>663</v>
      </c>
      <c r="B632" t="s">
        <v>38</v>
      </c>
      <c r="C632" t="s">
        <v>39</v>
      </c>
      <c r="D632" t="s">
        <v>24</v>
      </c>
      <c r="E632" t="s">
        <v>18</v>
      </c>
      <c r="F632" t="s">
        <v>42</v>
      </c>
      <c r="G632" s="3">
        <v>25.56</v>
      </c>
      <c r="H632" s="6">
        <v>7</v>
      </c>
      <c r="I632" s="3">
        <v>8.9459999999999997</v>
      </c>
      <c r="J632" s="3">
        <v>187.86600000000001</v>
      </c>
      <c r="K632" s="2">
        <v>43498</v>
      </c>
      <c r="L632" s="1">
        <v>0.86250000000000004</v>
      </c>
      <c r="M632" t="s">
        <v>26</v>
      </c>
      <c r="N632" s="3">
        <v>178.92</v>
      </c>
      <c r="O632" s="4">
        <v>4.7619047620000003</v>
      </c>
      <c r="P632" s="5">
        <v>8.9459999999999997</v>
      </c>
      <c r="Q632">
        <v>7.1</v>
      </c>
      <c r="R632" s="6">
        <f>DAY(SuperMarket_Analysis[[#This Row],[Date]])</f>
        <v>2</v>
      </c>
      <c r="S632" s="6" t="str">
        <f>TEXT(SuperMarket_Analysis[[#This Row],[Date]],"mmmm")</f>
        <v>February</v>
      </c>
      <c r="T632" s="6">
        <f>YEAR(SuperMarket_Analysis[[#This Row],[Date]])</f>
        <v>2019</v>
      </c>
    </row>
    <row r="633" spans="1:20" x14ac:dyDescent="0.3">
      <c r="A633" t="s">
        <v>664</v>
      </c>
      <c r="B633" t="s">
        <v>22</v>
      </c>
      <c r="C633" t="s">
        <v>23</v>
      </c>
      <c r="D633" t="s">
        <v>17</v>
      </c>
      <c r="E633" t="s">
        <v>18</v>
      </c>
      <c r="F633" t="s">
        <v>40</v>
      </c>
      <c r="G633" s="3">
        <v>36.770000000000003</v>
      </c>
      <c r="H633" s="6">
        <v>7</v>
      </c>
      <c r="I633" s="3">
        <v>12.8695</v>
      </c>
      <c r="J633" s="3">
        <v>270.2595</v>
      </c>
      <c r="K633" s="2">
        <v>43770</v>
      </c>
      <c r="L633" s="1">
        <v>0.84027777777777779</v>
      </c>
      <c r="M633" t="s">
        <v>26</v>
      </c>
      <c r="N633" s="3">
        <v>257.39</v>
      </c>
      <c r="O633" s="4">
        <v>4.7619047620000003</v>
      </c>
      <c r="P633" s="5">
        <v>12.8695</v>
      </c>
      <c r="Q633">
        <v>7.4</v>
      </c>
      <c r="R633" s="6">
        <f>DAY(SuperMarket_Analysis[[#This Row],[Date]])</f>
        <v>1</v>
      </c>
      <c r="S633" s="6" t="str">
        <f>TEXT(SuperMarket_Analysis[[#This Row],[Date]],"mmmm")</f>
        <v>November</v>
      </c>
      <c r="T633" s="6">
        <f>YEAR(SuperMarket_Analysis[[#This Row],[Date]])</f>
        <v>2019</v>
      </c>
    </row>
    <row r="634" spans="1:20" x14ac:dyDescent="0.3">
      <c r="A634" t="s">
        <v>665</v>
      </c>
      <c r="B634" t="s">
        <v>38</v>
      </c>
      <c r="C634" t="s">
        <v>39</v>
      </c>
      <c r="D634" t="s">
        <v>17</v>
      </c>
      <c r="E634" t="s">
        <v>174</v>
      </c>
      <c r="F634" t="s">
        <v>40</v>
      </c>
      <c r="G634" s="3">
        <v>23.34</v>
      </c>
      <c r="H634" s="6">
        <v>4</v>
      </c>
      <c r="I634" s="3">
        <v>4.6680000000000001</v>
      </c>
      <c r="J634" s="3">
        <v>98.028000000000006</v>
      </c>
      <c r="K634" s="2">
        <v>43557</v>
      </c>
      <c r="L634" s="1">
        <v>0.78680555555555554</v>
      </c>
      <c r="M634" t="s">
        <v>20</v>
      </c>
      <c r="N634" s="3">
        <v>93.36</v>
      </c>
      <c r="O634" s="4">
        <v>4.7619047620000003</v>
      </c>
      <c r="P634" s="5">
        <v>4.6680000000000001</v>
      </c>
      <c r="Q634">
        <v>7.4</v>
      </c>
      <c r="R634" s="6">
        <f>DAY(SuperMarket_Analysis[[#This Row],[Date]])</f>
        <v>2</v>
      </c>
      <c r="S634" s="6" t="str">
        <f>TEXT(SuperMarket_Analysis[[#This Row],[Date]],"mmmm")</f>
        <v>April</v>
      </c>
      <c r="T634" s="6">
        <f>YEAR(SuperMarket_Analysis[[#This Row],[Date]])</f>
        <v>2019</v>
      </c>
    </row>
    <row r="635" spans="1:20" x14ac:dyDescent="0.3">
      <c r="A635" t="s">
        <v>666</v>
      </c>
      <c r="B635" t="s">
        <v>22</v>
      </c>
      <c r="C635" t="s">
        <v>23</v>
      </c>
      <c r="D635" t="s">
        <v>17</v>
      </c>
      <c r="E635" t="s">
        <v>18</v>
      </c>
      <c r="F635" t="s">
        <v>19</v>
      </c>
      <c r="G635" s="3">
        <v>28.5</v>
      </c>
      <c r="H635" s="6">
        <v>8</v>
      </c>
      <c r="I635" s="3">
        <v>11.4</v>
      </c>
      <c r="J635" s="3">
        <v>239.4</v>
      </c>
      <c r="K635" s="2">
        <v>43618</v>
      </c>
      <c r="L635" s="1">
        <v>0.6</v>
      </c>
      <c r="M635" t="s">
        <v>26</v>
      </c>
      <c r="N635" s="3">
        <v>228</v>
      </c>
      <c r="O635" s="4">
        <v>4.7619047620000003</v>
      </c>
      <c r="P635" s="5">
        <v>11.4</v>
      </c>
      <c r="Q635">
        <v>6.6</v>
      </c>
      <c r="R635" s="6">
        <f>DAY(SuperMarket_Analysis[[#This Row],[Date]])</f>
        <v>2</v>
      </c>
      <c r="S635" s="6" t="str">
        <f>TEXT(SuperMarket_Analysis[[#This Row],[Date]],"mmmm")</f>
        <v>June</v>
      </c>
      <c r="T635" s="6">
        <f>YEAR(SuperMarket_Analysis[[#This Row],[Date]])</f>
        <v>2019</v>
      </c>
    </row>
    <row r="636" spans="1:20" x14ac:dyDescent="0.3">
      <c r="A636" t="s">
        <v>667</v>
      </c>
      <c r="B636" t="s">
        <v>22</v>
      </c>
      <c r="C636" t="s">
        <v>23</v>
      </c>
      <c r="D636" t="s">
        <v>17</v>
      </c>
      <c r="E636" t="s">
        <v>174</v>
      </c>
      <c r="F636" t="s">
        <v>28</v>
      </c>
      <c r="G636" s="3">
        <v>55.57</v>
      </c>
      <c r="H636" s="6">
        <v>3</v>
      </c>
      <c r="I636" s="3">
        <v>8.3354999999999997</v>
      </c>
      <c r="J636" s="3">
        <v>175.0455</v>
      </c>
      <c r="K636" s="2">
        <v>43678</v>
      </c>
      <c r="L636" s="1">
        <v>0.48749999999999999</v>
      </c>
      <c r="M636" t="s">
        <v>29</v>
      </c>
      <c r="N636" s="3">
        <v>166.71</v>
      </c>
      <c r="O636" s="4">
        <v>4.7619047620000003</v>
      </c>
      <c r="P636" s="5">
        <v>8.3354999999999997</v>
      </c>
      <c r="Q636">
        <v>5.9</v>
      </c>
      <c r="R636" s="6">
        <f>DAY(SuperMarket_Analysis[[#This Row],[Date]])</f>
        <v>1</v>
      </c>
      <c r="S636" s="6" t="str">
        <f>TEXT(SuperMarket_Analysis[[#This Row],[Date]],"mmmm")</f>
        <v>August</v>
      </c>
      <c r="T636" s="6">
        <f>YEAR(SuperMarket_Analysis[[#This Row],[Date]])</f>
        <v>2019</v>
      </c>
    </row>
    <row r="637" spans="1:20" x14ac:dyDescent="0.3">
      <c r="A637" t="s">
        <v>668</v>
      </c>
      <c r="B637" t="s">
        <v>38</v>
      </c>
      <c r="C637" t="s">
        <v>39</v>
      </c>
      <c r="D637" t="s">
        <v>24</v>
      </c>
      <c r="E637" t="s">
        <v>174</v>
      </c>
      <c r="F637" t="s">
        <v>32</v>
      </c>
      <c r="G637" s="3">
        <v>69.739999999999995</v>
      </c>
      <c r="H637" s="6">
        <v>10</v>
      </c>
      <c r="I637" s="3">
        <v>34.869999999999997</v>
      </c>
      <c r="J637" s="3">
        <v>732.27</v>
      </c>
      <c r="K637" s="2">
        <v>43588</v>
      </c>
      <c r="L637" s="1">
        <v>0.74236111111111114</v>
      </c>
      <c r="M637" t="s">
        <v>29</v>
      </c>
      <c r="N637" s="3">
        <v>697.4</v>
      </c>
      <c r="O637" s="4">
        <v>4.7619047620000003</v>
      </c>
      <c r="P637" s="5">
        <v>34.869999999999997</v>
      </c>
      <c r="Q637">
        <v>8.9</v>
      </c>
      <c r="R637" s="6">
        <f>DAY(SuperMarket_Analysis[[#This Row],[Date]])</f>
        <v>3</v>
      </c>
      <c r="S637" s="6" t="str">
        <f>TEXT(SuperMarket_Analysis[[#This Row],[Date]],"mmmm")</f>
        <v>May</v>
      </c>
      <c r="T637" s="6">
        <f>YEAR(SuperMarket_Analysis[[#This Row],[Date]])</f>
        <v>2019</v>
      </c>
    </row>
    <row r="638" spans="1:20" x14ac:dyDescent="0.3">
      <c r="A638" t="s">
        <v>669</v>
      </c>
      <c r="B638" t="s">
        <v>38</v>
      </c>
      <c r="C638" t="s">
        <v>39</v>
      </c>
      <c r="D638" t="s">
        <v>17</v>
      </c>
      <c r="E638" t="s">
        <v>18</v>
      </c>
      <c r="F638" t="s">
        <v>28</v>
      </c>
      <c r="G638" s="3">
        <v>52.18</v>
      </c>
      <c r="H638" s="6">
        <v>7</v>
      </c>
      <c r="I638" s="3">
        <v>18.263000000000002</v>
      </c>
      <c r="J638" s="3">
        <v>383.52300000000002</v>
      </c>
      <c r="K638" s="2">
        <v>43711</v>
      </c>
      <c r="L638" s="1">
        <v>0.45416666666666666</v>
      </c>
      <c r="M638" t="s">
        <v>26</v>
      </c>
      <c r="N638" s="3">
        <v>365.26</v>
      </c>
      <c r="O638" s="4">
        <v>4.7619047620000003</v>
      </c>
      <c r="P638" s="5">
        <v>18.263000000000002</v>
      </c>
      <c r="Q638">
        <v>9.3000000000000007</v>
      </c>
      <c r="R638" s="6">
        <f>DAY(SuperMarket_Analysis[[#This Row],[Date]])</f>
        <v>3</v>
      </c>
      <c r="S638" s="6" t="str">
        <f>TEXT(SuperMarket_Analysis[[#This Row],[Date]],"mmmm")</f>
        <v>September</v>
      </c>
      <c r="T638" s="6">
        <f>YEAR(SuperMarket_Analysis[[#This Row],[Date]])</f>
        <v>2019</v>
      </c>
    </row>
    <row r="639" spans="1:20" x14ac:dyDescent="0.3">
      <c r="A639" t="s">
        <v>670</v>
      </c>
      <c r="B639" t="s">
        <v>15</v>
      </c>
      <c r="C639" t="s">
        <v>16</v>
      </c>
      <c r="D639" t="s">
        <v>17</v>
      </c>
      <c r="E639" t="s">
        <v>18</v>
      </c>
      <c r="F639" t="s">
        <v>42</v>
      </c>
      <c r="G639" s="3">
        <v>22.32</v>
      </c>
      <c r="H639" s="6">
        <v>4</v>
      </c>
      <c r="I639" s="3">
        <v>4.4640000000000004</v>
      </c>
      <c r="J639" s="3">
        <v>93.744</v>
      </c>
      <c r="K639" s="2">
        <v>43468</v>
      </c>
      <c r="L639" s="1">
        <v>0.68263888888888891</v>
      </c>
      <c r="M639" t="s">
        <v>29</v>
      </c>
      <c r="N639" s="3">
        <v>89.28</v>
      </c>
      <c r="O639" s="4">
        <v>4.7619047620000003</v>
      </c>
      <c r="P639" s="5">
        <v>4.4640000000000004</v>
      </c>
      <c r="Q639">
        <v>4.4000000000000004</v>
      </c>
      <c r="R639" s="6">
        <f>DAY(SuperMarket_Analysis[[#This Row],[Date]])</f>
        <v>3</v>
      </c>
      <c r="S639" s="6" t="str">
        <f>TEXT(SuperMarket_Analysis[[#This Row],[Date]],"mmmm")</f>
        <v>January</v>
      </c>
      <c r="T639" s="6">
        <f>YEAR(SuperMarket_Analysis[[#This Row],[Date]])</f>
        <v>2019</v>
      </c>
    </row>
    <row r="640" spans="1:20" x14ac:dyDescent="0.3">
      <c r="A640" t="s">
        <v>671</v>
      </c>
      <c r="B640" t="s">
        <v>15</v>
      </c>
      <c r="C640" t="s">
        <v>16</v>
      </c>
      <c r="D640" t="s">
        <v>17</v>
      </c>
      <c r="E640" t="s">
        <v>174</v>
      </c>
      <c r="F640" t="s">
        <v>42</v>
      </c>
      <c r="G640" s="3">
        <v>19.7</v>
      </c>
      <c r="H640" s="6">
        <v>1</v>
      </c>
      <c r="I640" s="3">
        <v>0.98499999999999999</v>
      </c>
      <c r="J640" s="3">
        <v>20.684999999999999</v>
      </c>
      <c r="K640" s="2">
        <v>43679</v>
      </c>
      <c r="L640" s="1">
        <v>0.48541666666666666</v>
      </c>
      <c r="M640" t="s">
        <v>20</v>
      </c>
      <c r="N640" s="3">
        <v>19.7</v>
      </c>
      <c r="O640" s="4">
        <v>4.7619047620000003</v>
      </c>
      <c r="P640" s="5">
        <v>0.98499999999999999</v>
      </c>
      <c r="Q640">
        <v>9.5</v>
      </c>
      <c r="R640" s="6">
        <f>DAY(SuperMarket_Analysis[[#This Row],[Date]])</f>
        <v>2</v>
      </c>
      <c r="S640" s="6" t="str">
        <f>TEXT(SuperMarket_Analysis[[#This Row],[Date]],"mmmm")</f>
        <v>August</v>
      </c>
      <c r="T640" s="6">
        <f>YEAR(SuperMarket_Analysis[[#This Row],[Date]])</f>
        <v>2019</v>
      </c>
    </row>
    <row r="641" spans="1:20" x14ac:dyDescent="0.3">
      <c r="A641" t="s">
        <v>672</v>
      </c>
      <c r="B641" t="s">
        <v>38</v>
      </c>
      <c r="C641" t="s">
        <v>39</v>
      </c>
      <c r="D641" t="s">
        <v>17</v>
      </c>
      <c r="E641" t="s">
        <v>174</v>
      </c>
      <c r="F641" t="s">
        <v>40</v>
      </c>
      <c r="G641" s="3">
        <v>53.72</v>
      </c>
      <c r="H641" s="6">
        <v>1</v>
      </c>
      <c r="I641" s="3">
        <v>2.6859999999999999</v>
      </c>
      <c r="J641" s="3">
        <v>56.405999999999999</v>
      </c>
      <c r="K641" s="2">
        <v>43468</v>
      </c>
      <c r="L641" s="1">
        <v>0.8354166666666667</v>
      </c>
      <c r="M641" t="s">
        <v>20</v>
      </c>
      <c r="N641" s="3">
        <v>53.72</v>
      </c>
      <c r="O641" s="4">
        <v>4.7619047620000003</v>
      </c>
      <c r="P641" s="5">
        <v>2.6859999999999999</v>
      </c>
      <c r="Q641">
        <v>6.4</v>
      </c>
      <c r="R641" s="6">
        <f>DAY(SuperMarket_Analysis[[#This Row],[Date]])</f>
        <v>3</v>
      </c>
      <c r="S641" s="6" t="str">
        <f>TEXT(SuperMarket_Analysis[[#This Row],[Date]],"mmmm")</f>
        <v>January</v>
      </c>
      <c r="T641" s="6">
        <f>YEAR(SuperMarket_Analysis[[#This Row],[Date]])</f>
        <v>2019</v>
      </c>
    </row>
    <row r="642" spans="1:20" x14ac:dyDescent="0.3">
      <c r="A642" t="s">
        <v>673</v>
      </c>
      <c r="B642" t="s">
        <v>22</v>
      </c>
      <c r="C642" t="s">
        <v>23</v>
      </c>
      <c r="D642" t="s">
        <v>17</v>
      </c>
      <c r="E642" t="s">
        <v>174</v>
      </c>
      <c r="F642" t="s">
        <v>19</v>
      </c>
      <c r="G642" s="3">
        <v>81.95</v>
      </c>
      <c r="H642" s="6">
        <v>10</v>
      </c>
      <c r="I642" s="3">
        <v>40.975000000000001</v>
      </c>
      <c r="J642" s="3">
        <v>860.47500000000002</v>
      </c>
      <c r="K642" s="2">
        <v>43741</v>
      </c>
      <c r="L642" s="1">
        <v>0.52708333333333335</v>
      </c>
      <c r="M642" t="s">
        <v>29</v>
      </c>
      <c r="N642" s="3">
        <v>819.5</v>
      </c>
      <c r="O642" s="4">
        <v>4.7619047620000003</v>
      </c>
      <c r="P642" s="5">
        <v>40.975000000000001</v>
      </c>
      <c r="Q642">
        <v>6</v>
      </c>
      <c r="R642" s="6">
        <f>DAY(SuperMarket_Analysis[[#This Row],[Date]])</f>
        <v>3</v>
      </c>
      <c r="S642" s="6" t="str">
        <f>TEXT(SuperMarket_Analysis[[#This Row],[Date]],"mmmm")</f>
        <v>October</v>
      </c>
      <c r="T642" s="6">
        <f>YEAR(SuperMarket_Analysis[[#This Row],[Date]])</f>
        <v>2019</v>
      </c>
    </row>
    <row r="643" spans="1:20" x14ac:dyDescent="0.3">
      <c r="A643" t="s">
        <v>674</v>
      </c>
      <c r="B643" t="s">
        <v>38</v>
      </c>
      <c r="C643" t="s">
        <v>39</v>
      </c>
      <c r="D643" t="s">
        <v>17</v>
      </c>
      <c r="E643" t="s">
        <v>174</v>
      </c>
      <c r="F643" t="s">
        <v>25</v>
      </c>
      <c r="G643" s="3">
        <v>91.56</v>
      </c>
      <c r="H643" s="6">
        <v>8</v>
      </c>
      <c r="I643" s="3">
        <v>36.624000000000002</v>
      </c>
      <c r="J643" s="3">
        <v>769.10400000000004</v>
      </c>
      <c r="K643" s="2">
        <v>43800</v>
      </c>
      <c r="L643" s="1">
        <v>0.76527777777777772</v>
      </c>
      <c r="M643" t="s">
        <v>20</v>
      </c>
      <c r="N643" s="3">
        <v>732.48</v>
      </c>
      <c r="O643" s="4">
        <v>4.7619047620000003</v>
      </c>
      <c r="P643" s="5">
        <v>36.624000000000002</v>
      </c>
      <c r="Q643">
        <v>6</v>
      </c>
      <c r="R643" s="6">
        <f>DAY(SuperMarket_Analysis[[#This Row],[Date]])</f>
        <v>1</v>
      </c>
      <c r="S643" s="6" t="str">
        <f>TEXT(SuperMarket_Analysis[[#This Row],[Date]],"mmmm")</f>
        <v>December</v>
      </c>
      <c r="T643" s="6">
        <f>YEAR(SuperMarket_Analysis[[#This Row],[Date]])</f>
        <v>2019</v>
      </c>
    </row>
    <row r="644" spans="1:20" x14ac:dyDescent="0.3">
      <c r="A644" t="s">
        <v>675</v>
      </c>
      <c r="B644" t="s">
        <v>15</v>
      </c>
      <c r="C644" t="s">
        <v>16</v>
      </c>
      <c r="D644" t="s">
        <v>17</v>
      </c>
      <c r="E644" t="s">
        <v>18</v>
      </c>
      <c r="F644" t="s">
        <v>32</v>
      </c>
      <c r="G644" s="3">
        <v>71.63</v>
      </c>
      <c r="H644" s="6">
        <v>2</v>
      </c>
      <c r="I644" s="3">
        <v>7.1630000000000003</v>
      </c>
      <c r="J644" s="3">
        <v>150.423</v>
      </c>
      <c r="K644" s="2">
        <v>43801</v>
      </c>
      <c r="L644" s="1">
        <v>0.60624999999999996</v>
      </c>
      <c r="M644" t="s">
        <v>20</v>
      </c>
      <c r="N644" s="3">
        <v>143.26</v>
      </c>
      <c r="O644" s="4">
        <v>4.7619047620000003</v>
      </c>
      <c r="P644" s="5">
        <v>7.1630000000000003</v>
      </c>
      <c r="Q644">
        <v>8.8000000000000007</v>
      </c>
      <c r="R644" s="6">
        <f>DAY(SuperMarket_Analysis[[#This Row],[Date]])</f>
        <v>2</v>
      </c>
      <c r="S644" s="6" t="str">
        <f>TEXT(SuperMarket_Analysis[[#This Row],[Date]],"mmmm")</f>
        <v>December</v>
      </c>
      <c r="T644" s="6">
        <f>YEAR(SuperMarket_Analysis[[#This Row],[Date]])</f>
        <v>2019</v>
      </c>
    </row>
    <row r="645" spans="1:20" x14ac:dyDescent="0.3">
      <c r="A645" t="s">
        <v>676</v>
      </c>
      <c r="B645" t="s">
        <v>22</v>
      </c>
      <c r="C645" t="s">
        <v>23</v>
      </c>
      <c r="D645" t="s">
        <v>17</v>
      </c>
      <c r="E645" t="s">
        <v>18</v>
      </c>
      <c r="F645" t="s">
        <v>32</v>
      </c>
      <c r="G645" s="3">
        <v>31.67</v>
      </c>
      <c r="H645" s="6">
        <v>8</v>
      </c>
      <c r="I645" s="3">
        <v>12.667999999999999</v>
      </c>
      <c r="J645" s="3">
        <v>266.02800000000002</v>
      </c>
      <c r="K645" s="2">
        <v>43497</v>
      </c>
      <c r="L645" s="1">
        <v>0.67986111111111114</v>
      </c>
      <c r="M645" t="s">
        <v>29</v>
      </c>
      <c r="N645" s="3">
        <v>253.36</v>
      </c>
      <c r="O645" s="4">
        <v>4.7619047620000003</v>
      </c>
      <c r="P645" s="5">
        <v>12.667999999999999</v>
      </c>
      <c r="Q645">
        <v>5.6</v>
      </c>
      <c r="R645" s="6">
        <f>DAY(SuperMarket_Analysis[[#This Row],[Date]])</f>
        <v>1</v>
      </c>
      <c r="S645" s="6" t="str">
        <f>TEXT(SuperMarket_Analysis[[#This Row],[Date]],"mmmm")</f>
        <v>February</v>
      </c>
      <c r="T645" s="6">
        <f>YEAR(SuperMarket_Analysis[[#This Row],[Date]])</f>
        <v>2019</v>
      </c>
    </row>
    <row r="646" spans="1:20" x14ac:dyDescent="0.3">
      <c r="A646" t="s">
        <v>677</v>
      </c>
      <c r="B646" t="s">
        <v>22</v>
      </c>
      <c r="C646" t="s">
        <v>23</v>
      </c>
      <c r="D646" t="s">
        <v>17</v>
      </c>
      <c r="E646" t="s">
        <v>18</v>
      </c>
      <c r="F646" t="s">
        <v>40</v>
      </c>
      <c r="G646" s="3">
        <v>38.42</v>
      </c>
      <c r="H646" s="6">
        <v>1</v>
      </c>
      <c r="I646" s="3">
        <v>1.921</v>
      </c>
      <c r="J646" s="3">
        <v>40.341000000000001</v>
      </c>
      <c r="K646" s="2">
        <v>43498</v>
      </c>
      <c r="L646" s="1">
        <v>0.68958333333333333</v>
      </c>
      <c r="M646" t="s">
        <v>26</v>
      </c>
      <c r="N646" s="3">
        <v>38.42</v>
      </c>
      <c r="O646" s="4">
        <v>4.7619047620000003</v>
      </c>
      <c r="P646" s="5">
        <v>1.921</v>
      </c>
      <c r="Q646">
        <v>8.6</v>
      </c>
      <c r="R646" s="6">
        <f>DAY(SuperMarket_Analysis[[#This Row],[Date]])</f>
        <v>2</v>
      </c>
      <c r="S646" s="6" t="str">
        <f>TEXT(SuperMarket_Analysis[[#This Row],[Date]],"mmmm")</f>
        <v>February</v>
      </c>
      <c r="T646" s="6">
        <f>YEAR(SuperMarket_Analysis[[#This Row],[Date]])</f>
        <v>2019</v>
      </c>
    </row>
    <row r="647" spans="1:20" x14ac:dyDescent="0.3">
      <c r="A647" t="s">
        <v>678</v>
      </c>
      <c r="B647" t="s">
        <v>38</v>
      </c>
      <c r="C647" t="s">
        <v>39</v>
      </c>
      <c r="D647" t="s">
        <v>17</v>
      </c>
      <c r="E647" t="s">
        <v>174</v>
      </c>
      <c r="F647" t="s">
        <v>42</v>
      </c>
      <c r="G647" s="3">
        <v>65.23</v>
      </c>
      <c r="H647" s="6">
        <v>10</v>
      </c>
      <c r="I647" s="3">
        <v>32.615000000000002</v>
      </c>
      <c r="J647" s="3">
        <v>684.91499999999996</v>
      </c>
      <c r="K647" s="2">
        <v>43678</v>
      </c>
      <c r="L647" s="1">
        <v>0.79652777777777772</v>
      </c>
      <c r="M647" t="s">
        <v>29</v>
      </c>
      <c r="N647" s="3">
        <v>652.29999999999995</v>
      </c>
      <c r="O647" s="4">
        <v>4.7619047620000003</v>
      </c>
      <c r="P647" s="5">
        <v>32.615000000000002</v>
      </c>
      <c r="Q647">
        <v>5.2</v>
      </c>
      <c r="R647" s="6">
        <f>DAY(SuperMarket_Analysis[[#This Row],[Date]])</f>
        <v>1</v>
      </c>
      <c r="S647" s="6" t="str">
        <f>TEXT(SuperMarket_Analysis[[#This Row],[Date]],"mmmm")</f>
        <v>August</v>
      </c>
      <c r="T647" s="6">
        <f>YEAR(SuperMarket_Analysis[[#This Row],[Date]])</f>
        <v>2019</v>
      </c>
    </row>
    <row r="648" spans="1:20" x14ac:dyDescent="0.3">
      <c r="A648" t="s">
        <v>679</v>
      </c>
      <c r="B648" t="s">
        <v>15</v>
      </c>
      <c r="C648" t="s">
        <v>16</v>
      </c>
      <c r="D648" t="s">
        <v>24</v>
      </c>
      <c r="E648" t="s">
        <v>18</v>
      </c>
      <c r="F648" t="s">
        <v>40</v>
      </c>
      <c r="G648" s="3">
        <v>27.28</v>
      </c>
      <c r="H648" s="6">
        <v>5</v>
      </c>
      <c r="I648" s="3">
        <v>6.82</v>
      </c>
      <c r="J648" s="3">
        <v>143.22</v>
      </c>
      <c r="K648" s="2">
        <v>43526</v>
      </c>
      <c r="L648" s="1">
        <v>0.43819444444444444</v>
      </c>
      <c r="M648" t="s">
        <v>29</v>
      </c>
      <c r="N648" s="3">
        <v>136.4</v>
      </c>
      <c r="O648" s="4">
        <v>4.7619047620000003</v>
      </c>
      <c r="P648" s="5">
        <v>6.82</v>
      </c>
      <c r="Q648">
        <v>8.6</v>
      </c>
      <c r="R648" s="6">
        <f>DAY(SuperMarket_Analysis[[#This Row],[Date]])</f>
        <v>2</v>
      </c>
      <c r="S648" s="6" t="str">
        <f>TEXT(SuperMarket_Analysis[[#This Row],[Date]],"mmmm")</f>
        <v>March</v>
      </c>
      <c r="T648" s="6">
        <f>YEAR(SuperMarket_Analysis[[#This Row],[Date]])</f>
        <v>2019</v>
      </c>
    </row>
    <row r="649" spans="1:20" x14ac:dyDescent="0.3">
      <c r="A649" t="s">
        <v>680</v>
      </c>
      <c r="B649" t="s">
        <v>15</v>
      </c>
      <c r="C649" t="s">
        <v>16</v>
      </c>
      <c r="D649" t="s">
        <v>24</v>
      </c>
      <c r="E649" t="s">
        <v>18</v>
      </c>
      <c r="F649" t="s">
        <v>42</v>
      </c>
      <c r="G649" s="3">
        <v>97.29</v>
      </c>
      <c r="H649" s="6">
        <v>8</v>
      </c>
      <c r="I649" s="3">
        <v>38.915999999999997</v>
      </c>
      <c r="J649" s="3">
        <v>817.23599999999999</v>
      </c>
      <c r="K649" s="2">
        <v>43711</v>
      </c>
      <c r="L649" s="1">
        <v>0.5541666666666667</v>
      </c>
      <c r="M649" t="s">
        <v>29</v>
      </c>
      <c r="N649" s="3">
        <v>778.32</v>
      </c>
      <c r="O649" s="4">
        <v>4.7619047620000003</v>
      </c>
      <c r="P649" s="5">
        <v>38.915999999999997</v>
      </c>
      <c r="Q649">
        <v>6.2</v>
      </c>
      <c r="R649" s="6">
        <f>DAY(SuperMarket_Analysis[[#This Row],[Date]])</f>
        <v>3</v>
      </c>
      <c r="S649" s="6" t="str">
        <f>TEXT(SuperMarket_Analysis[[#This Row],[Date]],"mmmm")</f>
        <v>September</v>
      </c>
      <c r="T649" s="6">
        <f>YEAR(SuperMarket_Analysis[[#This Row],[Date]])</f>
        <v>2019</v>
      </c>
    </row>
    <row r="650" spans="1:20" x14ac:dyDescent="0.3">
      <c r="A650" t="s">
        <v>681</v>
      </c>
      <c r="B650" t="s">
        <v>15</v>
      </c>
      <c r="C650" t="s">
        <v>16</v>
      </c>
      <c r="D650" t="s">
        <v>24</v>
      </c>
      <c r="E650" t="s">
        <v>18</v>
      </c>
      <c r="F650" t="s">
        <v>28</v>
      </c>
      <c r="G650" s="3">
        <v>96.52</v>
      </c>
      <c r="H650" s="6">
        <v>6</v>
      </c>
      <c r="I650" s="3">
        <v>28.956</v>
      </c>
      <c r="J650" s="3">
        <v>608.07600000000002</v>
      </c>
      <c r="K650" s="2">
        <v>43770</v>
      </c>
      <c r="L650" s="1">
        <v>0.49444444444444446</v>
      </c>
      <c r="M650" t="s">
        <v>26</v>
      </c>
      <c r="N650" s="3">
        <v>579.12</v>
      </c>
      <c r="O650" s="4">
        <v>4.7619047620000003</v>
      </c>
      <c r="P650" s="5">
        <v>28.956</v>
      </c>
      <c r="Q650">
        <v>4.5</v>
      </c>
      <c r="R650" s="6">
        <f>DAY(SuperMarket_Analysis[[#This Row],[Date]])</f>
        <v>1</v>
      </c>
      <c r="S650" s="6" t="str">
        <f>TEXT(SuperMarket_Analysis[[#This Row],[Date]],"mmmm")</f>
        <v>November</v>
      </c>
      <c r="T650" s="6">
        <f>YEAR(SuperMarket_Analysis[[#This Row],[Date]])</f>
        <v>2019</v>
      </c>
    </row>
    <row r="651" spans="1:20" x14ac:dyDescent="0.3">
      <c r="A651" t="s">
        <v>682</v>
      </c>
      <c r="B651" t="s">
        <v>38</v>
      </c>
      <c r="C651" t="s">
        <v>39</v>
      </c>
      <c r="D651" t="s">
        <v>17</v>
      </c>
      <c r="E651" t="s">
        <v>18</v>
      </c>
      <c r="F651" t="s">
        <v>40</v>
      </c>
      <c r="G651" s="3">
        <v>77.2</v>
      </c>
      <c r="H651" s="6">
        <v>10</v>
      </c>
      <c r="I651" s="3">
        <v>38.6</v>
      </c>
      <c r="J651" s="3">
        <v>810.6</v>
      </c>
      <c r="K651" s="2">
        <v>43771</v>
      </c>
      <c r="L651" s="1">
        <v>0.44305555555555554</v>
      </c>
      <c r="M651" t="s">
        <v>29</v>
      </c>
      <c r="N651" s="3">
        <v>772</v>
      </c>
      <c r="O651" s="4">
        <v>4.7619047620000003</v>
      </c>
      <c r="P651" s="5">
        <v>38.6</v>
      </c>
      <c r="Q651">
        <v>5.6</v>
      </c>
      <c r="R651" s="6">
        <f>DAY(SuperMarket_Analysis[[#This Row],[Date]])</f>
        <v>2</v>
      </c>
      <c r="S651" s="6" t="str">
        <f>TEXT(SuperMarket_Analysis[[#This Row],[Date]],"mmmm")</f>
        <v>November</v>
      </c>
      <c r="T651" s="6">
        <f>YEAR(SuperMarket_Analysis[[#This Row],[Date]])</f>
        <v>2019</v>
      </c>
    </row>
    <row r="652" spans="1:20" x14ac:dyDescent="0.3">
      <c r="A652" t="s">
        <v>683</v>
      </c>
      <c r="B652" t="s">
        <v>38</v>
      </c>
      <c r="C652" t="s">
        <v>39</v>
      </c>
      <c r="D652" t="s">
        <v>24</v>
      </c>
      <c r="E652" t="s">
        <v>18</v>
      </c>
      <c r="F652" t="s">
        <v>28</v>
      </c>
      <c r="G652" s="3">
        <v>95.46</v>
      </c>
      <c r="H652" s="6">
        <v>8</v>
      </c>
      <c r="I652" s="3">
        <v>38.183999999999997</v>
      </c>
      <c r="J652" s="3">
        <v>801.86400000000003</v>
      </c>
      <c r="K652" s="2">
        <v>43588</v>
      </c>
      <c r="L652" s="1">
        <v>0.81944444444444442</v>
      </c>
      <c r="M652" t="s">
        <v>20</v>
      </c>
      <c r="N652" s="3">
        <v>763.68</v>
      </c>
      <c r="O652" s="4">
        <v>4.7619047620000003</v>
      </c>
      <c r="P652" s="5">
        <v>38.183999999999997</v>
      </c>
      <c r="Q652">
        <v>4.7</v>
      </c>
      <c r="R652" s="6">
        <f>DAY(SuperMarket_Analysis[[#This Row],[Date]])</f>
        <v>3</v>
      </c>
      <c r="S652" s="6" t="str">
        <f>TEXT(SuperMarket_Analysis[[#This Row],[Date]],"mmmm")</f>
        <v>May</v>
      </c>
      <c r="T652" s="6">
        <f>YEAR(SuperMarket_Analysis[[#This Row],[Date]])</f>
        <v>2019</v>
      </c>
    </row>
    <row r="653" spans="1:20" x14ac:dyDescent="0.3">
      <c r="A653" t="s">
        <v>684</v>
      </c>
      <c r="B653" t="s">
        <v>22</v>
      </c>
      <c r="C653" t="s">
        <v>23</v>
      </c>
      <c r="D653" t="s">
        <v>24</v>
      </c>
      <c r="E653" t="s">
        <v>18</v>
      </c>
      <c r="F653" t="s">
        <v>42</v>
      </c>
      <c r="G653" s="3">
        <v>76.06</v>
      </c>
      <c r="H653" s="6">
        <v>3</v>
      </c>
      <c r="I653" s="3">
        <v>11.409000000000001</v>
      </c>
      <c r="J653" s="3">
        <v>239.589</v>
      </c>
      <c r="K653" s="2">
        <v>43586</v>
      </c>
      <c r="L653" s="1">
        <v>0.85416666666666663</v>
      </c>
      <c r="M653" t="s">
        <v>29</v>
      </c>
      <c r="N653" s="3">
        <v>228.18</v>
      </c>
      <c r="O653" s="4">
        <v>4.7619047620000003</v>
      </c>
      <c r="P653" s="5">
        <v>11.409000000000001</v>
      </c>
      <c r="Q653">
        <v>9.8000000000000007</v>
      </c>
      <c r="R653" s="6">
        <f>DAY(SuperMarket_Analysis[[#This Row],[Date]])</f>
        <v>1</v>
      </c>
      <c r="S653" s="6" t="str">
        <f>TEXT(SuperMarket_Analysis[[#This Row],[Date]],"mmmm")</f>
        <v>May</v>
      </c>
      <c r="T653" s="6">
        <f>YEAR(SuperMarket_Analysis[[#This Row],[Date]])</f>
        <v>2019</v>
      </c>
    </row>
    <row r="654" spans="1:20" x14ac:dyDescent="0.3">
      <c r="A654" t="s">
        <v>685</v>
      </c>
      <c r="B654" t="s">
        <v>22</v>
      </c>
      <c r="C654" t="s">
        <v>23</v>
      </c>
      <c r="D654" t="s">
        <v>24</v>
      </c>
      <c r="E654" t="s">
        <v>18</v>
      </c>
      <c r="F654" t="s">
        <v>40</v>
      </c>
      <c r="G654" s="3">
        <v>52.42</v>
      </c>
      <c r="H654" s="6">
        <v>1</v>
      </c>
      <c r="I654" s="3">
        <v>2.621</v>
      </c>
      <c r="J654" s="3">
        <v>55.040999999999997</v>
      </c>
      <c r="K654" s="2">
        <v>43618</v>
      </c>
      <c r="L654" s="1">
        <v>0.43194444444444446</v>
      </c>
      <c r="M654" t="s">
        <v>29</v>
      </c>
      <c r="N654" s="3">
        <v>52.42</v>
      </c>
      <c r="O654" s="4">
        <v>4.7619047620000003</v>
      </c>
      <c r="P654" s="5">
        <v>2.621</v>
      </c>
      <c r="Q654">
        <v>6.3</v>
      </c>
      <c r="R654" s="6">
        <f>DAY(SuperMarket_Analysis[[#This Row],[Date]])</f>
        <v>2</v>
      </c>
      <c r="S654" s="6" t="str">
        <f>TEXT(SuperMarket_Analysis[[#This Row],[Date]],"mmmm")</f>
        <v>June</v>
      </c>
      <c r="T654" s="6">
        <f>YEAR(SuperMarket_Analysis[[#This Row],[Date]])</f>
        <v>2019</v>
      </c>
    </row>
    <row r="655" spans="1:20" x14ac:dyDescent="0.3">
      <c r="A655" t="s">
        <v>686</v>
      </c>
      <c r="B655" t="s">
        <v>22</v>
      </c>
      <c r="C655" t="s">
        <v>23</v>
      </c>
      <c r="D655" t="s">
        <v>17</v>
      </c>
      <c r="E655" t="s">
        <v>174</v>
      </c>
      <c r="F655" t="s">
        <v>19</v>
      </c>
      <c r="G655" s="3">
        <v>65.31</v>
      </c>
      <c r="H655" s="6">
        <v>7</v>
      </c>
      <c r="I655" s="3">
        <v>22.858499999999999</v>
      </c>
      <c r="J655" s="3">
        <v>480.02850000000001</v>
      </c>
      <c r="K655" s="2">
        <v>43588</v>
      </c>
      <c r="L655" s="1">
        <v>0.75138888888888888</v>
      </c>
      <c r="M655" t="s">
        <v>29</v>
      </c>
      <c r="N655" s="3">
        <v>457.17</v>
      </c>
      <c r="O655" s="4">
        <v>4.7619047620000003</v>
      </c>
      <c r="P655" s="5">
        <v>22.858499999999999</v>
      </c>
      <c r="Q655">
        <v>4.2</v>
      </c>
      <c r="R655" s="6">
        <f>DAY(SuperMarket_Analysis[[#This Row],[Date]])</f>
        <v>3</v>
      </c>
      <c r="S655" s="6" t="str">
        <f>TEXT(SuperMarket_Analysis[[#This Row],[Date]],"mmmm")</f>
        <v>May</v>
      </c>
      <c r="T655" s="6">
        <f>YEAR(SuperMarket_Analysis[[#This Row],[Date]])</f>
        <v>2019</v>
      </c>
    </row>
    <row r="656" spans="1:20" x14ac:dyDescent="0.3">
      <c r="A656" t="s">
        <v>687</v>
      </c>
      <c r="B656" t="s">
        <v>38</v>
      </c>
      <c r="C656" t="s">
        <v>39</v>
      </c>
      <c r="D656" t="s">
        <v>24</v>
      </c>
      <c r="E656" t="s">
        <v>174</v>
      </c>
      <c r="F656" t="s">
        <v>32</v>
      </c>
      <c r="G656" s="3">
        <v>93.38</v>
      </c>
      <c r="H656" s="6">
        <v>1</v>
      </c>
      <c r="I656" s="3">
        <v>4.6689999999999996</v>
      </c>
      <c r="J656" s="3">
        <v>98.049000000000007</v>
      </c>
      <c r="K656" s="2">
        <v>43525</v>
      </c>
      <c r="L656" s="1">
        <v>0.54652777777777772</v>
      </c>
      <c r="M656" t="s">
        <v>26</v>
      </c>
      <c r="N656" s="3">
        <v>93.38</v>
      </c>
      <c r="O656" s="4">
        <v>4.7619047620000003</v>
      </c>
      <c r="P656" s="5">
        <v>4.6689999999999996</v>
      </c>
      <c r="Q656">
        <v>9.6</v>
      </c>
      <c r="R656" s="6">
        <f>DAY(SuperMarket_Analysis[[#This Row],[Date]])</f>
        <v>1</v>
      </c>
      <c r="S656" s="6" t="str">
        <f>TEXT(SuperMarket_Analysis[[#This Row],[Date]],"mmmm")</f>
        <v>March</v>
      </c>
      <c r="T656" s="6">
        <f>YEAR(SuperMarket_Analysis[[#This Row],[Date]])</f>
        <v>2019</v>
      </c>
    </row>
    <row r="657" spans="1:20" x14ac:dyDescent="0.3">
      <c r="A657" t="s">
        <v>688</v>
      </c>
      <c r="B657" t="s">
        <v>15</v>
      </c>
      <c r="C657" t="s">
        <v>16</v>
      </c>
      <c r="D657" t="s">
        <v>24</v>
      </c>
      <c r="E657" t="s">
        <v>18</v>
      </c>
      <c r="F657" t="s">
        <v>32</v>
      </c>
      <c r="G657" s="3">
        <v>94.76</v>
      </c>
      <c r="H657" s="6">
        <v>4</v>
      </c>
      <c r="I657" s="3">
        <v>18.952000000000002</v>
      </c>
      <c r="J657" s="3">
        <v>397.99200000000002</v>
      </c>
      <c r="K657" s="2">
        <v>43771</v>
      </c>
      <c r="L657" s="1">
        <v>0.67083333333333328</v>
      </c>
      <c r="M657" t="s">
        <v>20</v>
      </c>
      <c r="N657" s="3">
        <v>379.04</v>
      </c>
      <c r="O657" s="4">
        <v>4.7619047620000003</v>
      </c>
      <c r="P657" s="5">
        <v>18.952000000000002</v>
      </c>
      <c r="Q657">
        <v>7.8</v>
      </c>
      <c r="R657" s="6">
        <f>DAY(SuperMarket_Analysis[[#This Row],[Date]])</f>
        <v>2</v>
      </c>
      <c r="S657" s="6" t="str">
        <f>TEXT(SuperMarket_Analysis[[#This Row],[Date]],"mmmm")</f>
        <v>November</v>
      </c>
      <c r="T657" s="6">
        <f>YEAR(SuperMarket_Analysis[[#This Row],[Date]])</f>
        <v>2019</v>
      </c>
    </row>
    <row r="658" spans="1:20" x14ac:dyDescent="0.3">
      <c r="A658" t="s">
        <v>689</v>
      </c>
      <c r="B658" t="s">
        <v>15</v>
      </c>
      <c r="C658" t="s">
        <v>16</v>
      </c>
      <c r="D658" t="s">
        <v>17</v>
      </c>
      <c r="E658" t="s">
        <v>18</v>
      </c>
      <c r="F658" t="s">
        <v>42</v>
      </c>
      <c r="G658" s="3">
        <v>30.62</v>
      </c>
      <c r="H658" s="6">
        <v>1</v>
      </c>
      <c r="I658" s="3">
        <v>1.5309999999999999</v>
      </c>
      <c r="J658" s="3">
        <v>32.151000000000003</v>
      </c>
      <c r="K658" s="2">
        <v>43587</v>
      </c>
      <c r="L658" s="1">
        <v>0.59305555555555556</v>
      </c>
      <c r="M658" t="s">
        <v>29</v>
      </c>
      <c r="N658" s="3">
        <v>30.62</v>
      </c>
      <c r="O658" s="4">
        <v>4.7619047620000003</v>
      </c>
      <c r="P658" s="5">
        <v>1.5309999999999999</v>
      </c>
      <c r="Q658">
        <v>4.0999999999999996</v>
      </c>
      <c r="R658" s="6">
        <f>DAY(SuperMarket_Analysis[[#This Row],[Date]])</f>
        <v>2</v>
      </c>
      <c r="S658" s="6" t="str">
        <f>TEXT(SuperMarket_Analysis[[#This Row],[Date]],"mmmm")</f>
        <v>May</v>
      </c>
      <c r="T658" s="6">
        <f>YEAR(SuperMarket_Analysis[[#This Row],[Date]])</f>
        <v>2019</v>
      </c>
    </row>
    <row r="659" spans="1:20" x14ac:dyDescent="0.3">
      <c r="A659" t="s">
        <v>690</v>
      </c>
      <c r="B659" t="s">
        <v>22</v>
      </c>
      <c r="C659" t="s">
        <v>23</v>
      </c>
      <c r="D659" t="s">
        <v>24</v>
      </c>
      <c r="E659" t="s">
        <v>18</v>
      </c>
      <c r="F659" t="s">
        <v>28</v>
      </c>
      <c r="G659" s="3">
        <v>44.01</v>
      </c>
      <c r="H659" s="6">
        <v>8</v>
      </c>
      <c r="I659" s="3">
        <v>17.603999999999999</v>
      </c>
      <c r="J659" s="3">
        <v>369.68400000000003</v>
      </c>
      <c r="K659" s="2">
        <v>43527</v>
      </c>
      <c r="L659" s="1">
        <v>0.73333333333333328</v>
      </c>
      <c r="M659" t="s">
        <v>26</v>
      </c>
      <c r="N659" s="3">
        <v>352.08</v>
      </c>
      <c r="O659" s="4">
        <v>4.7619047620000003</v>
      </c>
      <c r="P659" s="5">
        <v>17.603999999999999</v>
      </c>
      <c r="Q659">
        <v>8.8000000000000007</v>
      </c>
      <c r="R659" s="6">
        <f>DAY(SuperMarket_Analysis[[#This Row],[Date]])</f>
        <v>3</v>
      </c>
      <c r="S659" s="6" t="str">
        <f>TEXT(SuperMarket_Analysis[[#This Row],[Date]],"mmmm")</f>
        <v>March</v>
      </c>
      <c r="T659" s="6">
        <f>YEAR(SuperMarket_Analysis[[#This Row],[Date]])</f>
        <v>2019</v>
      </c>
    </row>
    <row r="660" spans="1:20" x14ac:dyDescent="0.3">
      <c r="A660" t="s">
        <v>691</v>
      </c>
      <c r="B660" t="s">
        <v>15</v>
      </c>
      <c r="C660" t="s">
        <v>16</v>
      </c>
      <c r="D660" t="s">
        <v>24</v>
      </c>
      <c r="E660" t="s">
        <v>174</v>
      </c>
      <c r="F660" t="s">
        <v>25</v>
      </c>
      <c r="G660" s="3">
        <v>74.58</v>
      </c>
      <c r="H660" s="6">
        <v>7</v>
      </c>
      <c r="I660" s="3">
        <v>26.103000000000002</v>
      </c>
      <c r="J660" s="3">
        <v>548.16300000000001</v>
      </c>
      <c r="K660" s="2">
        <v>43557</v>
      </c>
      <c r="L660" s="1">
        <v>0.67291666666666672</v>
      </c>
      <c r="M660" t="s">
        <v>29</v>
      </c>
      <c r="N660" s="3">
        <v>522.05999999999995</v>
      </c>
      <c r="O660" s="4">
        <v>4.7619047620000003</v>
      </c>
      <c r="P660" s="5">
        <v>26.103000000000002</v>
      </c>
      <c r="Q660">
        <v>9</v>
      </c>
      <c r="R660" s="6">
        <f>DAY(SuperMarket_Analysis[[#This Row],[Date]])</f>
        <v>2</v>
      </c>
      <c r="S660" s="6" t="str">
        <f>TEXT(SuperMarket_Analysis[[#This Row],[Date]],"mmmm")</f>
        <v>April</v>
      </c>
      <c r="T660" s="6">
        <f>YEAR(SuperMarket_Analysis[[#This Row],[Date]])</f>
        <v>2019</v>
      </c>
    </row>
    <row r="661" spans="1:20" x14ac:dyDescent="0.3">
      <c r="A661" t="s">
        <v>692</v>
      </c>
      <c r="B661" t="s">
        <v>15</v>
      </c>
      <c r="C661" t="s">
        <v>16</v>
      </c>
      <c r="D661" t="s">
        <v>24</v>
      </c>
      <c r="E661" t="s">
        <v>174</v>
      </c>
      <c r="F661" t="s">
        <v>42</v>
      </c>
      <c r="G661" s="3">
        <v>46.41</v>
      </c>
      <c r="H661" s="6">
        <v>1</v>
      </c>
      <c r="I661" s="3">
        <v>2.3205</v>
      </c>
      <c r="J661" s="3">
        <v>48.730499999999999</v>
      </c>
      <c r="K661" s="2">
        <v>43527</v>
      </c>
      <c r="L661" s="1">
        <v>0.83750000000000002</v>
      </c>
      <c r="M661" t="s">
        <v>29</v>
      </c>
      <c r="N661" s="3">
        <v>46.41</v>
      </c>
      <c r="O661" s="4">
        <v>4.7619047620000003</v>
      </c>
      <c r="P661" s="5">
        <v>2.3205</v>
      </c>
      <c r="Q661">
        <v>4</v>
      </c>
      <c r="R661" s="6">
        <f>DAY(SuperMarket_Analysis[[#This Row],[Date]])</f>
        <v>3</v>
      </c>
      <c r="S661" s="6" t="str">
        <f>TEXT(SuperMarket_Analysis[[#This Row],[Date]],"mmmm")</f>
        <v>March</v>
      </c>
      <c r="T661" s="6">
        <f>YEAR(SuperMarket_Analysis[[#This Row],[Date]])</f>
        <v>2019</v>
      </c>
    </row>
    <row r="662" spans="1:20" x14ac:dyDescent="0.3">
      <c r="A662" t="s">
        <v>693</v>
      </c>
      <c r="B662" t="s">
        <v>22</v>
      </c>
      <c r="C662" t="s">
        <v>23</v>
      </c>
      <c r="D662" t="s">
        <v>17</v>
      </c>
      <c r="E662" t="s">
        <v>174</v>
      </c>
      <c r="F662" t="s">
        <v>28</v>
      </c>
      <c r="G662" s="3">
        <v>86.69</v>
      </c>
      <c r="H662" s="6">
        <v>5</v>
      </c>
      <c r="I662" s="3">
        <v>21.672499999999999</v>
      </c>
      <c r="J662" s="3">
        <v>455.1225</v>
      </c>
      <c r="K662" s="2">
        <v>43771</v>
      </c>
      <c r="L662" s="1">
        <v>0.77638888888888891</v>
      </c>
      <c r="M662" t="s">
        <v>20</v>
      </c>
      <c r="N662" s="3">
        <v>433.45</v>
      </c>
      <c r="O662" s="4">
        <v>4.7619047620000003</v>
      </c>
      <c r="P662" s="5">
        <v>21.672499999999999</v>
      </c>
      <c r="Q662">
        <v>9.4</v>
      </c>
      <c r="R662" s="6">
        <f>DAY(SuperMarket_Analysis[[#This Row],[Date]])</f>
        <v>2</v>
      </c>
      <c r="S662" s="6" t="str">
        <f>TEXT(SuperMarket_Analysis[[#This Row],[Date]],"mmmm")</f>
        <v>November</v>
      </c>
      <c r="T662" s="6">
        <f>YEAR(SuperMarket_Analysis[[#This Row],[Date]])</f>
        <v>2019</v>
      </c>
    </row>
    <row r="663" spans="1:20" x14ac:dyDescent="0.3">
      <c r="A663" t="s">
        <v>694</v>
      </c>
      <c r="B663" t="s">
        <v>38</v>
      </c>
      <c r="C663" t="s">
        <v>39</v>
      </c>
      <c r="D663" t="s">
        <v>24</v>
      </c>
      <c r="E663" t="s">
        <v>174</v>
      </c>
      <c r="F663" t="s">
        <v>32</v>
      </c>
      <c r="G663" s="3">
        <v>23.01</v>
      </c>
      <c r="H663" s="6">
        <v>6</v>
      </c>
      <c r="I663" s="3">
        <v>6.9029999999999996</v>
      </c>
      <c r="J663" s="3">
        <v>144.96299999999999</v>
      </c>
      <c r="K663" s="2">
        <v>43800</v>
      </c>
      <c r="L663" s="1">
        <v>0.69791666666666663</v>
      </c>
      <c r="M663" t="s">
        <v>20</v>
      </c>
      <c r="N663" s="3">
        <v>138.06</v>
      </c>
      <c r="O663" s="4">
        <v>4.7619047620000003</v>
      </c>
      <c r="P663" s="5">
        <v>6.9029999999999996</v>
      </c>
      <c r="Q663">
        <v>7.9</v>
      </c>
      <c r="R663" s="6">
        <f>DAY(SuperMarket_Analysis[[#This Row],[Date]])</f>
        <v>1</v>
      </c>
      <c r="S663" s="6" t="str">
        <f>TEXT(SuperMarket_Analysis[[#This Row],[Date]],"mmmm")</f>
        <v>December</v>
      </c>
      <c r="T663" s="6">
        <f>YEAR(SuperMarket_Analysis[[#This Row],[Date]])</f>
        <v>2019</v>
      </c>
    </row>
    <row r="664" spans="1:20" x14ac:dyDescent="0.3">
      <c r="A664" t="s">
        <v>695</v>
      </c>
      <c r="B664" t="s">
        <v>22</v>
      </c>
      <c r="C664" t="s">
        <v>23</v>
      </c>
      <c r="D664" t="s">
        <v>17</v>
      </c>
      <c r="E664" t="s">
        <v>18</v>
      </c>
      <c r="F664" t="s">
        <v>25</v>
      </c>
      <c r="G664" s="3">
        <v>30.2</v>
      </c>
      <c r="H664" s="6">
        <v>8</v>
      </c>
      <c r="I664" s="3">
        <v>12.08</v>
      </c>
      <c r="J664" s="3">
        <v>253.68</v>
      </c>
      <c r="K664" s="2">
        <v>43527</v>
      </c>
      <c r="L664" s="1">
        <v>0.8125</v>
      </c>
      <c r="M664" t="s">
        <v>20</v>
      </c>
      <c r="N664" s="3">
        <v>241.6</v>
      </c>
      <c r="O664" s="4">
        <v>4.7619047620000003</v>
      </c>
      <c r="P664" s="5">
        <v>12.08</v>
      </c>
      <c r="Q664">
        <v>5.0999999999999996</v>
      </c>
      <c r="R664" s="6">
        <f>DAY(SuperMarket_Analysis[[#This Row],[Date]])</f>
        <v>3</v>
      </c>
      <c r="S664" s="6" t="str">
        <f>TEXT(SuperMarket_Analysis[[#This Row],[Date]],"mmmm")</f>
        <v>March</v>
      </c>
      <c r="T664" s="6">
        <f>YEAR(SuperMarket_Analysis[[#This Row],[Date]])</f>
        <v>2019</v>
      </c>
    </row>
    <row r="665" spans="1:20" x14ac:dyDescent="0.3">
      <c r="A665" t="s">
        <v>696</v>
      </c>
      <c r="B665" t="s">
        <v>15</v>
      </c>
      <c r="C665" t="s">
        <v>16</v>
      </c>
      <c r="D665" t="s">
        <v>17</v>
      </c>
      <c r="E665" t="s">
        <v>18</v>
      </c>
      <c r="F665" t="s">
        <v>42</v>
      </c>
      <c r="G665" s="3">
        <v>48.96</v>
      </c>
      <c r="H665" s="6">
        <v>9</v>
      </c>
      <c r="I665" s="3">
        <v>22.032</v>
      </c>
      <c r="J665" s="3">
        <v>462.67200000000003</v>
      </c>
      <c r="K665" s="2">
        <v>43558</v>
      </c>
      <c r="L665" s="1">
        <v>0.47708333333333336</v>
      </c>
      <c r="M665" t="s">
        <v>26</v>
      </c>
      <c r="N665" s="3">
        <v>440.64</v>
      </c>
      <c r="O665" s="4">
        <v>4.7619047620000003</v>
      </c>
      <c r="P665" s="5">
        <v>22.032</v>
      </c>
      <c r="Q665">
        <v>8</v>
      </c>
      <c r="R665" s="6">
        <f>DAY(SuperMarket_Analysis[[#This Row],[Date]])</f>
        <v>3</v>
      </c>
      <c r="S665" s="6" t="str">
        <f>TEXT(SuperMarket_Analysis[[#This Row],[Date]],"mmmm")</f>
        <v>April</v>
      </c>
      <c r="T665" s="6">
        <f>YEAR(SuperMarket_Analysis[[#This Row],[Date]])</f>
        <v>2019</v>
      </c>
    </row>
    <row r="666" spans="1:20" x14ac:dyDescent="0.3">
      <c r="A666" t="s">
        <v>697</v>
      </c>
      <c r="B666" t="s">
        <v>15</v>
      </c>
      <c r="C666" t="s">
        <v>16</v>
      </c>
      <c r="D666" t="s">
        <v>24</v>
      </c>
      <c r="E666" t="s">
        <v>18</v>
      </c>
      <c r="F666" t="s">
        <v>25</v>
      </c>
      <c r="G666" s="3">
        <v>50.23</v>
      </c>
      <c r="H666" s="6">
        <v>4</v>
      </c>
      <c r="I666" s="3">
        <v>10.045999999999999</v>
      </c>
      <c r="J666" s="3">
        <v>210.96600000000001</v>
      </c>
      <c r="K666" s="2">
        <v>43678</v>
      </c>
      <c r="L666" s="1">
        <v>0.71666666666666667</v>
      </c>
      <c r="M666" t="s">
        <v>26</v>
      </c>
      <c r="N666" s="3">
        <v>200.92</v>
      </c>
      <c r="O666" s="4">
        <v>4.7619047620000003</v>
      </c>
      <c r="P666" s="5">
        <v>10.045999999999999</v>
      </c>
      <c r="Q666">
        <v>9</v>
      </c>
      <c r="R666" s="6">
        <f>DAY(SuperMarket_Analysis[[#This Row],[Date]])</f>
        <v>1</v>
      </c>
      <c r="S666" s="6" t="str">
        <f>TEXT(SuperMarket_Analysis[[#This Row],[Date]],"mmmm")</f>
        <v>August</v>
      </c>
      <c r="T666" s="6">
        <f>YEAR(SuperMarket_Analysis[[#This Row],[Date]])</f>
        <v>2019</v>
      </c>
    </row>
    <row r="667" spans="1:20" x14ac:dyDescent="0.3">
      <c r="A667" t="s">
        <v>698</v>
      </c>
      <c r="B667" t="s">
        <v>22</v>
      </c>
      <c r="C667" t="s">
        <v>23</v>
      </c>
      <c r="D667" t="s">
        <v>17</v>
      </c>
      <c r="E667" t="s">
        <v>18</v>
      </c>
      <c r="F667" t="s">
        <v>32</v>
      </c>
      <c r="G667" s="3">
        <v>64.97</v>
      </c>
      <c r="H667" s="6">
        <v>5</v>
      </c>
      <c r="I667" s="3">
        <v>16.2425</v>
      </c>
      <c r="J667" s="3">
        <v>341.09249999999997</v>
      </c>
      <c r="K667" s="2">
        <v>43679</v>
      </c>
      <c r="L667" s="1">
        <v>0.53611111111111109</v>
      </c>
      <c r="M667" t="s">
        <v>29</v>
      </c>
      <c r="N667" s="3">
        <v>324.85000000000002</v>
      </c>
      <c r="O667" s="4">
        <v>4.7619047620000003</v>
      </c>
      <c r="P667" s="5">
        <v>16.2425</v>
      </c>
      <c r="Q667">
        <v>6.5</v>
      </c>
      <c r="R667" s="6">
        <f>DAY(SuperMarket_Analysis[[#This Row],[Date]])</f>
        <v>2</v>
      </c>
      <c r="S667" s="6" t="str">
        <f>TEXT(SuperMarket_Analysis[[#This Row],[Date]],"mmmm")</f>
        <v>August</v>
      </c>
      <c r="T667" s="6">
        <f>YEAR(SuperMarket_Analysis[[#This Row],[Date]])</f>
        <v>2019</v>
      </c>
    </row>
    <row r="668" spans="1:20" x14ac:dyDescent="0.3">
      <c r="A668" t="s">
        <v>699</v>
      </c>
      <c r="B668" t="s">
        <v>38</v>
      </c>
      <c r="C668" t="s">
        <v>39</v>
      </c>
      <c r="D668" t="s">
        <v>17</v>
      </c>
      <c r="E668" t="s">
        <v>174</v>
      </c>
      <c r="F668" t="s">
        <v>40</v>
      </c>
      <c r="G668" s="3">
        <v>47.16</v>
      </c>
      <c r="H668" s="6">
        <v>5</v>
      </c>
      <c r="I668" s="3">
        <v>11.79</v>
      </c>
      <c r="J668" s="3">
        <v>247.59</v>
      </c>
      <c r="K668" s="2">
        <v>43526</v>
      </c>
      <c r="L668" s="1">
        <v>0.60763888888888884</v>
      </c>
      <c r="M668" t="s">
        <v>29</v>
      </c>
      <c r="N668" s="3">
        <v>235.8</v>
      </c>
      <c r="O668" s="4">
        <v>4.7619047620000003</v>
      </c>
      <c r="P668" s="5">
        <v>11.79</v>
      </c>
      <c r="Q668">
        <v>6</v>
      </c>
      <c r="R668" s="6">
        <f>DAY(SuperMarket_Analysis[[#This Row],[Date]])</f>
        <v>2</v>
      </c>
      <c r="S668" s="6" t="str">
        <f>TEXT(SuperMarket_Analysis[[#This Row],[Date]],"mmmm")</f>
        <v>March</v>
      </c>
      <c r="T668" s="6">
        <f>YEAR(SuperMarket_Analysis[[#This Row],[Date]])</f>
        <v>2019</v>
      </c>
    </row>
    <row r="669" spans="1:20" x14ac:dyDescent="0.3">
      <c r="A669" t="s">
        <v>700</v>
      </c>
      <c r="B669" t="s">
        <v>22</v>
      </c>
      <c r="C669" t="s">
        <v>23</v>
      </c>
      <c r="D669" t="s">
        <v>17</v>
      </c>
      <c r="E669" t="s">
        <v>174</v>
      </c>
      <c r="F669" t="s">
        <v>32</v>
      </c>
      <c r="G669" s="3">
        <v>10.17</v>
      </c>
      <c r="H669" s="6">
        <v>1</v>
      </c>
      <c r="I669" s="3">
        <v>0.50849999999999995</v>
      </c>
      <c r="J669" s="3">
        <v>10.6785</v>
      </c>
      <c r="K669" s="2">
        <v>43648</v>
      </c>
      <c r="L669" s="1">
        <v>0.59375</v>
      </c>
      <c r="M669" t="s">
        <v>26</v>
      </c>
      <c r="N669" s="3">
        <v>10.17</v>
      </c>
      <c r="O669" s="4">
        <v>4.7619047620000003</v>
      </c>
      <c r="P669" s="5">
        <v>0.50849999999999995</v>
      </c>
      <c r="Q669">
        <v>5.9</v>
      </c>
      <c r="R669" s="6">
        <f>DAY(SuperMarket_Analysis[[#This Row],[Date]])</f>
        <v>2</v>
      </c>
      <c r="S669" s="6" t="str">
        <f>TEXT(SuperMarket_Analysis[[#This Row],[Date]],"mmmm")</f>
        <v>July</v>
      </c>
      <c r="T669" s="6">
        <f>YEAR(SuperMarket_Analysis[[#This Row],[Date]])</f>
        <v>2019</v>
      </c>
    </row>
    <row r="670" spans="1:20" x14ac:dyDescent="0.3">
      <c r="A670" t="s">
        <v>701</v>
      </c>
      <c r="B670" t="s">
        <v>15</v>
      </c>
      <c r="C670" t="s">
        <v>16</v>
      </c>
      <c r="D670" t="s">
        <v>24</v>
      </c>
      <c r="E670" t="s">
        <v>18</v>
      </c>
      <c r="F670" t="s">
        <v>19</v>
      </c>
      <c r="G670" s="3">
        <v>68.709999999999994</v>
      </c>
      <c r="H670" s="6">
        <v>3</v>
      </c>
      <c r="I670" s="3">
        <v>10.3065</v>
      </c>
      <c r="J670" s="3">
        <v>216.4365</v>
      </c>
      <c r="K670" s="2">
        <v>43558</v>
      </c>
      <c r="L670" s="1">
        <v>0.4201388888888889</v>
      </c>
      <c r="M670" t="s">
        <v>26</v>
      </c>
      <c r="N670" s="3">
        <v>206.13</v>
      </c>
      <c r="O670" s="4">
        <v>4.7619047620000003</v>
      </c>
      <c r="P670" s="5">
        <v>10.3065</v>
      </c>
      <c r="Q670">
        <v>8.6999999999999993</v>
      </c>
      <c r="R670" s="6">
        <f>DAY(SuperMarket_Analysis[[#This Row],[Date]])</f>
        <v>3</v>
      </c>
      <c r="S670" s="6" t="str">
        <f>TEXT(SuperMarket_Analysis[[#This Row],[Date]],"mmmm")</f>
        <v>April</v>
      </c>
      <c r="T670" s="6">
        <f>YEAR(SuperMarket_Analysis[[#This Row],[Date]])</f>
        <v>2019</v>
      </c>
    </row>
    <row r="671" spans="1:20" x14ac:dyDescent="0.3">
      <c r="A671" t="s">
        <v>702</v>
      </c>
      <c r="B671" t="s">
        <v>15</v>
      </c>
      <c r="C671" t="s">
        <v>16</v>
      </c>
      <c r="D671" t="s">
        <v>17</v>
      </c>
      <c r="E671" t="s">
        <v>18</v>
      </c>
      <c r="F671" t="s">
        <v>25</v>
      </c>
      <c r="G671" s="3">
        <v>74.22</v>
      </c>
      <c r="H671" s="6">
        <v>10</v>
      </c>
      <c r="I671" s="3">
        <v>37.11</v>
      </c>
      <c r="J671" s="3">
        <v>779.31</v>
      </c>
      <c r="K671" s="2">
        <v>43466</v>
      </c>
      <c r="L671" s="1">
        <v>0.61250000000000004</v>
      </c>
      <c r="M671" t="s">
        <v>29</v>
      </c>
      <c r="N671" s="3">
        <v>742.2</v>
      </c>
      <c r="O671" s="4">
        <v>4.7619047620000003</v>
      </c>
      <c r="P671" s="5">
        <v>37.11</v>
      </c>
      <c r="Q671">
        <v>4.3</v>
      </c>
      <c r="R671" s="6">
        <f>DAY(SuperMarket_Analysis[[#This Row],[Date]])</f>
        <v>1</v>
      </c>
      <c r="S671" s="6" t="str">
        <f>TEXT(SuperMarket_Analysis[[#This Row],[Date]],"mmmm")</f>
        <v>January</v>
      </c>
      <c r="T671" s="6">
        <f>YEAR(SuperMarket_Analysis[[#This Row],[Date]])</f>
        <v>2019</v>
      </c>
    </row>
    <row r="672" spans="1:20" x14ac:dyDescent="0.3">
      <c r="A672" t="s">
        <v>703</v>
      </c>
      <c r="B672" t="s">
        <v>38</v>
      </c>
      <c r="C672" t="s">
        <v>39</v>
      </c>
      <c r="D672" t="s">
        <v>17</v>
      </c>
      <c r="E672" t="s">
        <v>18</v>
      </c>
      <c r="F672" t="s">
        <v>32</v>
      </c>
      <c r="G672" s="3">
        <v>11.85</v>
      </c>
      <c r="H672" s="6">
        <v>8</v>
      </c>
      <c r="I672" s="3">
        <v>4.74</v>
      </c>
      <c r="J672" s="3">
        <v>99.54</v>
      </c>
      <c r="K672" s="2">
        <v>43709</v>
      </c>
      <c r="L672" s="1">
        <v>0.69027777777777777</v>
      </c>
      <c r="M672" t="s">
        <v>26</v>
      </c>
      <c r="N672" s="3">
        <v>94.8</v>
      </c>
      <c r="O672" s="4">
        <v>4.7619047620000003</v>
      </c>
      <c r="P672" s="5">
        <v>4.74</v>
      </c>
      <c r="Q672">
        <v>4.0999999999999996</v>
      </c>
      <c r="R672" s="6">
        <f>DAY(SuperMarket_Analysis[[#This Row],[Date]])</f>
        <v>1</v>
      </c>
      <c r="S672" s="6" t="str">
        <f>TEXT(SuperMarket_Analysis[[#This Row],[Date]],"mmmm")</f>
        <v>September</v>
      </c>
      <c r="T672" s="6">
        <f>YEAR(SuperMarket_Analysis[[#This Row],[Date]])</f>
        <v>2019</v>
      </c>
    </row>
    <row r="673" spans="1:20" x14ac:dyDescent="0.3">
      <c r="A673" t="s">
        <v>704</v>
      </c>
      <c r="B673" t="s">
        <v>38</v>
      </c>
      <c r="C673" t="s">
        <v>39</v>
      </c>
      <c r="D673" t="s">
        <v>17</v>
      </c>
      <c r="E673" t="s">
        <v>18</v>
      </c>
      <c r="F673" t="s">
        <v>28</v>
      </c>
      <c r="G673" s="3">
        <v>40.729999999999997</v>
      </c>
      <c r="H673" s="6">
        <v>7</v>
      </c>
      <c r="I673" s="3">
        <v>14.2555</v>
      </c>
      <c r="J673" s="3">
        <v>299.3655</v>
      </c>
      <c r="K673" s="2">
        <v>43802</v>
      </c>
      <c r="L673" s="1">
        <v>0.45902777777777776</v>
      </c>
      <c r="M673" t="s">
        <v>20</v>
      </c>
      <c r="N673" s="3">
        <v>285.11</v>
      </c>
      <c r="O673" s="4">
        <v>4.7619047620000003</v>
      </c>
      <c r="P673" s="5">
        <v>14.2555</v>
      </c>
      <c r="Q673">
        <v>5.4</v>
      </c>
      <c r="R673" s="6">
        <f>DAY(SuperMarket_Analysis[[#This Row],[Date]])</f>
        <v>3</v>
      </c>
      <c r="S673" s="6" t="str">
        <f>TEXT(SuperMarket_Analysis[[#This Row],[Date]],"mmmm")</f>
        <v>December</v>
      </c>
      <c r="T673" s="6">
        <f>YEAR(SuperMarket_Analysis[[#This Row],[Date]])</f>
        <v>2019</v>
      </c>
    </row>
    <row r="674" spans="1:20" x14ac:dyDescent="0.3">
      <c r="A674" t="s">
        <v>705</v>
      </c>
      <c r="B674" t="s">
        <v>15</v>
      </c>
      <c r="C674" t="s">
        <v>16</v>
      </c>
      <c r="D674" t="s">
        <v>17</v>
      </c>
      <c r="E674" t="s">
        <v>174</v>
      </c>
      <c r="F674" t="s">
        <v>42</v>
      </c>
      <c r="G674" s="3">
        <v>38.54</v>
      </c>
      <c r="H674" s="6">
        <v>5</v>
      </c>
      <c r="I674" s="3">
        <v>9.6349999999999998</v>
      </c>
      <c r="J674" s="3">
        <v>202.33500000000001</v>
      </c>
      <c r="K674" s="2">
        <v>43709</v>
      </c>
      <c r="L674" s="1">
        <v>0.56527777777777777</v>
      </c>
      <c r="M674" t="s">
        <v>20</v>
      </c>
      <c r="N674" s="3">
        <v>192.7</v>
      </c>
      <c r="O674" s="4">
        <v>4.7619047620000003</v>
      </c>
      <c r="P674" s="5">
        <v>9.6349999999999998</v>
      </c>
      <c r="Q674">
        <v>5.6</v>
      </c>
      <c r="R674" s="6">
        <f>DAY(SuperMarket_Analysis[[#This Row],[Date]])</f>
        <v>1</v>
      </c>
      <c r="S674" s="6" t="str">
        <f>TEXT(SuperMarket_Analysis[[#This Row],[Date]],"mmmm")</f>
        <v>September</v>
      </c>
      <c r="T674" s="6">
        <f>YEAR(SuperMarket_Analysis[[#This Row],[Date]])</f>
        <v>2019</v>
      </c>
    </row>
    <row r="675" spans="1:20" x14ac:dyDescent="0.3">
      <c r="A675" t="s">
        <v>706</v>
      </c>
      <c r="B675" t="s">
        <v>38</v>
      </c>
      <c r="C675" t="s">
        <v>39</v>
      </c>
      <c r="D675" t="s">
        <v>24</v>
      </c>
      <c r="E675" t="s">
        <v>174</v>
      </c>
      <c r="F675" t="s">
        <v>32</v>
      </c>
      <c r="G675" s="3">
        <v>44.63</v>
      </c>
      <c r="H675" s="6">
        <v>6</v>
      </c>
      <c r="I675" s="3">
        <v>13.388999999999999</v>
      </c>
      <c r="J675" s="3">
        <v>281.16899999999998</v>
      </c>
      <c r="K675" s="2">
        <v>43497</v>
      </c>
      <c r="L675" s="1">
        <v>0.83888888888888891</v>
      </c>
      <c r="M675" t="s">
        <v>29</v>
      </c>
      <c r="N675" s="3">
        <v>267.77999999999997</v>
      </c>
      <c r="O675" s="4">
        <v>4.7619047620000003</v>
      </c>
      <c r="P675" s="5">
        <v>13.388999999999999</v>
      </c>
      <c r="Q675">
        <v>5.0999999999999996</v>
      </c>
      <c r="R675" s="6">
        <f>DAY(SuperMarket_Analysis[[#This Row],[Date]])</f>
        <v>1</v>
      </c>
      <c r="S675" s="6" t="str">
        <f>TEXT(SuperMarket_Analysis[[#This Row],[Date]],"mmmm")</f>
        <v>February</v>
      </c>
      <c r="T675" s="6">
        <f>YEAR(SuperMarket_Analysis[[#This Row],[Date]])</f>
        <v>2019</v>
      </c>
    </row>
    <row r="676" spans="1:20" x14ac:dyDescent="0.3">
      <c r="A676" t="s">
        <v>707</v>
      </c>
      <c r="B676" t="s">
        <v>22</v>
      </c>
      <c r="C676" t="s">
        <v>23</v>
      </c>
      <c r="D676" t="s">
        <v>17</v>
      </c>
      <c r="E676" t="s">
        <v>18</v>
      </c>
      <c r="F676" t="s">
        <v>32</v>
      </c>
      <c r="G676" s="3">
        <v>29.22</v>
      </c>
      <c r="H676" s="6">
        <v>6</v>
      </c>
      <c r="I676" s="3">
        <v>8.766</v>
      </c>
      <c r="J676" s="3">
        <v>184.08600000000001</v>
      </c>
      <c r="K676" s="2">
        <v>43466</v>
      </c>
      <c r="L676" s="1">
        <v>0.4861111111111111</v>
      </c>
      <c r="M676" t="s">
        <v>20</v>
      </c>
      <c r="N676" s="3">
        <v>175.32</v>
      </c>
      <c r="O676" s="4">
        <v>4.7619047620000003</v>
      </c>
      <c r="P676" s="5">
        <v>8.766</v>
      </c>
      <c r="Q676">
        <v>5</v>
      </c>
      <c r="R676" s="6">
        <f>DAY(SuperMarket_Analysis[[#This Row],[Date]])</f>
        <v>1</v>
      </c>
      <c r="S676" s="6" t="str">
        <f>TEXT(SuperMarket_Analysis[[#This Row],[Date]],"mmmm")</f>
        <v>January</v>
      </c>
      <c r="T676" s="6">
        <f>YEAR(SuperMarket_Analysis[[#This Row],[Date]])</f>
        <v>2019</v>
      </c>
    </row>
    <row r="677" spans="1:20" x14ac:dyDescent="0.3">
      <c r="A677" t="s">
        <v>708</v>
      </c>
      <c r="B677" t="s">
        <v>15</v>
      </c>
      <c r="C677" t="s">
        <v>16</v>
      </c>
      <c r="D677" t="s">
        <v>17</v>
      </c>
      <c r="E677" t="s">
        <v>18</v>
      </c>
      <c r="F677" t="s">
        <v>32</v>
      </c>
      <c r="G677" s="3">
        <v>39.47</v>
      </c>
      <c r="H677" s="6">
        <v>2</v>
      </c>
      <c r="I677" s="3">
        <v>3.9470000000000001</v>
      </c>
      <c r="J677" s="3">
        <v>82.887</v>
      </c>
      <c r="K677" s="2">
        <v>43499</v>
      </c>
      <c r="L677" s="1">
        <v>0.67777777777777781</v>
      </c>
      <c r="M677" t="s">
        <v>29</v>
      </c>
      <c r="N677" s="3">
        <v>78.94</v>
      </c>
      <c r="O677" s="4">
        <v>4.7619047620000003</v>
      </c>
      <c r="P677" s="5">
        <v>3.9470000000000001</v>
      </c>
      <c r="Q677">
        <v>5</v>
      </c>
      <c r="R677" s="6">
        <f>DAY(SuperMarket_Analysis[[#This Row],[Date]])</f>
        <v>3</v>
      </c>
      <c r="S677" s="6" t="str">
        <f>TEXT(SuperMarket_Analysis[[#This Row],[Date]],"mmmm")</f>
        <v>February</v>
      </c>
      <c r="T677" s="6">
        <f>YEAR(SuperMarket_Analysis[[#This Row],[Date]])</f>
        <v>2019</v>
      </c>
    </row>
    <row r="678" spans="1:20" x14ac:dyDescent="0.3">
      <c r="A678" t="s">
        <v>709</v>
      </c>
      <c r="B678" t="s">
        <v>22</v>
      </c>
      <c r="C678" t="s">
        <v>23</v>
      </c>
      <c r="D678" t="s">
        <v>17</v>
      </c>
      <c r="E678" t="s">
        <v>18</v>
      </c>
      <c r="F678" t="s">
        <v>40</v>
      </c>
      <c r="G678" s="3">
        <v>72.88</v>
      </c>
      <c r="H678" s="6">
        <v>9</v>
      </c>
      <c r="I678" s="3">
        <v>32.795999999999999</v>
      </c>
      <c r="J678" s="3">
        <v>688.71600000000001</v>
      </c>
      <c r="K678" s="2">
        <v>43678</v>
      </c>
      <c r="L678" s="1">
        <v>0.81805555555555554</v>
      </c>
      <c r="M678" t="s">
        <v>26</v>
      </c>
      <c r="N678" s="3">
        <v>655.92</v>
      </c>
      <c r="O678" s="4">
        <v>4.7619047620000003</v>
      </c>
      <c r="P678" s="5">
        <v>32.795999999999999</v>
      </c>
      <c r="Q678">
        <v>4</v>
      </c>
      <c r="R678" s="6">
        <f>DAY(SuperMarket_Analysis[[#This Row],[Date]])</f>
        <v>1</v>
      </c>
      <c r="S678" s="6" t="str">
        <f>TEXT(SuperMarket_Analysis[[#This Row],[Date]],"mmmm")</f>
        <v>August</v>
      </c>
      <c r="T678" s="6">
        <f>YEAR(SuperMarket_Analysis[[#This Row],[Date]])</f>
        <v>2019</v>
      </c>
    </row>
    <row r="679" spans="1:20" x14ac:dyDescent="0.3">
      <c r="A679" t="s">
        <v>710</v>
      </c>
      <c r="B679" t="s">
        <v>38</v>
      </c>
      <c r="C679" t="s">
        <v>39</v>
      </c>
      <c r="D679" t="s">
        <v>24</v>
      </c>
      <c r="E679" t="s">
        <v>174</v>
      </c>
      <c r="F679" t="s">
        <v>40</v>
      </c>
      <c r="G679" s="3">
        <v>21.12</v>
      </c>
      <c r="H679" s="6">
        <v>8</v>
      </c>
      <c r="I679" s="3">
        <v>8.4480000000000004</v>
      </c>
      <c r="J679" s="3">
        <v>177.40799999999999</v>
      </c>
      <c r="K679" s="2">
        <v>43466</v>
      </c>
      <c r="L679" s="1">
        <v>0.81319444444444444</v>
      </c>
      <c r="M679" t="s">
        <v>26</v>
      </c>
      <c r="N679" s="3">
        <v>168.96</v>
      </c>
      <c r="O679" s="4">
        <v>4.7619047620000003</v>
      </c>
      <c r="P679" s="5">
        <v>8.4480000000000004</v>
      </c>
      <c r="Q679">
        <v>6.3</v>
      </c>
      <c r="R679" s="6">
        <f>DAY(SuperMarket_Analysis[[#This Row],[Date]])</f>
        <v>1</v>
      </c>
      <c r="S679" s="6" t="str">
        <f>TEXT(SuperMarket_Analysis[[#This Row],[Date]],"mmmm")</f>
        <v>January</v>
      </c>
      <c r="T679" s="6">
        <f>YEAR(SuperMarket_Analysis[[#This Row],[Date]])</f>
        <v>2019</v>
      </c>
    </row>
    <row r="680" spans="1:20" x14ac:dyDescent="0.3">
      <c r="A680" t="s">
        <v>711</v>
      </c>
      <c r="B680" t="s">
        <v>15</v>
      </c>
      <c r="C680" t="s">
        <v>16</v>
      </c>
      <c r="D680" t="s">
        <v>17</v>
      </c>
      <c r="E680" t="s">
        <v>18</v>
      </c>
      <c r="F680" t="s">
        <v>28</v>
      </c>
      <c r="G680" s="3">
        <v>28.31</v>
      </c>
      <c r="H680" s="6">
        <v>4</v>
      </c>
      <c r="I680" s="3">
        <v>5.6619999999999999</v>
      </c>
      <c r="J680" s="3">
        <v>118.902</v>
      </c>
      <c r="K680" s="2">
        <v>43649</v>
      </c>
      <c r="L680" s="1">
        <v>0.77430555555555558</v>
      </c>
      <c r="M680" t="s">
        <v>26</v>
      </c>
      <c r="N680" s="3">
        <v>113.24</v>
      </c>
      <c r="O680" s="4">
        <v>4.7619047620000003</v>
      </c>
      <c r="P680" s="5">
        <v>5.6619999999999999</v>
      </c>
      <c r="Q680">
        <v>8.1999999999999993</v>
      </c>
      <c r="R680" s="6">
        <f>DAY(SuperMarket_Analysis[[#This Row],[Date]])</f>
        <v>3</v>
      </c>
      <c r="S680" s="6" t="str">
        <f>TEXT(SuperMarket_Analysis[[#This Row],[Date]],"mmmm")</f>
        <v>July</v>
      </c>
      <c r="T680" s="6">
        <f>YEAR(SuperMarket_Analysis[[#This Row],[Date]])</f>
        <v>2019</v>
      </c>
    </row>
    <row r="681" spans="1:20" x14ac:dyDescent="0.3">
      <c r="A681" t="s">
        <v>712</v>
      </c>
      <c r="B681" t="s">
        <v>15</v>
      </c>
      <c r="C681" t="s">
        <v>16</v>
      </c>
      <c r="D681" t="s">
        <v>17</v>
      </c>
      <c r="E681" t="s">
        <v>174</v>
      </c>
      <c r="F681" t="s">
        <v>32</v>
      </c>
      <c r="G681" s="3">
        <v>12.76</v>
      </c>
      <c r="H681" s="6">
        <v>2</v>
      </c>
      <c r="I681" s="3">
        <v>1.276</v>
      </c>
      <c r="J681" s="3">
        <v>26.795999999999999</v>
      </c>
      <c r="K681" s="2">
        <v>43678</v>
      </c>
      <c r="L681" s="1">
        <v>0.75416666666666665</v>
      </c>
      <c r="M681" t="s">
        <v>20</v>
      </c>
      <c r="N681" s="3">
        <v>25.52</v>
      </c>
      <c r="O681" s="4">
        <v>4.7619047620000003</v>
      </c>
      <c r="P681" s="5">
        <v>1.276</v>
      </c>
      <c r="Q681">
        <v>7.8</v>
      </c>
      <c r="R681" s="6">
        <f>DAY(SuperMarket_Analysis[[#This Row],[Date]])</f>
        <v>1</v>
      </c>
      <c r="S681" s="6" t="str">
        <f>TEXT(SuperMarket_Analysis[[#This Row],[Date]],"mmmm")</f>
        <v>August</v>
      </c>
      <c r="T681" s="6">
        <f>YEAR(SuperMarket_Analysis[[#This Row],[Date]])</f>
        <v>2019</v>
      </c>
    </row>
    <row r="682" spans="1:20" x14ac:dyDescent="0.3">
      <c r="A682" t="s">
        <v>713</v>
      </c>
      <c r="B682" t="s">
        <v>38</v>
      </c>
      <c r="C682" t="s">
        <v>39</v>
      </c>
      <c r="D682" t="s">
        <v>24</v>
      </c>
      <c r="E682" t="s">
        <v>18</v>
      </c>
      <c r="F682" t="s">
        <v>28</v>
      </c>
      <c r="G682" s="3">
        <v>51.07</v>
      </c>
      <c r="H682" s="6">
        <v>7</v>
      </c>
      <c r="I682" s="3">
        <v>17.874500000000001</v>
      </c>
      <c r="J682" s="3">
        <v>375.36450000000002</v>
      </c>
      <c r="K682" s="2">
        <v>43800</v>
      </c>
      <c r="L682" s="1">
        <v>0.48749999999999999</v>
      </c>
      <c r="M682" t="s">
        <v>26</v>
      </c>
      <c r="N682" s="3">
        <v>357.49</v>
      </c>
      <c r="O682" s="4">
        <v>4.7619047620000003</v>
      </c>
      <c r="P682" s="5">
        <v>17.874500000000001</v>
      </c>
      <c r="Q682">
        <v>7</v>
      </c>
      <c r="R682" s="6">
        <f>DAY(SuperMarket_Analysis[[#This Row],[Date]])</f>
        <v>1</v>
      </c>
      <c r="S682" s="6" t="str">
        <f>TEXT(SuperMarket_Analysis[[#This Row],[Date]],"mmmm")</f>
        <v>December</v>
      </c>
      <c r="T682" s="6">
        <f>YEAR(SuperMarket_Analysis[[#This Row],[Date]])</f>
        <v>2019</v>
      </c>
    </row>
    <row r="683" spans="1:20" x14ac:dyDescent="0.3">
      <c r="A683" t="s">
        <v>714</v>
      </c>
      <c r="B683" t="s">
        <v>15</v>
      </c>
      <c r="C683" t="s">
        <v>16</v>
      </c>
      <c r="D683" t="s">
        <v>17</v>
      </c>
      <c r="E683" t="s">
        <v>18</v>
      </c>
      <c r="F683" t="s">
        <v>25</v>
      </c>
      <c r="G683" s="3">
        <v>79.59</v>
      </c>
      <c r="H683" s="6">
        <v>3</v>
      </c>
      <c r="I683" s="3">
        <v>11.938499999999999</v>
      </c>
      <c r="J683" s="3">
        <v>250.70849999999999</v>
      </c>
      <c r="K683" s="2">
        <v>43678</v>
      </c>
      <c r="L683" s="1">
        <v>0.60416666666666663</v>
      </c>
      <c r="M683" t="s">
        <v>26</v>
      </c>
      <c r="N683" s="3">
        <v>238.77</v>
      </c>
      <c r="O683" s="4">
        <v>4.7619047620000003</v>
      </c>
      <c r="P683" s="5">
        <v>11.938499999999999</v>
      </c>
      <c r="Q683">
        <v>6.6</v>
      </c>
      <c r="R683" s="6">
        <f>DAY(SuperMarket_Analysis[[#This Row],[Date]])</f>
        <v>1</v>
      </c>
      <c r="S683" s="6" t="str">
        <f>TEXT(SuperMarket_Analysis[[#This Row],[Date]],"mmmm")</f>
        <v>August</v>
      </c>
      <c r="T683" s="6">
        <f>YEAR(SuperMarket_Analysis[[#This Row],[Date]])</f>
        <v>2019</v>
      </c>
    </row>
    <row r="684" spans="1:20" x14ac:dyDescent="0.3">
      <c r="A684" t="s">
        <v>715</v>
      </c>
      <c r="B684" t="s">
        <v>22</v>
      </c>
      <c r="C684" t="s">
        <v>23</v>
      </c>
      <c r="D684" t="s">
        <v>17</v>
      </c>
      <c r="E684" t="s">
        <v>174</v>
      </c>
      <c r="F684" t="s">
        <v>40</v>
      </c>
      <c r="G684" s="3">
        <v>24.31</v>
      </c>
      <c r="H684" s="6">
        <v>3</v>
      </c>
      <c r="I684" s="3">
        <v>3.6465000000000001</v>
      </c>
      <c r="J684" s="3">
        <v>76.576499999999996</v>
      </c>
      <c r="K684" s="2">
        <v>43678</v>
      </c>
      <c r="L684" s="1">
        <v>0.79791666666666672</v>
      </c>
      <c r="M684" t="s">
        <v>29</v>
      </c>
      <c r="N684" s="3">
        <v>72.930000000000007</v>
      </c>
      <c r="O684" s="4">
        <v>4.7619047620000003</v>
      </c>
      <c r="P684" s="5">
        <v>3.6465000000000001</v>
      </c>
      <c r="Q684">
        <v>4.3</v>
      </c>
      <c r="R684" s="6">
        <f>DAY(SuperMarket_Analysis[[#This Row],[Date]])</f>
        <v>1</v>
      </c>
      <c r="S684" s="6" t="str">
        <f>TEXT(SuperMarket_Analysis[[#This Row],[Date]],"mmmm")</f>
        <v>August</v>
      </c>
      <c r="T684" s="6">
        <f>YEAR(SuperMarket_Analysis[[#This Row],[Date]])</f>
        <v>2019</v>
      </c>
    </row>
    <row r="685" spans="1:20" x14ac:dyDescent="0.3">
      <c r="A685" t="s">
        <v>716</v>
      </c>
      <c r="B685" t="s">
        <v>15</v>
      </c>
      <c r="C685" t="s">
        <v>16</v>
      </c>
      <c r="D685" t="s">
        <v>24</v>
      </c>
      <c r="E685" t="s">
        <v>174</v>
      </c>
      <c r="F685" t="s">
        <v>32</v>
      </c>
      <c r="G685" s="3">
        <v>64.59</v>
      </c>
      <c r="H685" s="6">
        <v>4</v>
      </c>
      <c r="I685" s="3">
        <v>12.917999999999999</v>
      </c>
      <c r="J685" s="3">
        <v>271.27800000000002</v>
      </c>
      <c r="K685" s="2">
        <v>43617</v>
      </c>
      <c r="L685" s="1">
        <v>0.56597222222222221</v>
      </c>
      <c r="M685" t="s">
        <v>20</v>
      </c>
      <c r="N685" s="3">
        <v>258.36</v>
      </c>
      <c r="O685" s="4">
        <v>4.7619047620000003</v>
      </c>
      <c r="P685" s="5">
        <v>12.917999999999999</v>
      </c>
      <c r="Q685">
        <v>9.3000000000000007</v>
      </c>
      <c r="R685" s="6">
        <f>DAY(SuperMarket_Analysis[[#This Row],[Date]])</f>
        <v>1</v>
      </c>
      <c r="S685" s="6" t="str">
        <f>TEXT(SuperMarket_Analysis[[#This Row],[Date]],"mmmm")</f>
        <v>June</v>
      </c>
      <c r="T685" s="6">
        <f>YEAR(SuperMarket_Analysis[[#This Row],[Date]])</f>
        <v>2019</v>
      </c>
    </row>
    <row r="686" spans="1:20" x14ac:dyDescent="0.3">
      <c r="A686" t="s">
        <v>717</v>
      </c>
      <c r="B686" t="s">
        <v>22</v>
      </c>
      <c r="C686" t="s">
        <v>23</v>
      </c>
      <c r="D686" t="s">
        <v>17</v>
      </c>
      <c r="E686" t="s">
        <v>174</v>
      </c>
      <c r="F686" t="s">
        <v>42</v>
      </c>
      <c r="G686" s="3">
        <v>52.35</v>
      </c>
      <c r="H686" s="6">
        <v>1</v>
      </c>
      <c r="I686" s="3">
        <v>2.6175000000000002</v>
      </c>
      <c r="J686" s="3">
        <v>54.967500000000001</v>
      </c>
      <c r="K686" s="2">
        <v>43801</v>
      </c>
      <c r="L686" s="1">
        <v>0.74236111111111114</v>
      </c>
      <c r="M686" t="s">
        <v>26</v>
      </c>
      <c r="N686" s="3">
        <v>52.35</v>
      </c>
      <c r="O686" s="4">
        <v>4.7619047620000003</v>
      </c>
      <c r="P686" s="5">
        <v>2.6175000000000002</v>
      </c>
      <c r="Q686">
        <v>4</v>
      </c>
      <c r="R686" s="6">
        <f>DAY(SuperMarket_Analysis[[#This Row],[Date]])</f>
        <v>2</v>
      </c>
      <c r="S686" s="6" t="str">
        <f>TEXT(SuperMarket_Analysis[[#This Row],[Date]],"mmmm")</f>
        <v>December</v>
      </c>
      <c r="T686" s="6">
        <f>YEAR(SuperMarket_Analysis[[#This Row],[Date]])</f>
        <v>2019</v>
      </c>
    </row>
    <row r="687" spans="1:20" x14ac:dyDescent="0.3">
      <c r="A687" t="s">
        <v>718</v>
      </c>
      <c r="B687" t="s">
        <v>38</v>
      </c>
      <c r="C687" t="s">
        <v>39</v>
      </c>
      <c r="D687" t="s">
        <v>17</v>
      </c>
      <c r="E687" t="s">
        <v>18</v>
      </c>
      <c r="F687" t="s">
        <v>40</v>
      </c>
      <c r="G687" s="3">
        <v>33.21</v>
      </c>
      <c r="H687" s="6">
        <v>10</v>
      </c>
      <c r="I687" s="3">
        <v>16.605</v>
      </c>
      <c r="J687" s="3">
        <v>348.70499999999998</v>
      </c>
      <c r="K687" s="2">
        <v>43678</v>
      </c>
      <c r="L687" s="1">
        <v>0.60069444444444442</v>
      </c>
      <c r="M687" t="s">
        <v>20</v>
      </c>
      <c r="N687" s="3">
        <v>332.1</v>
      </c>
      <c r="O687" s="4">
        <v>4.7619047620000003</v>
      </c>
      <c r="P687" s="5">
        <v>16.605</v>
      </c>
      <c r="Q687">
        <v>6</v>
      </c>
      <c r="R687" s="6">
        <f>DAY(SuperMarket_Analysis[[#This Row],[Date]])</f>
        <v>1</v>
      </c>
      <c r="S687" s="6" t="str">
        <f>TEXT(SuperMarket_Analysis[[#This Row],[Date]],"mmmm")</f>
        <v>August</v>
      </c>
      <c r="T687" s="6">
        <f>YEAR(SuperMarket_Analysis[[#This Row],[Date]])</f>
        <v>2019</v>
      </c>
    </row>
    <row r="688" spans="1:20" x14ac:dyDescent="0.3">
      <c r="A688" t="s">
        <v>719</v>
      </c>
      <c r="B688" t="s">
        <v>15</v>
      </c>
      <c r="C688" t="s">
        <v>16</v>
      </c>
      <c r="D688" t="s">
        <v>17</v>
      </c>
      <c r="E688" t="s">
        <v>174</v>
      </c>
      <c r="F688" t="s">
        <v>40</v>
      </c>
      <c r="G688" s="3">
        <v>87.9</v>
      </c>
      <c r="H688" s="6">
        <v>1</v>
      </c>
      <c r="I688" s="3">
        <v>4.3949999999999996</v>
      </c>
      <c r="J688" s="3">
        <v>92.295000000000002</v>
      </c>
      <c r="K688" s="2">
        <v>43587</v>
      </c>
      <c r="L688" s="1">
        <v>0.8208333333333333</v>
      </c>
      <c r="M688" t="s">
        <v>20</v>
      </c>
      <c r="N688" s="3">
        <v>87.9</v>
      </c>
      <c r="O688" s="4">
        <v>4.7619047620000003</v>
      </c>
      <c r="P688" s="5">
        <v>4.3949999999999996</v>
      </c>
      <c r="Q688">
        <v>6.7</v>
      </c>
      <c r="R688" s="6">
        <f>DAY(SuperMarket_Analysis[[#This Row],[Date]])</f>
        <v>2</v>
      </c>
      <c r="S688" s="6" t="str">
        <f>TEXT(SuperMarket_Analysis[[#This Row],[Date]],"mmmm")</f>
        <v>May</v>
      </c>
      <c r="T688" s="6">
        <f>YEAR(SuperMarket_Analysis[[#This Row],[Date]])</f>
        <v>2019</v>
      </c>
    </row>
    <row r="689" spans="1:20" x14ac:dyDescent="0.3">
      <c r="A689" t="s">
        <v>720</v>
      </c>
      <c r="B689" t="s">
        <v>38</v>
      </c>
      <c r="C689" t="s">
        <v>39</v>
      </c>
      <c r="D689" t="s">
        <v>24</v>
      </c>
      <c r="E689" t="s">
        <v>18</v>
      </c>
      <c r="F689" t="s">
        <v>25</v>
      </c>
      <c r="G689" s="3">
        <v>57.91</v>
      </c>
      <c r="H689" s="6">
        <v>8</v>
      </c>
      <c r="I689" s="3">
        <v>23.164000000000001</v>
      </c>
      <c r="J689" s="3">
        <v>486.44400000000002</v>
      </c>
      <c r="K689" s="2">
        <v>43648</v>
      </c>
      <c r="L689" s="1">
        <v>0.62916666666666665</v>
      </c>
      <c r="M689" t="s">
        <v>26</v>
      </c>
      <c r="N689" s="3">
        <v>463.28</v>
      </c>
      <c r="O689" s="4">
        <v>4.7619047620000003</v>
      </c>
      <c r="P689" s="5">
        <v>23.164000000000001</v>
      </c>
      <c r="Q689">
        <v>8.1</v>
      </c>
      <c r="R689" s="6">
        <f>DAY(SuperMarket_Analysis[[#This Row],[Date]])</f>
        <v>2</v>
      </c>
      <c r="S689" s="6" t="str">
        <f>TEXT(SuperMarket_Analysis[[#This Row],[Date]],"mmmm")</f>
        <v>July</v>
      </c>
      <c r="T689" s="6">
        <f>YEAR(SuperMarket_Analysis[[#This Row],[Date]])</f>
        <v>2019</v>
      </c>
    </row>
    <row r="690" spans="1:20" x14ac:dyDescent="0.3">
      <c r="A690" t="s">
        <v>721</v>
      </c>
      <c r="B690" t="s">
        <v>22</v>
      </c>
      <c r="C690" t="s">
        <v>23</v>
      </c>
      <c r="D690" t="s">
        <v>17</v>
      </c>
      <c r="E690" t="s">
        <v>18</v>
      </c>
      <c r="F690" t="s">
        <v>42</v>
      </c>
      <c r="G690" s="3">
        <v>92.49</v>
      </c>
      <c r="H690" s="6">
        <v>5</v>
      </c>
      <c r="I690" s="3">
        <v>23.122499999999999</v>
      </c>
      <c r="J690" s="3">
        <v>485.57249999999999</v>
      </c>
      <c r="K690" s="2">
        <v>43499</v>
      </c>
      <c r="L690" s="1">
        <v>0.69097222222222221</v>
      </c>
      <c r="M690" t="s">
        <v>29</v>
      </c>
      <c r="N690" s="3">
        <v>462.45</v>
      </c>
      <c r="O690" s="4">
        <v>4.7619047620000003</v>
      </c>
      <c r="P690" s="5">
        <v>23.122499999999999</v>
      </c>
      <c r="Q690">
        <v>8.6</v>
      </c>
      <c r="R690" s="6">
        <f>DAY(SuperMarket_Analysis[[#This Row],[Date]])</f>
        <v>3</v>
      </c>
      <c r="S690" s="6" t="str">
        <f>TEXT(SuperMarket_Analysis[[#This Row],[Date]],"mmmm")</f>
        <v>February</v>
      </c>
      <c r="T690" s="6">
        <f>YEAR(SuperMarket_Analysis[[#This Row],[Date]])</f>
        <v>2019</v>
      </c>
    </row>
    <row r="691" spans="1:20" x14ac:dyDescent="0.3">
      <c r="A691" t="s">
        <v>722</v>
      </c>
      <c r="B691" t="s">
        <v>38</v>
      </c>
      <c r="C691" t="s">
        <v>39</v>
      </c>
      <c r="D691" t="s">
        <v>24</v>
      </c>
      <c r="E691" t="s">
        <v>174</v>
      </c>
      <c r="F691" t="s">
        <v>25</v>
      </c>
      <c r="G691" s="3">
        <v>28.38</v>
      </c>
      <c r="H691" s="6">
        <v>5</v>
      </c>
      <c r="I691" s="3">
        <v>7.0949999999999998</v>
      </c>
      <c r="J691" s="3">
        <v>148.995</v>
      </c>
      <c r="K691" s="2">
        <v>43619</v>
      </c>
      <c r="L691" s="1">
        <v>0.87291666666666667</v>
      </c>
      <c r="M691" t="s">
        <v>26</v>
      </c>
      <c r="N691" s="3">
        <v>141.9</v>
      </c>
      <c r="O691" s="4">
        <v>4.7619047620000003</v>
      </c>
      <c r="P691" s="5">
        <v>7.0949999999999998</v>
      </c>
      <c r="Q691">
        <v>9.4</v>
      </c>
      <c r="R691" s="6">
        <f>DAY(SuperMarket_Analysis[[#This Row],[Date]])</f>
        <v>3</v>
      </c>
      <c r="S691" s="6" t="str">
        <f>TEXT(SuperMarket_Analysis[[#This Row],[Date]],"mmmm")</f>
        <v>June</v>
      </c>
      <c r="T691" s="6">
        <f>YEAR(SuperMarket_Analysis[[#This Row],[Date]])</f>
        <v>2019</v>
      </c>
    </row>
    <row r="692" spans="1:20" x14ac:dyDescent="0.3">
      <c r="A692" t="s">
        <v>723</v>
      </c>
      <c r="B692" t="s">
        <v>38</v>
      </c>
      <c r="C692" t="s">
        <v>39</v>
      </c>
      <c r="D692" t="s">
        <v>17</v>
      </c>
      <c r="E692" t="s">
        <v>174</v>
      </c>
      <c r="F692" t="s">
        <v>25</v>
      </c>
      <c r="G692" s="3">
        <v>50.45</v>
      </c>
      <c r="H692" s="6">
        <v>6</v>
      </c>
      <c r="I692" s="3">
        <v>15.135</v>
      </c>
      <c r="J692" s="3">
        <v>317.83499999999998</v>
      </c>
      <c r="K692" s="2">
        <v>43618</v>
      </c>
      <c r="L692" s="1">
        <v>0.63611111111111107</v>
      </c>
      <c r="M692" t="s">
        <v>29</v>
      </c>
      <c r="N692" s="3">
        <v>302.7</v>
      </c>
      <c r="O692" s="4">
        <v>4.7619047620000003</v>
      </c>
      <c r="P692" s="5">
        <v>15.135</v>
      </c>
      <c r="Q692">
        <v>8.9</v>
      </c>
      <c r="R692" s="6">
        <f>DAY(SuperMarket_Analysis[[#This Row],[Date]])</f>
        <v>2</v>
      </c>
      <c r="S692" s="6" t="str">
        <f>TEXT(SuperMarket_Analysis[[#This Row],[Date]],"mmmm")</f>
        <v>June</v>
      </c>
      <c r="T692" s="6">
        <f>YEAR(SuperMarket_Analysis[[#This Row],[Date]])</f>
        <v>2019</v>
      </c>
    </row>
    <row r="693" spans="1:20" x14ac:dyDescent="0.3">
      <c r="A693" t="s">
        <v>724</v>
      </c>
      <c r="B693" t="s">
        <v>22</v>
      </c>
      <c r="C693" t="s">
        <v>23</v>
      </c>
      <c r="D693" t="s">
        <v>17</v>
      </c>
      <c r="E693" t="s">
        <v>18</v>
      </c>
      <c r="F693" t="s">
        <v>40</v>
      </c>
      <c r="G693" s="3">
        <v>47.27</v>
      </c>
      <c r="H693" s="6">
        <v>6</v>
      </c>
      <c r="I693" s="3">
        <v>14.180999999999999</v>
      </c>
      <c r="J693" s="3">
        <v>297.80099999999999</v>
      </c>
      <c r="K693" s="2">
        <v>43587</v>
      </c>
      <c r="L693" s="1">
        <v>0.4284722222222222</v>
      </c>
      <c r="M693" t="s">
        <v>26</v>
      </c>
      <c r="N693" s="3">
        <v>283.62</v>
      </c>
      <c r="O693" s="4">
        <v>4.7619047620000003</v>
      </c>
      <c r="P693" s="5">
        <v>14.180999999999999</v>
      </c>
      <c r="Q693">
        <v>8.8000000000000007</v>
      </c>
      <c r="R693" s="6">
        <f>DAY(SuperMarket_Analysis[[#This Row],[Date]])</f>
        <v>2</v>
      </c>
      <c r="S693" s="6" t="str">
        <f>TEXT(SuperMarket_Analysis[[#This Row],[Date]],"mmmm")</f>
        <v>May</v>
      </c>
      <c r="T693" s="6">
        <f>YEAR(SuperMarket_Analysis[[#This Row],[Date]])</f>
        <v>2019</v>
      </c>
    </row>
    <row r="694" spans="1:20" x14ac:dyDescent="0.3">
      <c r="A694" t="s">
        <v>725</v>
      </c>
      <c r="B694" t="s">
        <v>22</v>
      </c>
      <c r="C694" t="s">
        <v>23</v>
      </c>
      <c r="D694" t="s">
        <v>17</v>
      </c>
      <c r="E694" t="s">
        <v>174</v>
      </c>
      <c r="F694" t="s">
        <v>19</v>
      </c>
      <c r="G694" s="3">
        <v>85.6</v>
      </c>
      <c r="H694" s="6">
        <v>7</v>
      </c>
      <c r="I694" s="3">
        <v>29.96</v>
      </c>
      <c r="J694" s="3">
        <v>629.16</v>
      </c>
      <c r="K694" s="2">
        <v>43499</v>
      </c>
      <c r="L694" s="1">
        <v>0.57638888888888884</v>
      </c>
      <c r="M694" t="s">
        <v>26</v>
      </c>
      <c r="N694" s="3">
        <v>599.20000000000005</v>
      </c>
      <c r="O694" s="4">
        <v>4.7619047620000003</v>
      </c>
      <c r="P694" s="5">
        <v>29.96</v>
      </c>
      <c r="Q694">
        <v>5.3</v>
      </c>
      <c r="R694" s="6">
        <f>DAY(SuperMarket_Analysis[[#This Row],[Date]])</f>
        <v>3</v>
      </c>
      <c r="S694" s="6" t="str">
        <f>TEXT(SuperMarket_Analysis[[#This Row],[Date]],"mmmm")</f>
        <v>February</v>
      </c>
      <c r="T694" s="6">
        <f>YEAR(SuperMarket_Analysis[[#This Row],[Date]])</f>
        <v>2019</v>
      </c>
    </row>
    <row r="695" spans="1:20" x14ac:dyDescent="0.3">
      <c r="A695" t="s">
        <v>726</v>
      </c>
      <c r="B695" t="s">
        <v>15</v>
      </c>
      <c r="C695" t="s">
        <v>16</v>
      </c>
      <c r="D695" t="s">
        <v>17</v>
      </c>
      <c r="E695" t="s">
        <v>174</v>
      </c>
      <c r="F695" t="s">
        <v>40</v>
      </c>
      <c r="G695" s="3">
        <v>35.04</v>
      </c>
      <c r="H695" s="6">
        <v>9</v>
      </c>
      <c r="I695" s="3">
        <v>15.768000000000001</v>
      </c>
      <c r="J695" s="3">
        <v>331.12799999999999</v>
      </c>
      <c r="K695" s="2">
        <v>43710</v>
      </c>
      <c r="L695" s="1">
        <v>0.80347222222222225</v>
      </c>
      <c r="M695" t="s">
        <v>20</v>
      </c>
      <c r="N695" s="3">
        <v>315.36</v>
      </c>
      <c r="O695" s="4">
        <v>4.7619047620000003</v>
      </c>
      <c r="P695" s="5">
        <v>15.768000000000001</v>
      </c>
      <c r="Q695">
        <v>4.5999999999999996</v>
      </c>
      <c r="R695" s="6">
        <f>DAY(SuperMarket_Analysis[[#This Row],[Date]])</f>
        <v>2</v>
      </c>
      <c r="S695" s="6" t="str">
        <f>TEXT(SuperMarket_Analysis[[#This Row],[Date]],"mmmm")</f>
        <v>September</v>
      </c>
      <c r="T695" s="6">
        <f>YEAR(SuperMarket_Analysis[[#This Row],[Date]])</f>
        <v>2019</v>
      </c>
    </row>
    <row r="696" spans="1:20" x14ac:dyDescent="0.3">
      <c r="A696" t="s">
        <v>727</v>
      </c>
      <c r="B696" t="s">
        <v>38</v>
      </c>
      <c r="C696" t="s">
        <v>39</v>
      </c>
      <c r="D696" t="s">
        <v>24</v>
      </c>
      <c r="E696" t="s">
        <v>174</v>
      </c>
      <c r="F696" t="s">
        <v>28</v>
      </c>
      <c r="G696" s="3">
        <v>45.97</v>
      </c>
      <c r="H696" s="6">
        <v>4</v>
      </c>
      <c r="I696" s="3">
        <v>9.1940000000000008</v>
      </c>
      <c r="J696" s="3">
        <v>193.07400000000001</v>
      </c>
      <c r="K696" s="2">
        <v>43710</v>
      </c>
      <c r="L696" s="1">
        <v>0.50138888888888888</v>
      </c>
      <c r="M696" t="s">
        <v>20</v>
      </c>
      <c r="N696" s="3">
        <v>183.88</v>
      </c>
      <c r="O696" s="4">
        <v>4.7619047620000003</v>
      </c>
      <c r="P696" s="5">
        <v>9.1940000000000008</v>
      </c>
      <c r="Q696">
        <v>5.0999999999999996</v>
      </c>
      <c r="R696" s="6">
        <f>DAY(SuperMarket_Analysis[[#This Row],[Date]])</f>
        <v>2</v>
      </c>
      <c r="S696" s="6" t="str">
        <f>TEXT(SuperMarket_Analysis[[#This Row],[Date]],"mmmm")</f>
        <v>September</v>
      </c>
      <c r="T696" s="6">
        <f>YEAR(SuperMarket_Analysis[[#This Row],[Date]])</f>
        <v>2019</v>
      </c>
    </row>
    <row r="697" spans="1:20" x14ac:dyDescent="0.3">
      <c r="A697" t="s">
        <v>728</v>
      </c>
      <c r="B697" t="s">
        <v>22</v>
      </c>
      <c r="C697" t="s">
        <v>23</v>
      </c>
      <c r="D697" t="s">
        <v>24</v>
      </c>
      <c r="E697" t="s">
        <v>174</v>
      </c>
      <c r="F697" t="s">
        <v>19</v>
      </c>
      <c r="G697" s="3">
        <v>84.61</v>
      </c>
      <c r="H697" s="6">
        <v>10</v>
      </c>
      <c r="I697" s="3">
        <v>42.305</v>
      </c>
      <c r="J697" s="3">
        <v>888.40499999999997</v>
      </c>
      <c r="K697" s="2">
        <v>43710</v>
      </c>
      <c r="L697" s="1">
        <v>0.79027777777777775</v>
      </c>
      <c r="M697" t="s">
        <v>29</v>
      </c>
      <c r="N697" s="3">
        <v>846.1</v>
      </c>
      <c r="O697" s="4">
        <v>4.7619047620000003</v>
      </c>
      <c r="P697" s="5">
        <v>42.305</v>
      </c>
      <c r="Q697">
        <v>8.8000000000000007</v>
      </c>
      <c r="R697" s="6">
        <f>DAY(SuperMarket_Analysis[[#This Row],[Date]])</f>
        <v>2</v>
      </c>
      <c r="S697" s="6" t="str">
        <f>TEXT(SuperMarket_Analysis[[#This Row],[Date]],"mmmm")</f>
        <v>September</v>
      </c>
      <c r="T697" s="6">
        <f>YEAR(SuperMarket_Analysis[[#This Row],[Date]])</f>
        <v>2019</v>
      </c>
    </row>
    <row r="698" spans="1:20" x14ac:dyDescent="0.3">
      <c r="A698" t="s">
        <v>729</v>
      </c>
      <c r="B698" t="s">
        <v>15</v>
      </c>
      <c r="C698" t="s">
        <v>16</v>
      </c>
      <c r="D698" t="s">
        <v>24</v>
      </c>
      <c r="E698" t="s">
        <v>18</v>
      </c>
      <c r="F698" t="s">
        <v>28</v>
      </c>
      <c r="G698" s="3">
        <v>93.12</v>
      </c>
      <c r="H698" s="6">
        <v>8</v>
      </c>
      <c r="I698" s="3">
        <v>37.247999999999998</v>
      </c>
      <c r="J698" s="3">
        <v>782.20799999999997</v>
      </c>
      <c r="K698" s="2">
        <v>43648</v>
      </c>
      <c r="L698" s="1">
        <v>0.42291666666666666</v>
      </c>
      <c r="M698" t="s">
        <v>26</v>
      </c>
      <c r="N698" s="3">
        <v>744.96</v>
      </c>
      <c r="O698" s="4">
        <v>4.7619047620000003</v>
      </c>
      <c r="P698" s="5">
        <v>37.247999999999998</v>
      </c>
      <c r="Q698">
        <v>6.8</v>
      </c>
      <c r="R698" s="6">
        <f>DAY(SuperMarket_Analysis[[#This Row],[Date]])</f>
        <v>2</v>
      </c>
      <c r="S698" s="6" t="str">
        <f>TEXT(SuperMarket_Analysis[[#This Row],[Date]],"mmmm")</f>
        <v>July</v>
      </c>
      <c r="T698" s="6">
        <f>YEAR(SuperMarket_Analysis[[#This Row],[Date]])</f>
        <v>2019</v>
      </c>
    </row>
    <row r="699" spans="1:20" x14ac:dyDescent="0.3">
      <c r="A699" t="s">
        <v>730</v>
      </c>
      <c r="B699" t="s">
        <v>22</v>
      </c>
      <c r="C699" t="s">
        <v>23</v>
      </c>
      <c r="D699" t="s">
        <v>24</v>
      </c>
      <c r="E699" t="s">
        <v>18</v>
      </c>
      <c r="F699" t="s">
        <v>25</v>
      </c>
      <c r="G699" s="3">
        <v>35.49</v>
      </c>
      <c r="H699" s="6">
        <v>6</v>
      </c>
      <c r="I699" s="3">
        <v>10.647</v>
      </c>
      <c r="J699" s="3">
        <v>223.58699999999999</v>
      </c>
      <c r="K699" s="2">
        <v>43498</v>
      </c>
      <c r="L699" s="1">
        <v>0.52777777777777779</v>
      </c>
      <c r="M699" t="s">
        <v>26</v>
      </c>
      <c r="N699" s="3">
        <v>212.94</v>
      </c>
      <c r="O699" s="4">
        <v>4.7619047620000003</v>
      </c>
      <c r="P699" s="5">
        <v>10.647</v>
      </c>
      <c r="Q699">
        <v>4.0999999999999996</v>
      </c>
      <c r="R699" s="6">
        <f>DAY(SuperMarket_Analysis[[#This Row],[Date]])</f>
        <v>2</v>
      </c>
      <c r="S699" s="6" t="str">
        <f>TEXT(SuperMarket_Analysis[[#This Row],[Date]],"mmmm")</f>
        <v>February</v>
      </c>
      <c r="T699" s="6">
        <f>YEAR(SuperMarket_Analysis[[#This Row],[Date]])</f>
        <v>2019</v>
      </c>
    </row>
    <row r="700" spans="1:20" x14ac:dyDescent="0.3">
      <c r="A700" t="s">
        <v>731</v>
      </c>
      <c r="B700" t="s">
        <v>15</v>
      </c>
      <c r="C700" t="s">
        <v>16</v>
      </c>
      <c r="D700" t="s">
        <v>24</v>
      </c>
      <c r="E700" t="s">
        <v>18</v>
      </c>
      <c r="F700" t="s">
        <v>42</v>
      </c>
      <c r="G700" s="3">
        <v>94.67</v>
      </c>
      <c r="H700" s="6">
        <v>4</v>
      </c>
      <c r="I700" s="3">
        <v>18.934000000000001</v>
      </c>
      <c r="J700" s="3">
        <v>397.61399999999998</v>
      </c>
      <c r="K700" s="2">
        <v>43772</v>
      </c>
      <c r="L700" s="1">
        <v>0.50277777777777777</v>
      </c>
      <c r="M700" t="s">
        <v>26</v>
      </c>
      <c r="N700" s="3">
        <v>378.68</v>
      </c>
      <c r="O700" s="4">
        <v>4.7619047620000003</v>
      </c>
      <c r="P700" s="5">
        <v>18.934000000000001</v>
      </c>
      <c r="Q700">
        <v>6.8</v>
      </c>
      <c r="R700" s="6">
        <f>DAY(SuperMarket_Analysis[[#This Row],[Date]])</f>
        <v>3</v>
      </c>
      <c r="S700" s="6" t="str">
        <f>TEXT(SuperMarket_Analysis[[#This Row],[Date]],"mmmm")</f>
        <v>November</v>
      </c>
      <c r="T700" s="6">
        <f>YEAR(SuperMarket_Analysis[[#This Row],[Date]])</f>
        <v>2019</v>
      </c>
    </row>
    <row r="701" spans="1:20" x14ac:dyDescent="0.3">
      <c r="A701" t="s">
        <v>732</v>
      </c>
      <c r="B701" t="s">
        <v>38</v>
      </c>
      <c r="C701" t="s">
        <v>39</v>
      </c>
      <c r="D701" t="s">
        <v>17</v>
      </c>
      <c r="E701" t="s">
        <v>18</v>
      </c>
      <c r="F701" t="s">
        <v>25</v>
      </c>
      <c r="G701" s="3">
        <v>26.26</v>
      </c>
      <c r="H701" s="6">
        <v>3</v>
      </c>
      <c r="I701" s="3">
        <v>3.9390000000000001</v>
      </c>
      <c r="J701" s="3">
        <v>82.718999999999994</v>
      </c>
      <c r="K701" s="2">
        <v>43499</v>
      </c>
      <c r="L701" s="1">
        <v>0.52500000000000002</v>
      </c>
      <c r="M701" t="s">
        <v>20</v>
      </c>
      <c r="N701" s="3">
        <v>78.78</v>
      </c>
      <c r="O701" s="4">
        <v>4.7619047620000003</v>
      </c>
      <c r="P701" s="5">
        <v>3.9390000000000001</v>
      </c>
      <c r="Q701">
        <v>6.3</v>
      </c>
      <c r="R701" s="6">
        <f>DAY(SuperMarket_Analysis[[#This Row],[Date]])</f>
        <v>3</v>
      </c>
      <c r="S701" s="6" t="str">
        <f>TEXT(SuperMarket_Analysis[[#This Row],[Date]],"mmmm")</f>
        <v>February</v>
      </c>
      <c r="T701" s="6">
        <f>YEAR(SuperMarket_Analysis[[#This Row],[Date]])</f>
        <v>2019</v>
      </c>
    </row>
    <row r="702" spans="1:20" x14ac:dyDescent="0.3">
      <c r="A702" t="s">
        <v>733</v>
      </c>
      <c r="B702" t="s">
        <v>22</v>
      </c>
      <c r="C702" t="s">
        <v>23</v>
      </c>
      <c r="D702" t="s">
        <v>17</v>
      </c>
      <c r="E702" t="s">
        <v>18</v>
      </c>
      <c r="F702" t="s">
        <v>28</v>
      </c>
      <c r="G702" s="3">
        <v>35.79</v>
      </c>
      <c r="H702" s="6">
        <v>9</v>
      </c>
      <c r="I702" s="3">
        <v>16.105499999999999</v>
      </c>
      <c r="J702" s="3">
        <v>338.21550000000002</v>
      </c>
      <c r="K702" s="2">
        <v>43741</v>
      </c>
      <c r="L702" s="1">
        <v>0.62916666666666665</v>
      </c>
      <c r="M702" t="s">
        <v>29</v>
      </c>
      <c r="N702" s="3">
        <v>322.11</v>
      </c>
      <c r="O702" s="4">
        <v>4.7619047620000003</v>
      </c>
      <c r="P702" s="5">
        <v>16.105499999999999</v>
      </c>
      <c r="Q702">
        <v>5.0999999999999996</v>
      </c>
      <c r="R702" s="6">
        <f>DAY(SuperMarket_Analysis[[#This Row],[Date]])</f>
        <v>3</v>
      </c>
      <c r="S702" s="6" t="str">
        <f>TEXT(SuperMarket_Analysis[[#This Row],[Date]],"mmmm")</f>
        <v>October</v>
      </c>
      <c r="T702" s="6">
        <f>YEAR(SuperMarket_Analysis[[#This Row],[Date]])</f>
        <v>2019</v>
      </c>
    </row>
    <row r="703" spans="1:20" x14ac:dyDescent="0.3">
      <c r="A703" t="s">
        <v>734</v>
      </c>
      <c r="B703" t="s">
        <v>38</v>
      </c>
      <c r="C703" t="s">
        <v>39</v>
      </c>
      <c r="D703" t="s">
        <v>24</v>
      </c>
      <c r="E703" t="s">
        <v>18</v>
      </c>
      <c r="F703" t="s">
        <v>28</v>
      </c>
      <c r="G703" s="3">
        <v>16.37</v>
      </c>
      <c r="H703" s="6">
        <v>6</v>
      </c>
      <c r="I703" s="3">
        <v>4.9109999999999996</v>
      </c>
      <c r="J703" s="3">
        <v>103.131</v>
      </c>
      <c r="K703" s="2">
        <v>43679</v>
      </c>
      <c r="L703" s="1">
        <v>0.45694444444444443</v>
      </c>
      <c r="M703" t="s">
        <v>26</v>
      </c>
      <c r="N703" s="3">
        <v>98.22</v>
      </c>
      <c r="O703" s="4">
        <v>4.7619047620000003</v>
      </c>
      <c r="P703" s="5">
        <v>4.9109999999999996</v>
      </c>
      <c r="Q703">
        <v>7</v>
      </c>
      <c r="R703" s="6">
        <f>DAY(SuperMarket_Analysis[[#This Row],[Date]])</f>
        <v>2</v>
      </c>
      <c r="S703" s="6" t="str">
        <f>TEXT(SuperMarket_Analysis[[#This Row],[Date]],"mmmm")</f>
        <v>August</v>
      </c>
      <c r="T703" s="6">
        <f>YEAR(SuperMarket_Analysis[[#This Row],[Date]])</f>
        <v>2019</v>
      </c>
    </row>
    <row r="704" spans="1:20" x14ac:dyDescent="0.3">
      <c r="A704" t="s">
        <v>735</v>
      </c>
      <c r="B704" t="s">
        <v>22</v>
      </c>
      <c r="C704" t="s">
        <v>23</v>
      </c>
      <c r="D704" t="s">
        <v>24</v>
      </c>
      <c r="E704" t="s">
        <v>18</v>
      </c>
      <c r="F704" t="s">
        <v>32</v>
      </c>
      <c r="G704" s="3">
        <v>83.14</v>
      </c>
      <c r="H704" s="6">
        <v>7</v>
      </c>
      <c r="I704" s="3">
        <v>29.099</v>
      </c>
      <c r="J704" s="3">
        <v>611.07899999999995</v>
      </c>
      <c r="K704" s="2">
        <v>43739</v>
      </c>
      <c r="L704" s="1">
        <v>0.43819444444444444</v>
      </c>
      <c r="M704" t="s">
        <v>29</v>
      </c>
      <c r="N704" s="3">
        <v>581.98</v>
      </c>
      <c r="O704" s="4">
        <v>4.7619047620000003</v>
      </c>
      <c r="P704" s="5">
        <v>29.099</v>
      </c>
      <c r="Q704">
        <v>6.6</v>
      </c>
      <c r="R704" s="6">
        <f>DAY(SuperMarket_Analysis[[#This Row],[Date]])</f>
        <v>1</v>
      </c>
      <c r="S704" s="6" t="str">
        <f>TEXT(SuperMarket_Analysis[[#This Row],[Date]],"mmmm")</f>
        <v>October</v>
      </c>
      <c r="T704" s="6">
        <f>YEAR(SuperMarket_Analysis[[#This Row],[Date]])</f>
        <v>2019</v>
      </c>
    </row>
    <row r="705" spans="1:20" x14ac:dyDescent="0.3">
      <c r="A705" t="s">
        <v>736</v>
      </c>
      <c r="B705" t="s">
        <v>38</v>
      </c>
      <c r="C705" t="s">
        <v>39</v>
      </c>
      <c r="D705" t="s">
        <v>24</v>
      </c>
      <c r="E705" t="s">
        <v>18</v>
      </c>
      <c r="F705" t="s">
        <v>25</v>
      </c>
      <c r="G705" s="3">
        <v>13.78</v>
      </c>
      <c r="H705" s="6">
        <v>4</v>
      </c>
      <c r="I705" s="3">
        <v>2.7559999999999998</v>
      </c>
      <c r="J705" s="3">
        <v>57.875999999999998</v>
      </c>
      <c r="K705" s="2">
        <v>43739</v>
      </c>
      <c r="L705" s="1">
        <v>0.46527777777777779</v>
      </c>
      <c r="M705" t="s">
        <v>20</v>
      </c>
      <c r="N705" s="3">
        <v>55.12</v>
      </c>
      <c r="O705" s="4">
        <v>4.7619047620000003</v>
      </c>
      <c r="P705" s="5">
        <v>2.7559999999999998</v>
      </c>
      <c r="Q705">
        <v>9</v>
      </c>
      <c r="R705" s="6">
        <f>DAY(SuperMarket_Analysis[[#This Row],[Date]])</f>
        <v>1</v>
      </c>
      <c r="S705" s="6" t="str">
        <f>TEXT(SuperMarket_Analysis[[#This Row],[Date]],"mmmm")</f>
        <v>October</v>
      </c>
      <c r="T705" s="6">
        <f>YEAR(SuperMarket_Analysis[[#This Row],[Date]])</f>
        <v>2019</v>
      </c>
    </row>
    <row r="706" spans="1:20" x14ac:dyDescent="0.3">
      <c r="A706" t="s">
        <v>737</v>
      </c>
      <c r="B706" t="s">
        <v>38</v>
      </c>
      <c r="C706" t="s">
        <v>39</v>
      </c>
      <c r="D706" t="s">
        <v>24</v>
      </c>
      <c r="E706" t="s">
        <v>174</v>
      </c>
      <c r="F706" t="s">
        <v>32</v>
      </c>
      <c r="G706" s="3">
        <v>25.31</v>
      </c>
      <c r="H706" s="6">
        <v>2</v>
      </c>
      <c r="I706" s="3">
        <v>2.5310000000000001</v>
      </c>
      <c r="J706" s="3">
        <v>53.151000000000003</v>
      </c>
      <c r="K706" s="2">
        <v>43499</v>
      </c>
      <c r="L706" s="1">
        <v>0.80972222222222223</v>
      </c>
      <c r="M706" t="s">
        <v>20</v>
      </c>
      <c r="N706" s="3">
        <v>50.62</v>
      </c>
      <c r="O706" s="4">
        <v>4.7619047620000003</v>
      </c>
      <c r="P706" s="5">
        <v>2.5310000000000001</v>
      </c>
      <c r="Q706">
        <v>7.2</v>
      </c>
      <c r="R706" s="6">
        <f>DAY(SuperMarket_Analysis[[#This Row],[Date]])</f>
        <v>3</v>
      </c>
      <c r="S706" s="6" t="str">
        <f>TEXT(SuperMarket_Analysis[[#This Row],[Date]],"mmmm")</f>
        <v>February</v>
      </c>
      <c r="T706" s="6">
        <f>YEAR(SuperMarket_Analysis[[#This Row],[Date]])</f>
        <v>2019</v>
      </c>
    </row>
    <row r="707" spans="1:20" x14ac:dyDescent="0.3">
      <c r="A707" t="s">
        <v>738</v>
      </c>
      <c r="B707" t="s">
        <v>22</v>
      </c>
      <c r="C707" t="s">
        <v>23</v>
      </c>
      <c r="D707" t="s">
        <v>17</v>
      </c>
      <c r="E707" t="s">
        <v>18</v>
      </c>
      <c r="F707" t="s">
        <v>42</v>
      </c>
      <c r="G707" s="3">
        <v>83.35</v>
      </c>
      <c r="H707" s="6">
        <v>2</v>
      </c>
      <c r="I707" s="3">
        <v>8.3350000000000009</v>
      </c>
      <c r="J707" s="3">
        <v>175.035</v>
      </c>
      <c r="K707" s="2">
        <v>43498</v>
      </c>
      <c r="L707" s="1">
        <v>0.58680555555555558</v>
      </c>
      <c r="M707" t="s">
        <v>29</v>
      </c>
      <c r="N707" s="3">
        <v>166.7</v>
      </c>
      <c r="O707" s="4">
        <v>4.7619047620000003</v>
      </c>
      <c r="P707" s="5">
        <v>8.3350000000000009</v>
      </c>
      <c r="Q707">
        <v>9.5</v>
      </c>
      <c r="R707" s="6">
        <f>DAY(SuperMarket_Analysis[[#This Row],[Date]])</f>
        <v>2</v>
      </c>
      <c r="S707" s="6" t="str">
        <f>TEXT(SuperMarket_Analysis[[#This Row],[Date]],"mmmm")</f>
        <v>February</v>
      </c>
      <c r="T707" s="6">
        <f>YEAR(SuperMarket_Analysis[[#This Row],[Date]])</f>
        <v>2019</v>
      </c>
    </row>
    <row r="708" spans="1:20" x14ac:dyDescent="0.3">
      <c r="A708" t="s">
        <v>739</v>
      </c>
      <c r="B708" t="s">
        <v>38</v>
      </c>
      <c r="C708" t="s">
        <v>39</v>
      </c>
      <c r="D708" t="s">
        <v>24</v>
      </c>
      <c r="E708" t="s">
        <v>18</v>
      </c>
      <c r="F708" t="s">
        <v>28</v>
      </c>
      <c r="G708" s="3">
        <v>63.15</v>
      </c>
      <c r="H708" s="6">
        <v>6</v>
      </c>
      <c r="I708" s="3">
        <v>18.945</v>
      </c>
      <c r="J708" s="3">
        <v>397.84500000000003</v>
      </c>
      <c r="K708" s="2">
        <v>43525</v>
      </c>
      <c r="L708" s="1">
        <v>0.85</v>
      </c>
      <c r="M708" t="s">
        <v>20</v>
      </c>
      <c r="N708" s="3">
        <v>378.9</v>
      </c>
      <c r="O708" s="4">
        <v>4.7619047620000003</v>
      </c>
      <c r="P708" s="5">
        <v>18.945</v>
      </c>
      <c r="Q708">
        <v>9.8000000000000007</v>
      </c>
      <c r="R708" s="6">
        <f>DAY(SuperMarket_Analysis[[#This Row],[Date]])</f>
        <v>1</v>
      </c>
      <c r="S708" s="6" t="str">
        <f>TEXT(SuperMarket_Analysis[[#This Row],[Date]],"mmmm")</f>
        <v>March</v>
      </c>
      <c r="T708" s="6">
        <f>YEAR(SuperMarket_Analysis[[#This Row],[Date]])</f>
        <v>2019</v>
      </c>
    </row>
    <row r="709" spans="1:20" x14ac:dyDescent="0.3">
      <c r="A709" t="s">
        <v>740</v>
      </c>
      <c r="B709" t="s">
        <v>22</v>
      </c>
      <c r="C709" t="s">
        <v>23</v>
      </c>
      <c r="D709" t="s">
        <v>24</v>
      </c>
      <c r="E709" t="s">
        <v>18</v>
      </c>
      <c r="F709" t="s">
        <v>19</v>
      </c>
      <c r="G709" s="3">
        <v>78.89</v>
      </c>
      <c r="H709" s="6">
        <v>7</v>
      </c>
      <c r="I709" s="3">
        <v>27.611499999999999</v>
      </c>
      <c r="J709" s="3">
        <v>579.8415</v>
      </c>
      <c r="K709" s="2">
        <v>43586</v>
      </c>
      <c r="L709" s="1">
        <v>0.82499999999999996</v>
      </c>
      <c r="M709" t="s">
        <v>20</v>
      </c>
      <c r="N709" s="3">
        <v>552.23</v>
      </c>
      <c r="O709" s="4">
        <v>4.7619047620000003</v>
      </c>
      <c r="P709" s="5">
        <v>27.611499999999999</v>
      </c>
      <c r="Q709">
        <v>7.5</v>
      </c>
      <c r="R709" s="6">
        <f>DAY(SuperMarket_Analysis[[#This Row],[Date]])</f>
        <v>1</v>
      </c>
      <c r="S709" s="6" t="str">
        <f>TEXT(SuperMarket_Analysis[[#This Row],[Date]],"mmmm")</f>
        <v>May</v>
      </c>
      <c r="T709" s="6">
        <f>YEAR(SuperMarket_Analysis[[#This Row],[Date]])</f>
        <v>2019</v>
      </c>
    </row>
    <row r="710" spans="1:20" x14ac:dyDescent="0.3">
      <c r="A710" t="s">
        <v>741</v>
      </c>
      <c r="B710" t="s">
        <v>15</v>
      </c>
      <c r="C710" t="s">
        <v>16</v>
      </c>
      <c r="D710" t="s">
        <v>24</v>
      </c>
      <c r="E710" t="s">
        <v>174</v>
      </c>
      <c r="F710" t="s">
        <v>40</v>
      </c>
      <c r="G710" s="3">
        <v>66.52</v>
      </c>
      <c r="H710" s="6">
        <v>4</v>
      </c>
      <c r="I710" s="3">
        <v>13.304</v>
      </c>
      <c r="J710" s="3">
        <v>279.38400000000001</v>
      </c>
      <c r="K710" s="2">
        <v>43499</v>
      </c>
      <c r="L710" s="1">
        <v>0.75972222222222219</v>
      </c>
      <c r="M710" t="s">
        <v>20</v>
      </c>
      <c r="N710" s="3">
        <v>266.08</v>
      </c>
      <c r="O710" s="4">
        <v>4.7619047620000003</v>
      </c>
      <c r="P710" s="5">
        <v>13.304</v>
      </c>
      <c r="Q710">
        <v>6.9</v>
      </c>
      <c r="R710" s="6">
        <f>DAY(SuperMarket_Analysis[[#This Row],[Date]])</f>
        <v>3</v>
      </c>
      <c r="S710" s="6" t="str">
        <f>TEXT(SuperMarket_Analysis[[#This Row],[Date]],"mmmm")</f>
        <v>February</v>
      </c>
      <c r="T710" s="6">
        <f>YEAR(SuperMarket_Analysis[[#This Row],[Date]])</f>
        <v>2019</v>
      </c>
    </row>
    <row r="711" spans="1:20" x14ac:dyDescent="0.3">
      <c r="A711" t="s">
        <v>742</v>
      </c>
      <c r="B711" t="s">
        <v>15</v>
      </c>
      <c r="C711" t="s">
        <v>16</v>
      </c>
      <c r="D711" t="s">
        <v>24</v>
      </c>
      <c r="E711" t="s">
        <v>18</v>
      </c>
      <c r="F711" t="s">
        <v>25</v>
      </c>
      <c r="G711" s="3">
        <v>93.88</v>
      </c>
      <c r="H711" s="6">
        <v>7</v>
      </c>
      <c r="I711" s="3">
        <v>32.857999999999997</v>
      </c>
      <c r="J711" s="3">
        <v>690.01800000000003</v>
      </c>
      <c r="K711" s="2">
        <v>43586</v>
      </c>
      <c r="L711" s="1">
        <v>0.49375000000000002</v>
      </c>
      <c r="M711" t="s">
        <v>29</v>
      </c>
      <c r="N711" s="3">
        <v>657.16</v>
      </c>
      <c r="O711" s="4">
        <v>4.7619047620000003</v>
      </c>
      <c r="P711" s="5">
        <v>32.857999999999997</v>
      </c>
      <c r="Q711">
        <v>7.3</v>
      </c>
      <c r="R711" s="6">
        <f>DAY(SuperMarket_Analysis[[#This Row],[Date]])</f>
        <v>1</v>
      </c>
      <c r="S711" s="6" t="str">
        <f>TEXT(SuperMarket_Analysis[[#This Row],[Date]],"mmmm")</f>
        <v>May</v>
      </c>
      <c r="T711" s="6">
        <f>YEAR(SuperMarket_Analysis[[#This Row],[Date]])</f>
        <v>2019</v>
      </c>
    </row>
    <row r="712" spans="1:20" x14ac:dyDescent="0.3">
      <c r="A712" t="s">
        <v>743</v>
      </c>
      <c r="B712" t="s">
        <v>38</v>
      </c>
      <c r="C712" t="s">
        <v>39</v>
      </c>
      <c r="D712" t="s">
        <v>17</v>
      </c>
      <c r="E712" t="s">
        <v>174</v>
      </c>
      <c r="F712" t="s">
        <v>42</v>
      </c>
      <c r="G712" s="3">
        <v>53.78</v>
      </c>
      <c r="H712" s="6">
        <v>1</v>
      </c>
      <c r="I712" s="3">
        <v>2.6890000000000001</v>
      </c>
      <c r="J712" s="3">
        <v>56.469000000000001</v>
      </c>
      <c r="K712" s="2">
        <v>43526</v>
      </c>
      <c r="L712" s="1">
        <v>0.84236111111111112</v>
      </c>
      <c r="M712" t="s">
        <v>20</v>
      </c>
      <c r="N712" s="3">
        <v>53.78</v>
      </c>
      <c r="O712" s="4">
        <v>4.7619047620000003</v>
      </c>
      <c r="P712" s="5">
        <v>2.6890000000000001</v>
      </c>
      <c r="Q712">
        <v>4.7</v>
      </c>
      <c r="R712" s="6">
        <f>DAY(SuperMarket_Analysis[[#This Row],[Date]])</f>
        <v>2</v>
      </c>
      <c r="S712" s="6" t="str">
        <f>TEXT(SuperMarket_Analysis[[#This Row],[Date]],"mmmm")</f>
        <v>March</v>
      </c>
      <c r="T712" s="6">
        <f>YEAR(SuperMarket_Analysis[[#This Row],[Date]])</f>
        <v>2019</v>
      </c>
    </row>
    <row r="713" spans="1:20" x14ac:dyDescent="0.3">
      <c r="A713" t="s">
        <v>744</v>
      </c>
      <c r="B713" t="s">
        <v>22</v>
      </c>
      <c r="C713" t="s">
        <v>23</v>
      </c>
      <c r="D713" t="s">
        <v>17</v>
      </c>
      <c r="E713" t="s">
        <v>174</v>
      </c>
      <c r="F713" t="s">
        <v>28</v>
      </c>
      <c r="G713" s="3">
        <v>35.81</v>
      </c>
      <c r="H713" s="6">
        <v>5</v>
      </c>
      <c r="I713" s="3">
        <v>8.9525000000000006</v>
      </c>
      <c r="J713" s="3">
        <v>188.0025</v>
      </c>
      <c r="K713" s="2">
        <v>43618</v>
      </c>
      <c r="L713" s="1">
        <v>0.78055555555555556</v>
      </c>
      <c r="M713" t="s">
        <v>20</v>
      </c>
      <c r="N713" s="3">
        <v>179.05</v>
      </c>
      <c r="O713" s="4">
        <v>4.7619047620000003</v>
      </c>
      <c r="P713" s="5">
        <v>8.9525000000000006</v>
      </c>
      <c r="Q713">
        <v>7.9</v>
      </c>
      <c r="R713" s="6">
        <f>DAY(SuperMarket_Analysis[[#This Row],[Date]])</f>
        <v>2</v>
      </c>
      <c r="S713" s="6" t="str">
        <f>TEXT(SuperMarket_Analysis[[#This Row],[Date]],"mmmm")</f>
        <v>June</v>
      </c>
      <c r="T713" s="6">
        <f>YEAR(SuperMarket_Analysis[[#This Row],[Date]])</f>
        <v>2019</v>
      </c>
    </row>
    <row r="714" spans="1:20" x14ac:dyDescent="0.3">
      <c r="A714" t="s">
        <v>745</v>
      </c>
      <c r="B714" t="s">
        <v>38</v>
      </c>
      <c r="C714" t="s">
        <v>39</v>
      </c>
      <c r="D714" t="s">
        <v>17</v>
      </c>
      <c r="E714" t="s">
        <v>18</v>
      </c>
      <c r="F714" t="s">
        <v>28</v>
      </c>
      <c r="G714" s="3">
        <v>21.9</v>
      </c>
      <c r="H714" s="6">
        <v>3</v>
      </c>
      <c r="I714" s="3">
        <v>3.2850000000000001</v>
      </c>
      <c r="J714" s="3">
        <v>68.984999999999999</v>
      </c>
      <c r="K714" s="2">
        <v>43709</v>
      </c>
      <c r="L714" s="1">
        <v>0.77986111111111112</v>
      </c>
      <c r="M714" t="s">
        <v>20</v>
      </c>
      <c r="N714" s="3">
        <v>65.7</v>
      </c>
      <c r="O714" s="4">
        <v>4.7619047620000003</v>
      </c>
      <c r="P714" s="5">
        <v>3.2850000000000001</v>
      </c>
      <c r="Q714">
        <v>4.7</v>
      </c>
      <c r="R714" s="6">
        <f>DAY(SuperMarket_Analysis[[#This Row],[Date]])</f>
        <v>1</v>
      </c>
      <c r="S714" s="6" t="str">
        <f>TEXT(SuperMarket_Analysis[[#This Row],[Date]],"mmmm")</f>
        <v>September</v>
      </c>
      <c r="T714" s="6">
        <f>YEAR(SuperMarket_Analysis[[#This Row],[Date]])</f>
        <v>2019</v>
      </c>
    </row>
    <row r="715" spans="1:20" x14ac:dyDescent="0.3">
      <c r="A715" t="s">
        <v>746</v>
      </c>
      <c r="B715" t="s">
        <v>38</v>
      </c>
      <c r="C715" t="s">
        <v>39</v>
      </c>
      <c r="D715" t="s">
        <v>17</v>
      </c>
      <c r="E715" t="s">
        <v>174</v>
      </c>
      <c r="F715" t="s">
        <v>28</v>
      </c>
      <c r="G715" s="3">
        <v>65.91</v>
      </c>
      <c r="H715" s="6">
        <v>6</v>
      </c>
      <c r="I715" s="3">
        <v>19.773</v>
      </c>
      <c r="J715" s="3">
        <v>415.233</v>
      </c>
      <c r="K715" s="2">
        <v>43710</v>
      </c>
      <c r="L715" s="1">
        <v>0.48958333333333331</v>
      </c>
      <c r="M715" t="s">
        <v>26</v>
      </c>
      <c r="N715" s="3">
        <v>395.46</v>
      </c>
      <c r="O715" s="4">
        <v>4.7619047620000003</v>
      </c>
      <c r="P715" s="5">
        <v>19.773</v>
      </c>
      <c r="Q715">
        <v>5.7</v>
      </c>
      <c r="R715" s="6">
        <f>DAY(SuperMarket_Analysis[[#This Row],[Date]])</f>
        <v>2</v>
      </c>
      <c r="S715" s="6" t="str">
        <f>TEXT(SuperMarket_Analysis[[#This Row],[Date]],"mmmm")</f>
        <v>September</v>
      </c>
      <c r="T715" s="6">
        <f>YEAR(SuperMarket_Analysis[[#This Row],[Date]])</f>
        <v>2019</v>
      </c>
    </row>
    <row r="716" spans="1:20" x14ac:dyDescent="0.3">
      <c r="A716" t="s">
        <v>747</v>
      </c>
      <c r="B716" t="s">
        <v>15</v>
      </c>
      <c r="C716" t="s">
        <v>16</v>
      </c>
      <c r="D716" t="s">
        <v>24</v>
      </c>
      <c r="E716" t="s">
        <v>18</v>
      </c>
      <c r="F716" t="s">
        <v>42</v>
      </c>
      <c r="G716" s="3">
        <v>42.57</v>
      </c>
      <c r="H716" s="6">
        <v>7</v>
      </c>
      <c r="I716" s="3">
        <v>14.8995</v>
      </c>
      <c r="J716" s="3">
        <v>312.8895</v>
      </c>
      <c r="K716" s="2">
        <v>43617</v>
      </c>
      <c r="L716" s="1">
        <v>0.49375000000000002</v>
      </c>
      <c r="M716" t="s">
        <v>26</v>
      </c>
      <c r="N716" s="3">
        <v>297.99</v>
      </c>
      <c r="O716" s="4">
        <v>4.7619047620000003</v>
      </c>
      <c r="P716" s="5">
        <v>14.8995</v>
      </c>
      <c r="Q716">
        <v>6.8</v>
      </c>
      <c r="R716" s="6">
        <f>DAY(SuperMarket_Analysis[[#This Row],[Date]])</f>
        <v>1</v>
      </c>
      <c r="S716" s="6" t="str">
        <f>TEXT(SuperMarket_Analysis[[#This Row],[Date]],"mmmm")</f>
        <v>June</v>
      </c>
      <c r="T716" s="6">
        <f>YEAR(SuperMarket_Analysis[[#This Row],[Date]])</f>
        <v>2019</v>
      </c>
    </row>
    <row r="717" spans="1:20" x14ac:dyDescent="0.3">
      <c r="A717" t="s">
        <v>748</v>
      </c>
      <c r="B717" t="s">
        <v>22</v>
      </c>
      <c r="C717" t="s">
        <v>23</v>
      </c>
      <c r="D717" t="s">
        <v>17</v>
      </c>
      <c r="E717" t="s">
        <v>174</v>
      </c>
      <c r="F717" t="s">
        <v>40</v>
      </c>
      <c r="G717" s="3">
        <v>50.49</v>
      </c>
      <c r="H717" s="6">
        <v>9</v>
      </c>
      <c r="I717" s="3">
        <v>22.720500000000001</v>
      </c>
      <c r="J717" s="3">
        <v>477.13049999999998</v>
      </c>
      <c r="K717" s="2">
        <v>43739</v>
      </c>
      <c r="L717" s="1">
        <v>0.71944444444444444</v>
      </c>
      <c r="M717" t="s">
        <v>26</v>
      </c>
      <c r="N717" s="3">
        <v>454.41</v>
      </c>
      <c r="O717" s="4">
        <v>4.7619047620000003</v>
      </c>
      <c r="P717" s="5">
        <v>22.720500000000001</v>
      </c>
      <c r="Q717">
        <v>5.4</v>
      </c>
      <c r="R717" s="6">
        <f>DAY(SuperMarket_Analysis[[#This Row],[Date]])</f>
        <v>1</v>
      </c>
      <c r="S717" s="6" t="str">
        <f>TEXT(SuperMarket_Analysis[[#This Row],[Date]],"mmmm")</f>
        <v>October</v>
      </c>
      <c r="T717" s="6">
        <f>YEAR(SuperMarket_Analysis[[#This Row],[Date]])</f>
        <v>2019</v>
      </c>
    </row>
    <row r="718" spans="1:20" x14ac:dyDescent="0.3">
      <c r="A718" t="s">
        <v>749</v>
      </c>
      <c r="B718" t="s">
        <v>38</v>
      </c>
      <c r="C718" t="s">
        <v>39</v>
      </c>
      <c r="D718" t="s">
        <v>24</v>
      </c>
      <c r="E718" t="s">
        <v>174</v>
      </c>
      <c r="F718" t="s">
        <v>25</v>
      </c>
      <c r="G718" s="3">
        <v>46.02</v>
      </c>
      <c r="H718" s="6">
        <v>6</v>
      </c>
      <c r="I718" s="3">
        <v>13.805999999999999</v>
      </c>
      <c r="J718" s="3">
        <v>289.92599999999999</v>
      </c>
      <c r="K718" s="2">
        <v>43648</v>
      </c>
      <c r="L718" s="1">
        <v>0.66319444444444442</v>
      </c>
      <c r="M718" t="s">
        <v>26</v>
      </c>
      <c r="N718" s="3">
        <v>276.12</v>
      </c>
      <c r="O718" s="4">
        <v>4.7619047620000003</v>
      </c>
      <c r="P718" s="5">
        <v>13.805999999999999</v>
      </c>
      <c r="Q718">
        <v>7.1</v>
      </c>
      <c r="R718" s="6">
        <f>DAY(SuperMarket_Analysis[[#This Row],[Date]])</f>
        <v>2</v>
      </c>
      <c r="S718" s="6" t="str">
        <f>TEXT(SuperMarket_Analysis[[#This Row],[Date]],"mmmm")</f>
        <v>July</v>
      </c>
      <c r="T718" s="6">
        <f>YEAR(SuperMarket_Analysis[[#This Row],[Date]])</f>
        <v>2019</v>
      </c>
    </row>
    <row r="719" spans="1:20" x14ac:dyDescent="0.3">
      <c r="A719" t="s">
        <v>750</v>
      </c>
      <c r="B719" t="s">
        <v>22</v>
      </c>
      <c r="C719" t="s">
        <v>23</v>
      </c>
      <c r="D719" t="s">
        <v>24</v>
      </c>
      <c r="E719" t="s">
        <v>18</v>
      </c>
      <c r="F719" t="s">
        <v>28</v>
      </c>
      <c r="G719" s="3">
        <v>15.8</v>
      </c>
      <c r="H719" s="6">
        <v>10</v>
      </c>
      <c r="I719" s="3">
        <v>7.9</v>
      </c>
      <c r="J719" s="3">
        <v>165.9</v>
      </c>
      <c r="K719" s="2">
        <v>43709</v>
      </c>
      <c r="L719" s="1">
        <v>0.50486111111111109</v>
      </c>
      <c r="M719" t="s">
        <v>26</v>
      </c>
      <c r="N719" s="3">
        <v>158</v>
      </c>
      <c r="O719" s="4">
        <v>4.7619047620000003</v>
      </c>
      <c r="P719" s="5">
        <v>7.9</v>
      </c>
      <c r="Q719">
        <v>7.8</v>
      </c>
      <c r="R719" s="6">
        <f>DAY(SuperMarket_Analysis[[#This Row],[Date]])</f>
        <v>1</v>
      </c>
      <c r="S719" s="6" t="str">
        <f>TEXT(SuperMarket_Analysis[[#This Row],[Date]],"mmmm")</f>
        <v>September</v>
      </c>
      <c r="T719" s="6">
        <f>YEAR(SuperMarket_Analysis[[#This Row],[Date]])</f>
        <v>2019</v>
      </c>
    </row>
    <row r="720" spans="1:20" x14ac:dyDescent="0.3">
      <c r="A720" t="s">
        <v>751</v>
      </c>
      <c r="B720" t="s">
        <v>15</v>
      </c>
      <c r="C720" t="s">
        <v>16</v>
      </c>
      <c r="D720" t="s">
        <v>17</v>
      </c>
      <c r="E720" t="s">
        <v>174</v>
      </c>
      <c r="F720" t="s">
        <v>25</v>
      </c>
      <c r="G720" s="3">
        <v>20.89</v>
      </c>
      <c r="H720" s="6">
        <v>2</v>
      </c>
      <c r="I720" s="3">
        <v>2.089</v>
      </c>
      <c r="J720" s="3">
        <v>43.869</v>
      </c>
      <c r="K720" s="2">
        <v>43587</v>
      </c>
      <c r="L720" s="1">
        <v>0.78125</v>
      </c>
      <c r="M720" t="s">
        <v>26</v>
      </c>
      <c r="N720" s="3">
        <v>41.78</v>
      </c>
      <c r="O720" s="4">
        <v>4.7619047620000003</v>
      </c>
      <c r="P720" s="5">
        <v>2.089</v>
      </c>
      <c r="Q720">
        <v>9.8000000000000007</v>
      </c>
      <c r="R720" s="6">
        <f>DAY(SuperMarket_Analysis[[#This Row],[Date]])</f>
        <v>2</v>
      </c>
      <c r="S720" s="6" t="str">
        <f>TEXT(SuperMarket_Analysis[[#This Row],[Date]],"mmmm")</f>
        <v>May</v>
      </c>
      <c r="T720" s="6">
        <f>YEAR(SuperMarket_Analysis[[#This Row],[Date]])</f>
        <v>2019</v>
      </c>
    </row>
    <row r="721" spans="1:20" x14ac:dyDescent="0.3">
      <c r="A721" t="s">
        <v>752</v>
      </c>
      <c r="B721" t="s">
        <v>38</v>
      </c>
      <c r="C721" t="s">
        <v>39</v>
      </c>
      <c r="D721" t="s">
        <v>24</v>
      </c>
      <c r="E721" t="s">
        <v>18</v>
      </c>
      <c r="F721" t="s">
        <v>25</v>
      </c>
      <c r="G721" s="3">
        <v>38.270000000000003</v>
      </c>
      <c r="H721" s="6">
        <v>2</v>
      </c>
      <c r="I721" s="3">
        <v>3.827</v>
      </c>
      <c r="J721" s="3">
        <v>80.367000000000004</v>
      </c>
      <c r="K721" s="2">
        <v>43499</v>
      </c>
      <c r="L721" s="1">
        <v>0.76249999999999996</v>
      </c>
      <c r="M721" t="s">
        <v>29</v>
      </c>
      <c r="N721" s="3">
        <v>76.540000000000006</v>
      </c>
      <c r="O721" s="4">
        <v>4.7619047620000003</v>
      </c>
      <c r="P721" s="5">
        <v>3.827</v>
      </c>
      <c r="Q721">
        <v>5.8</v>
      </c>
      <c r="R721" s="6">
        <f>DAY(SuperMarket_Analysis[[#This Row],[Date]])</f>
        <v>3</v>
      </c>
      <c r="S721" s="6" t="str">
        <f>TEXT(SuperMarket_Analysis[[#This Row],[Date]],"mmmm")</f>
        <v>February</v>
      </c>
      <c r="T721" s="6">
        <f>YEAR(SuperMarket_Analysis[[#This Row],[Date]])</f>
        <v>2019</v>
      </c>
    </row>
    <row r="722" spans="1:20" x14ac:dyDescent="0.3">
      <c r="A722" t="s">
        <v>753</v>
      </c>
      <c r="B722" t="s">
        <v>15</v>
      </c>
      <c r="C722" t="s">
        <v>16</v>
      </c>
      <c r="D722" t="s">
        <v>24</v>
      </c>
      <c r="E722" t="s">
        <v>18</v>
      </c>
      <c r="F722" t="s">
        <v>28</v>
      </c>
      <c r="G722" s="3">
        <v>33.299999999999997</v>
      </c>
      <c r="H722" s="6">
        <v>9</v>
      </c>
      <c r="I722" s="3">
        <v>14.984999999999999</v>
      </c>
      <c r="J722" s="3">
        <v>314.685</v>
      </c>
      <c r="K722" s="2">
        <v>43558</v>
      </c>
      <c r="L722" s="1">
        <v>0.64375000000000004</v>
      </c>
      <c r="M722" t="s">
        <v>20</v>
      </c>
      <c r="N722" s="3">
        <v>299.7</v>
      </c>
      <c r="O722" s="4">
        <v>4.7619047620000003</v>
      </c>
      <c r="P722" s="5">
        <v>14.984999999999999</v>
      </c>
      <c r="Q722">
        <v>7.2</v>
      </c>
      <c r="R722" s="6">
        <f>DAY(SuperMarket_Analysis[[#This Row],[Date]])</f>
        <v>3</v>
      </c>
      <c r="S722" s="6" t="str">
        <f>TEXT(SuperMarket_Analysis[[#This Row],[Date]],"mmmm")</f>
        <v>April</v>
      </c>
      <c r="T722" s="6">
        <f>YEAR(SuperMarket_Analysis[[#This Row],[Date]])</f>
        <v>2019</v>
      </c>
    </row>
    <row r="723" spans="1:20" x14ac:dyDescent="0.3">
      <c r="A723" t="s">
        <v>754</v>
      </c>
      <c r="B723" t="s">
        <v>38</v>
      </c>
      <c r="C723" t="s">
        <v>39</v>
      </c>
      <c r="D723" t="s">
        <v>17</v>
      </c>
      <c r="E723" t="s">
        <v>18</v>
      </c>
      <c r="F723" t="s">
        <v>25</v>
      </c>
      <c r="G723" s="3">
        <v>34.49</v>
      </c>
      <c r="H723" s="6">
        <v>5</v>
      </c>
      <c r="I723" s="3">
        <v>8.6225000000000005</v>
      </c>
      <c r="J723" s="3">
        <v>181.07249999999999</v>
      </c>
      <c r="K723" s="2">
        <v>43772</v>
      </c>
      <c r="L723" s="1">
        <v>0.82222222222222219</v>
      </c>
      <c r="M723" t="s">
        <v>29</v>
      </c>
      <c r="N723" s="3">
        <v>172.45</v>
      </c>
      <c r="O723" s="4">
        <v>4.7619047620000003</v>
      </c>
      <c r="P723" s="5">
        <v>8.6225000000000005</v>
      </c>
      <c r="Q723">
        <v>9</v>
      </c>
      <c r="R723" s="6">
        <f>DAY(SuperMarket_Analysis[[#This Row],[Date]])</f>
        <v>3</v>
      </c>
      <c r="S723" s="6" t="str">
        <f>TEXT(SuperMarket_Analysis[[#This Row],[Date]],"mmmm")</f>
        <v>November</v>
      </c>
      <c r="T723" s="6">
        <f>YEAR(SuperMarket_Analysis[[#This Row],[Date]])</f>
        <v>2019</v>
      </c>
    </row>
    <row r="724" spans="1:20" x14ac:dyDescent="0.3">
      <c r="A724" t="s">
        <v>755</v>
      </c>
      <c r="B724" t="s">
        <v>38</v>
      </c>
      <c r="C724" t="s">
        <v>39</v>
      </c>
      <c r="D724" t="s">
        <v>17</v>
      </c>
      <c r="E724" t="s">
        <v>18</v>
      </c>
      <c r="F724" t="s">
        <v>40</v>
      </c>
      <c r="G724" s="3">
        <v>84.63</v>
      </c>
      <c r="H724" s="6">
        <v>10</v>
      </c>
      <c r="I724" s="3">
        <v>42.314999999999998</v>
      </c>
      <c r="J724" s="3">
        <v>888.61500000000001</v>
      </c>
      <c r="K724" s="2">
        <v>43466</v>
      </c>
      <c r="L724" s="1">
        <v>0.48333333333333334</v>
      </c>
      <c r="M724" t="s">
        <v>29</v>
      </c>
      <c r="N724" s="3">
        <v>846.3</v>
      </c>
      <c r="O724" s="4">
        <v>4.7619047620000003</v>
      </c>
      <c r="P724" s="5">
        <v>42.314999999999998</v>
      </c>
      <c r="Q724">
        <v>9</v>
      </c>
      <c r="R724" s="6">
        <f>DAY(SuperMarket_Analysis[[#This Row],[Date]])</f>
        <v>1</v>
      </c>
      <c r="S724" s="6" t="str">
        <f>TEXT(SuperMarket_Analysis[[#This Row],[Date]],"mmmm")</f>
        <v>January</v>
      </c>
      <c r="T724" s="6">
        <f>YEAR(SuperMarket_Analysis[[#This Row],[Date]])</f>
        <v>2019</v>
      </c>
    </row>
    <row r="725" spans="1:20" x14ac:dyDescent="0.3">
      <c r="A725" t="s">
        <v>756</v>
      </c>
      <c r="B725" t="s">
        <v>38</v>
      </c>
      <c r="C725" t="s">
        <v>39</v>
      </c>
      <c r="D725" t="s">
        <v>17</v>
      </c>
      <c r="E725" t="s">
        <v>174</v>
      </c>
      <c r="F725" t="s">
        <v>28</v>
      </c>
      <c r="G725" s="3">
        <v>36.909999999999997</v>
      </c>
      <c r="H725" s="6">
        <v>7</v>
      </c>
      <c r="I725" s="3">
        <v>12.9185</v>
      </c>
      <c r="J725" s="3">
        <v>271.2885</v>
      </c>
      <c r="K725" s="2">
        <v>43740</v>
      </c>
      <c r="L725" s="1">
        <v>0.57708333333333328</v>
      </c>
      <c r="M725" t="s">
        <v>20</v>
      </c>
      <c r="N725" s="3">
        <v>258.37</v>
      </c>
      <c r="O725" s="4">
        <v>4.7619047620000003</v>
      </c>
      <c r="P725" s="5">
        <v>12.9185</v>
      </c>
      <c r="Q725">
        <v>6.7</v>
      </c>
      <c r="R725" s="6">
        <f>DAY(SuperMarket_Analysis[[#This Row],[Date]])</f>
        <v>2</v>
      </c>
      <c r="S725" s="6" t="str">
        <f>TEXT(SuperMarket_Analysis[[#This Row],[Date]],"mmmm")</f>
        <v>October</v>
      </c>
      <c r="T725" s="6">
        <f>YEAR(SuperMarket_Analysis[[#This Row],[Date]])</f>
        <v>2019</v>
      </c>
    </row>
    <row r="726" spans="1:20" x14ac:dyDescent="0.3">
      <c r="A726" t="s">
        <v>757</v>
      </c>
      <c r="B726" t="s">
        <v>15</v>
      </c>
      <c r="C726" t="s">
        <v>16</v>
      </c>
      <c r="D726" t="s">
        <v>24</v>
      </c>
      <c r="E726" t="s">
        <v>174</v>
      </c>
      <c r="F726" t="s">
        <v>28</v>
      </c>
      <c r="G726" s="3">
        <v>80.08</v>
      </c>
      <c r="H726" s="6">
        <v>3</v>
      </c>
      <c r="I726" s="3">
        <v>12.012</v>
      </c>
      <c r="J726" s="3">
        <v>252.25200000000001</v>
      </c>
      <c r="K726" s="2">
        <v>43771</v>
      </c>
      <c r="L726" s="1">
        <v>0.64513888888888893</v>
      </c>
      <c r="M726" t="s">
        <v>26</v>
      </c>
      <c r="N726" s="3">
        <v>240.24</v>
      </c>
      <c r="O726" s="4">
        <v>4.7619047620000003</v>
      </c>
      <c r="P726" s="5">
        <v>12.012</v>
      </c>
      <c r="Q726">
        <v>5.4</v>
      </c>
      <c r="R726" s="6">
        <f>DAY(SuperMarket_Analysis[[#This Row],[Date]])</f>
        <v>2</v>
      </c>
      <c r="S726" s="6" t="str">
        <f>TEXT(SuperMarket_Analysis[[#This Row],[Date]],"mmmm")</f>
        <v>November</v>
      </c>
      <c r="T726" s="6">
        <f>YEAR(SuperMarket_Analysis[[#This Row],[Date]])</f>
        <v>2019</v>
      </c>
    </row>
    <row r="727" spans="1:20" x14ac:dyDescent="0.3">
      <c r="A727" t="s">
        <v>758</v>
      </c>
      <c r="B727" t="s">
        <v>22</v>
      </c>
      <c r="C727" t="s">
        <v>23</v>
      </c>
      <c r="D727" t="s">
        <v>24</v>
      </c>
      <c r="E727" t="s">
        <v>174</v>
      </c>
      <c r="F727" t="s">
        <v>42</v>
      </c>
      <c r="G727" s="3">
        <v>86.13</v>
      </c>
      <c r="H727" s="6">
        <v>2</v>
      </c>
      <c r="I727" s="3">
        <v>8.6129999999999995</v>
      </c>
      <c r="J727" s="3">
        <v>180.87299999999999</v>
      </c>
      <c r="K727" s="2">
        <v>43648</v>
      </c>
      <c r="L727" s="1">
        <v>0.74930555555555556</v>
      </c>
      <c r="M727" t="s">
        <v>26</v>
      </c>
      <c r="N727" s="3">
        <v>172.26</v>
      </c>
      <c r="O727" s="4">
        <v>4.7619047620000003</v>
      </c>
      <c r="P727" s="5">
        <v>8.6129999999999995</v>
      </c>
      <c r="Q727">
        <v>8.1999999999999993</v>
      </c>
      <c r="R727" s="6">
        <f>DAY(SuperMarket_Analysis[[#This Row],[Date]])</f>
        <v>2</v>
      </c>
      <c r="S727" s="6" t="str">
        <f>TEXT(SuperMarket_Analysis[[#This Row],[Date]],"mmmm")</f>
        <v>July</v>
      </c>
      <c r="T727" s="6">
        <f>YEAR(SuperMarket_Analysis[[#This Row],[Date]])</f>
        <v>2019</v>
      </c>
    </row>
    <row r="728" spans="1:20" x14ac:dyDescent="0.3">
      <c r="A728" t="s">
        <v>759</v>
      </c>
      <c r="B728" t="s">
        <v>38</v>
      </c>
      <c r="C728" t="s">
        <v>39</v>
      </c>
      <c r="D728" t="s">
        <v>17</v>
      </c>
      <c r="E728" t="s">
        <v>174</v>
      </c>
      <c r="F728" t="s">
        <v>42</v>
      </c>
      <c r="G728" s="3">
        <v>49.92</v>
      </c>
      <c r="H728" s="6">
        <v>2</v>
      </c>
      <c r="I728" s="3">
        <v>4.992</v>
      </c>
      <c r="J728" s="3">
        <v>104.83199999999999</v>
      </c>
      <c r="K728" s="2">
        <v>43619</v>
      </c>
      <c r="L728" s="1">
        <v>0.49652777777777779</v>
      </c>
      <c r="M728" t="s">
        <v>29</v>
      </c>
      <c r="N728" s="3">
        <v>99.84</v>
      </c>
      <c r="O728" s="4">
        <v>4.7619047620000003</v>
      </c>
      <c r="P728" s="5">
        <v>4.992</v>
      </c>
      <c r="Q728">
        <v>7</v>
      </c>
      <c r="R728" s="6">
        <f>DAY(SuperMarket_Analysis[[#This Row],[Date]])</f>
        <v>3</v>
      </c>
      <c r="S728" s="6" t="str">
        <f>TEXT(SuperMarket_Analysis[[#This Row],[Date]],"mmmm")</f>
        <v>June</v>
      </c>
      <c r="T728" s="6">
        <f>YEAR(SuperMarket_Analysis[[#This Row],[Date]])</f>
        <v>2019</v>
      </c>
    </row>
    <row r="729" spans="1:20" x14ac:dyDescent="0.3">
      <c r="A729" t="s">
        <v>760</v>
      </c>
      <c r="B729" t="s">
        <v>15</v>
      </c>
      <c r="C729" t="s">
        <v>16</v>
      </c>
      <c r="D729" t="s">
        <v>24</v>
      </c>
      <c r="E729" t="s">
        <v>18</v>
      </c>
      <c r="F729" t="s">
        <v>40</v>
      </c>
      <c r="G729" s="3">
        <v>74.66</v>
      </c>
      <c r="H729" s="6">
        <v>4</v>
      </c>
      <c r="I729" s="3">
        <v>14.932</v>
      </c>
      <c r="J729" s="3">
        <v>313.572</v>
      </c>
      <c r="K729" s="2">
        <v>43558</v>
      </c>
      <c r="L729" s="1">
        <v>0.44374999999999998</v>
      </c>
      <c r="M729" t="s">
        <v>26</v>
      </c>
      <c r="N729" s="3">
        <v>298.64</v>
      </c>
      <c r="O729" s="4">
        <v>4.7619047620000003</v>
      </c>
      <c r="P729" s="5">
        <v>14.932</v>
      </c>
      <c r="Q729">
        <v>8.5</v>
      </c>
      <c r="R729" s="6">
        <f>DAY(SuperMarket_Analysis[[#This Row],[Date]])</f>
        <v>3</v>
      </c>
      <c r="S729" s="6" t="str">
        <f>TEXT(SuperMarket_Analysis[[#This Row],[Date]],"mmmm")</f>
        <v>April</v>
      </c>
      <c r="T729" s="6">
        <f>YEAR(SuperMarket_Analysis[[#This Row],[Date]])</f>
        <v>2019</v>
      </c>
    </row>
    <row r="730" spans="1:20" x14ac:dyDescent="0.3">
      <c r="A730" t="s">
        <v>761</v>
      </c>
      <c r="B730" t="s">
        <v>38</v>
      </c>
      <c r="C730" t="s">
        <v>39</v>
      </c>
      <c r="D730" t="s">
        <v>24</v>
      </c>
      <c r="E730" t="s">
        <v>18</v>
      </c>
      <c r="F730" t="s">
        <v>25</v>
      </c>
      <c r="G730" s="3">
        <v>25.45</v>
      </c>
      <c r="H730" s="6">
        <v>1</v>
      </c>
      <c r="I730" s="3">
        <v>1.2725</v>
      </c>
      <c r="J730" s="3">
        <v>26.7225</v>
      </c>
      <c r="K730" s="2">
        <v>43741</v>
      </c>
      <c r="L730" s="1">
        <v>0.75694444444444442</v>
      </c>
      <c r="M730" t="s">
        <v>29</v>
      </c>
      <c r="N730" s="3">
        <v>25.45</v>
      </c>
      <c r="O730" s="4">
        <v>4.7619047620000003</v>
      </c>
      <c r="P730" s="5">
        <v>1.2725</v>
      </c>
      <c r="Q730">
        <v>5.0999999999999996</v>
      </c>
      <c r="R730" s="6">
        <f>DAY(SuperMarket_Analysis[[#This Row],[Date]])</f>
        <v>3</v>
      </c>
      <c r="S730" s="6" t="str">
        <f>TEXT(SuperMarket_Analysis[[#This Row],[Date]],"mmmm")</f>
        <v>October</v>
      </c>
      <c r="T730" s="6">
        <f>YEAR(SuperMarket_Analysis[[#This Row],[Date]])</f>
        <v>2019</v>
      </c>
    </row>
    <row r="731" spans="1:20" x14ac:dyDescent="0.3">
      <c r="A731" t="s">
        <v>762</v>
      </c>
      <c r="B731" t="s">
        <v>38</v>
      </c>
      <c r="C731" t="s">
        <v>39</v>
      </c>
      <c r="D731" t="s">
        <v>24</v>
      </c>
      <c r="E731" t="s">
        <v>18</v>
      </c>
      <c r="F731" t="s">
        <v>40</v>
      </c>
      <c r="G731" s="3">
        <v>67.77</v>
      </c>
      <c r="H731" s="6">
        <v>1</v>
      </c>
      <c r="I731" s="3">
        <v>3.3885000000000001</v>
      </c>
      <c r="J731" s="3">
        <v>71.158500000000004</v>
      </c>
      <c r="K731" s="2">
        <v>43557</v>
      </c>
      <c r="L731" s="1">
        <v>0.86319444444444449</v>
      </c>
      <c r="M731" t="s">
        <v>29</v>
      </c>
      <c r="N731" s="3">
        <v>67.77</v>
      </c>
      <c r="O731" s="4">
        <v>4.7619047620000003</v>
      </c>
      <c r="P731" s="5">
        <v>3.3885000000000001</v>
      </c>
      <c r="Q731">
        <v>6.5</v>
      </c>
      <c r="R731" s="6">
        <f>DAY(SuperMarket_Analysis[[#This Row],[Date]])</f>
        <v>2</v>
      </c>
      <c r="S731" s="6" t="str">
        <f>TEXT(SuperMarket_Analysis[[#This Row],[Date]],"mmmm")</f>
        <v>April</v>
      </c>
      <c r="T731" s="6">
        <f>YEAR(SuperMarket_Analysis[[#This Row],[Date]])</f>
        <v>2019</v>
      </c>
    </row>
    <row r="732" spans="1:20" x14ac:dyDescent="0.3">
      <c r="A732" t="s">
        <v>763</v>
      </c>
      <c r="B732" t="s">
        <v>22</v>
      </c>
      <c r="C732" t="s">
        <v>23</v>
      </c>
      <c r="D732" t="s">
        <v>24</v>
      </c>
      <c r="E732" t="s">
        <v>174</v>
      </c>
      <c r="F732" t="s">
        <v>25</v>
      </c>
      <c r="G732" s="3">
        <v>96.37</v>
      </c>
      <c r="H732" s="6">
        <v>7</v>
      </c>
      <c r="I732" s="3">
        <v>33.729500000000002</v>
      </c>
      <c r="J732" s="3">
        <v>708.31949999999995</v>
      </c>
      <c r="K732" s="2">
        <v>43709</v>
      </c>
      <c r="L732" s="1">
        <v>0.4861111111111111</v>
      </c>
      <c r="M732" t="s">
        <v>26</v>
      </c>
      <c r="N732" s="3">
        <v>674.59</v>
      </c>
      <c r="O732" s="4">
        <v>4.7619047620000003</v>
      </c>
      <c r="P732" s="5">
        <v>33.729500000000002</v>
      </c>
      <c r="Q732">
        <v>6</v>
      </c>
      <c r="R732" s="6">
        <f>DAY(SuperMarket_Analysis[[#This Row],[Date]])</f>
        <v>1</v>
      </c>
      <c r="S732" s="6" t="str">
        <f>TEXT(SuperMarket_Analysis[[#This Row],[Date]],"mmmm")</f>
        <v>September</v>
      </c>
      <c r="T732" s="6">
        <f>YEAR(SuperMarket_Analysis[[#This Row],[Date]])</f>
        <v>2019</v>
      </c>
    </row>
    <row r="733" spans="1:20" x14ac:dyDescent="0.3">
      <c r="A733" t="s">
        <v>764</v>
      </c>
      <c r="B733" t="s">
        <v>38</v>
      </c>
      <c r="C733" t="s">
        <v>39</v>
      </c>
      <c r="D733" t="s">
        <v>24</v>
      </c>
      <c r="E733" t="s">
        <v>18</v>
      </c>
      <c r="F733" t="s">
        <v>42</v>
      </c>
      <c r="G733" s="3">
        <v>63.71</v>
      </c>
      <c r="H733" s="6">
        <v>5</v>
      </c>
      <c r="I733" s="3">
        <v>15.9275</v>
      </c>
      <c r="J733" s="3">
        <v>334.47750000000002</v>
      </c>
      <c r="K733" s="2">
        <v>43648</v>
      </c>
      <c r="L733" s="1">
        <v>0.8125</v>
      </c>
      <c r="M733" t="s">
        <v>20</v>
      </c>
      <c r="N733" s="3">
        <v>318.55</v>
      </c>
      <c r="O733" s="4">
        <v>4.7619047620000003</v>
      </c>
      <c r="P733" s="5">
        <v>15.9275</v>
      </c>
      <c r="Q733">
        <v>8.5</v>
      </c>
      <c r="R733" s="6">
        <f>DAY(SuperMarket_Analysis[[#This Row],[Date]])</f>
        <v>2</v>
      </c>
      <c r="S733" s="6" t="str">
        <f>TEXT(SuperMarket_Analysis[[#This Row],[Date]],"mmmm")</f>
        <v>July</v>
      </c>
      <c r="T733" s="6">
        <f>YEAR(SuperMarket_Analysis[[#This Row],[Date]])</f>
        <v>2019</v>
      </c>
    </row>
    <row r="734" spans="1:20" x14ac:dyDescent="0.3">
      <c r="A734" t="s">
        <v>765</v>
      </c>
      <c r="B734" t="s">
        <v>38</v>
      </c>
      <c r="C734" t="s">
        <v>39</v>
      </c>
      <c r="D734" t="s">
        <v>17</v>
      </c>
      <c r="E734" t="s">
        <v>174</v>
      </c>
      <c r="F734" t="s">
        <v>19</v>
      </c>
      <c r="G734" s="3">
        <v>62</v>
      </c>
      <c r="H734" s="6">
        <v>8</v>
      </c>
      <c r="I734" s="3">
        <v>24.8</v>
      </c>
      <c r="J734" s="3">
        <v>520.79999999999995</v>
      </c>
      <c r="K734" s="2">
        <v>43525</v>
      </c>
      <c r="L734" s="1">
        <v>0.79722222222222228</v>
      </c>
      <c r="M734" t="s">
        <v>29</v>
      </c>
      <c r="N734" s="3">
        <v>496</v>
      </c>
      <c r="O734" s="4">
        <v>4.7619047620000003</v>
      </c>
      <c r="P734" s="5">
        <v>24.8</v>
      </c>
      <c r="Q734">
        <v>6.2</v>
      </c>
      <c r="R734" s="6">
        <f>DAY(SuperMarket_Analysis[[#This Row],[Date]])</f>
        <v>1</v>
      </c>
      <c r="S734" s="6" t="str">
        <f>TEXT(SuperMarket_Analysis[[#This Row],[Date]],"mmmm")</f>
        <v>March</v>
      </c>
      <c r="T734" s="6">
        <f>YEAR(SuperMarket_Analysis[[#This Row],[Date]])</f>
        <v>2019</v>
      </c>
    </row>
    <row r="735" spans="1:20" x14ac:dyDescent="0.3">
      <c r="A735" t="s">
        <v>766</v>
      </c>
      <c r="B735" t="s">
        <v>15</v>
      </c>
      <c r="C735" t="s">
        <v>16</v>
      </c>
      <c r="D735" t="s">
        <v>24</v>
      </c>
      <c r="E735" t="s">
        <v>174</v>
      </c>
      <c r="F735" t="s">
        <v>25</v>
      </c>
      <c r="G735" s="3">
        <v>58.03</v>
      </c>
      <c r="H735" s="6">
        <v>2</v>
      </c>
      <c r="I735" s="3">
        <v>5.8029999999999999</v>
      </c>
      <c r="J735" s="3">
        <v>121.863</v>
      </c>
      <c r="K735" s="2">
        <v>43741</v>
      </c>
      <c r="L735" s="1">
        <v>0.86527777777777781</v>
      </c>
      <c r="M735" t="s">
        <v>20</v>
      </c>
      <c r="N735" s="3">
        <v>116.06</v>
      </c>
      <c r="O735" s="4">
        <v>4.7619047620000003</v>
      </c>
      <c r="P735" s="5">
        <v>5.8029999999999999</v>
      </c>
      <c r="Q735">
        <v>8.8000000000000007</v>
      </c>
      <c r="R735" s="6">
        <f>DAY(SuperMarket_Analysis[[#This Row],[Date]])</f>
        <v>3</v>
      </c>
      <c r="S735" s="6" t="str">
        <f>TEXT(SuperMarket_Analysis[[#This Row],[Date]],"mmmm")</f>
        <v>October</v>
      </c>
      <c r="T735" s="6">
        <f>YEAR(SuperMarket_Analysis[[#This Row],[Date]])</f>
        <v>2019</v>
      </c>
    </row>
    <row r="736" spans="1:20" x14ac:dyDescent="0.3">
      <c r="A736" t="s">
        <v>767</v>
      </c>
      <c r="B736" t="s">
        <v>38</v>
      </c>
      <c r="C736" t="s">
        <v>39</v>
      </c>
      <c r="D736" t="s">
        <v>24</v>
      </c>
      <c r="E736" t="s">
        <v>18</v>
      </c>
      <c r="F736" t="s">
        <v>28</v>
      </c>
      <c r="G736" s="3">
        <v>97.38</v>
      </c>
      <c r="H736" s="6">
        <v>10</v>
      </c>
      <c r="I736" s="3">
        <v>48.69</v>
      </c>
      <c r="J736" s="3">
        <v>1022.49</v>
      </c>
      <c r="K736" s="2">
        <v>43499</v>
      </c>
      <c r="L736" s="1">
        <v>0.71944444444444444</v>
      </c>
      <c r="M736" t="s">
        <v>20</v>
      </c>
      <c r="N736" s="3">
        <v>973.8</v>
      </c>
      <c r="O736" s="4">
        <v>4.7619047620000003</v>
      </c>
      <c r="P736" s="5">
        <v>48.69</v>
      </c>
      <c r="Q736">
        <v>4.4000000000000004</v>
      </c>
      <c r="R736" s="6">
        <f>DAY(SuperMarket_Analysis[[#This Row],[Date]])</f>
        <v>3</v>
      </c>
      <c r="S736" s="6" t="str">
        <f>TEXT(SuperMarket_Analysis[[#This Row],[Date]],"mmmm")</f>
        <v>February</v>
      </c>
      <c r="T736" s="6">
        <f>YEAR(SuperMarket_Analysis[[#This Row],[Date]])</f>
        <v>2019</v>
      </c>
    </row>
    <row r="737" spans="1:20" x14ac:dyDescent="0.3">
      <c r="A737" t="s">
        <v>768</v>
      </c>
      <c r="B737" t="s">
        <v>15</v>
      </c>
      <c r="C737" t="s">
        <v>16</v>
      </c>
      <c r="D737" t="s">
        <v>17</v>
      </c>
      <c r="E737" t="s">
        <v>174</v>
      </c>
      <c r="F737" t="s">
        <v>40</v>
      </c>
      <c r="G737" s="3">
        <v>31.84</v>
      </c>
      <c r="H737" s="6">
        <v>1</v>
      </c>
      <c r="I737" s="3">
        <v>1.5920000000000001</v>
      </c>
      <c r="J737" s="3">
        <v>33.432000000000002</v>
      </c>
      <c r="K737" s="2">
        <v>43710</v>
      </c>
      <c r="L737" s="1">
        <v>0.55694444444444446</v>
      </c>
      <c r="M737" t="s">
        <v>26</v>
      </c>
      <c r="N737" s="3">
        <v>31.84</v>
      </c>
      <c r="O737" s="4">
        <v>4.7619047620000003</v>
      </c>
      <c r="P737" s="5">
        <v>1.5920000000000001</v>
      </c>
      <c r="Q737">
        <v>7.7</v>
      </c>
      <c r="R737" s="6">
        <f>DAY(SuperMarket_Analysis[[#This Row],[Date]])</f>
        <v>2</v>
      </c>
      <c r="S737" s="6" t="str">
        <f>TEXT(SuperMarket_Analysis[[#This Row],[Date]],"mmmm")</f>
        <v>September</v>
      </c>
      <c r="T737" s="6">
        <f>YEAR(SuperMarket_Analysis[[#This Row],[Date]])</f>
        <v>2019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6C5C-833C-4BC3-9105-DEE68E8109BF}">
  <dimension ref="A1:N737"/>
  <sheetViews>
    <sheetView topLeftCell="A25" workbookViewId="0">
      <selection activeCell="J39" sqref="J39"/>
    </sheetView>
  </sheetViews>
  <sheetFormatPr defaultRowHeight="13.5" x14ac:dyDescent="0.3"/>
  <cols>
    <col min="1" max="1" width="11.1640625" style="2" bestFit="1" customWidth="1"/>
    <col min="2" max="2" width="16" style="6" bestFit="1" customWidth="1"/>
    <col min="3" max="3" width="15" style="7" bestFit="1" customWidth="1"/>
    <col min="4" max="4" width="20.33203125" style="6" bestFit="1" customWidth="1"/>
    <col min="5" max="5" width="19.6640625" style="6" bestFit="1" customWidth="1"/>
    <col min="6" max="6" width="16.6640625" style="6" customWidth="1"/>
    <col min="7" max="7" width="19.1640625" style="6" customWidth="1"/>
    <col min="8" max="8" width="21.33203125" style="6" bestFit="1" customWidth="1"/>
    <col min="9" max="9" width="10.33203125" style="6" bestFit="1" customWidth="1"/>
    <col min="10" max="10" width="19" style="6" bestFit="1" customWidth="1"/>
    <col min="11" max="11" width="24.83203125" style="6" bestFit="1" customWidth="1"/>
    <col min="12" max="16384" width="9.33203125" style="6"/>
  </cols>
  <sheetData>
    <row r="1" spans="1:14" s="11" customFormat="1" x14ac:dyDescent="0.3">
      <c r="A1" s="8" t="s">
        <v>775</v>
      </c>
      <c r="B1" s="9" t="s">
        <v>779</v>
      </c>
      <c r="C1" s="10" t="s">
        <v>776</v>
      </c>
      <c r="D1" s="9" t="s">
        <v>777</v>
      </c>
      <c r="E1" s="9" t="s">
        <v>778</v>
      </c>
      <c r="F1" s="9" t="s">
        <v>784</v>
      </c>
      <c r="G1" s="9" t="s">
        <v>788</v>
      </c>
      <c r="H1" s="9" t="s">
        <v>780</v>
      </c>
      <c r="I1" s="9" t="s">
        <v>783</v>
      </c>
      <c r="J1" s="9" t="s">
        <v>781</v>
      </c>
      <c r="K1" s="9" t="s">
        <v>782</v>
      </c>
      <c r="L1" s="9" t="s">
        <v>785</v>
      </c>
      <c r="M1" s="9" t="s">
        <v>786</v>
      </c>
      <c r="N1" s="9" t="s">
        <v>787</v>
      </c>
    </row>
    <row r="2" spans="1:14" x14ac:dyDescent="0.3">
      <c r="A2" s="2">
        <f>_xlfn.XLOOKUP(B2,SuperMarket_Analysis[Invoice ID],SuperMarket_Analysis[Date])</f>
        <v>43586</v>
      </c>
      <c r="B2" s="6" t="s">
        <v>14</v>
      </c>
      <c r="C2" s="7">
        <f>_xlfn.XLOOKUP(B2,SuperMarket_Analysis[Invoice ID],SuperMarket_Analysis[Quantity])</f>
        <v>7</v>
      </c>
      <c r="D2" s="6" t="str">
        <f>_xlfn.XLOOKUP('Input data'!B2,'SuperMarket Analysis'!A:A,'SuperMarket Analysis'!F:F)</f>
        <v>Health and beauty</v>
      </c>
      <c r="E2" s="6" t="str">
        <f>_xlfn.XLOOKUP(B2,'SuperMarket Analysis'!A:A,'SuperMarket Analysis'!M:M)</f>
        <v>Ewallet</v>
      </c>
      <c r="F2" s="6">
        <f>0.05*Input_Table[[#This Row],[TOTAL C.O.G.S]]</f>
        <v>26.141500000000004</v>
      </c>
      <c r="G2" s="6" t="str">
        <f>_xlfn.XLOOKUP(Input_Table[[#This Row],[INVOICE ID]],'SuperMarket Analysis'!A:A,'SuperMarket Analysis'!B:B)</f>
        <v>Alex</v>
      </c>
      <c r="H2" s="6" t="str">
        <f>_xlfn.XLOOKUP(Input_Table[[#This Row],[INVOICE ID]],'SuperMarket Analysis'!A:A,'SuperMarket Analysis'!F:F)</f>
        <v>Health and beauty</v>
      </c>
      <c r="I2" s="12">
        <f>_xlfn.XLOOKUP(Input_Table[[#This Row],[INVOICE ID]],'SuperMarket Analysis'!A:A,'SuperMarket Analysis'!G:G)</f>
        <v>74.69</v>
      </c>
      <c r="J2" s="12">
        <f>_xlfn.XLOOKUP(Input_Table[[#This Row],[INVOICE ID]],'SuperMarket Analysis'!A:A,'SuperMarket Analysis'!N:N)</f>
        <v>522.83000000000004</v>
      </c>
      <c r="K2" s="12">
        <f>_xlfn.XLOOKUP(Input_Table[[#This Row],[INVOICE ID]],'SuperMarket Analysis'!A:A,'SuperMarket Analysis'!J:J)</f>
        <v>548.97149999999999</v>
      </c>
      <c r="L2" s="6">
        <f>DAY(Input_Table[[#This Row],[DATE]])</f>
        <v>1</v>
      </c>
      <c r="M2" s="6" t="str">
        <f>TEXT(Input_Table[[#This Row],[DATE]],"mmmm")</f>
        <v>May</v>
      </c>
      <c r="N2" s="6">
        <f>YEAR(Input_Table[[#This Row],[DATE]])</f>
        <v>2019</v>
      </c>
    </row>
    <row r="3" spans="1:14" x14ac:dyDescent="0.3">
      <c r="A3" s="2">
        <f>_xlfn.XLOOKUP(B3,SuperMarket_Analysis[Invoice ID],SuperMarket_Analysis[Date])</f>
        <v>43680</v>
      </c>
      <c r="B3" s="6" t="s">
        <v>21</v>
      </c>
      <c r="C3" s="7">
        <f>_xlfn.XLOOKUP(B3,SuperMarket_Analysis[Invoice ID],SuperMarket_Analysis[Quantity])</f>
        <v>5</v>
      </c>
      <c r="D3" s="6" t="str">
        <f>_xlfn.XLOOKUP('Input data'!B3,'SuperMarket Analysis'!A:A,'SuperMarket Analysis'!F:F)</f>
        <v>Electronic accessories</v>
      </c>
      <c r="E3" s="6" t="str">
        <f>_xlfn.XLOOKUP(B3,'SuperMarket Analysis'!A:A,'SuperMarket Analysis'!M:M)</f>
        <v>Cash</v>
      </c>
      <c r="F3" s="6">
        <f>0.05*Input_Table[[#This Row],[TOTAL C.O.G.S]]</f>
        <v>3.8200000000000003</v>
      </c>
      <c r="G3" s="6" t="str">
        <f>_xlfn.XLOOKUP(Input_Table[[#This Row],[INVOICE ID]],'SuperMarket Analysis'!A:A,'SuperMarket Analysis'!B:B)</f>
        <v>Giza</v>
      </c>
      <c r="H3" s="6" t="str">
        <f>_xlfn.XLOOKUP(Input_Table[[#This Row],[INVOICE ID]],'SuperMarket Analysis'!A:A,'SuperMarket Analysis'!F:F)</f>
        <v>Electronic accessories</v>
      </c>
      <c r="I3" s="12">
        <f>_xlfn.XLOOKUP(Input_Table[[#This Row],[INVOICE ID]],'SuperMarket Analysis'!A:A,'SuperMarket Analysis'!G:G)</f>
        <v>15.28</v>
      </c>
      <c r="J3" s="12">
        <f>_xlfn.XLOOKUP(Input_Table[[#This Row],[INVOICE ID]],'SuperMarket Analysis'!A:A,'SuperMarket Analysis'!N:N)</f>
        <v>76.400000000000006</v>
      </c>
      <c r="K3" s="12">
        <f>_xlfn.XLOOKUP(Input_Table[[#This Row],[INVOICE ID]],'SuperMarket Analysis'!A:A,'SuperMarket Analysis'!J:J)</f>
        <v>80.22</v>
      </c>
      <c r="L3" s="6">
        <f>DAY(Input_Table[[#This Row],[DATE]])</f>
        <v>3</v>
      </c>
      <c r="M3" s="6" t="str">
        <f>TEXT(Input_Table[[#This Row],[DATE]],"mmmm")</f>
        <v>August</v>
      </c>
      <c r="N3" s="6">
        <f>YEAR(Input_Table[[#This Row],[DATE]])</f>
        <v>2019</v>
      </c>
    </row>
    <row r="4" spans="1:14" x14ac:dyDescent="0.3">
      <c r="A4" s="2">
        <f>_xlfn.XLOOKUP(B4,SuperMarket_Analysis[Invoice ID],SuperMarket_Analysis[Date])</f>
        <v>43527</v>
      </c>
      <c r="B4" s="6" t="s">
        <v>27</v>
      </c>
      <c r="C4" s="7">
        <f>_xlfn.XLOOKUP(B4,SuperMarket_Analysis[Invoice ID],SuperMarket_Analysis[Quantity])</f>
        <v>7</v>
      </c>
      <c r="D4" s="6" t="str">
        <f>_xlfn.XLOOKUP('Input data'!B4,'SuperMarket Analysis'!A:A,'SuperMarket Analysis'!F:F)</f>
        <v>Home and lifestyle</v>
      </c>
      <c r="E4" s="6" t="str">
        <f>_xlfn.XLOOKUP(B4,'SuperMarket Analysis'!A:A,'SuperMarket Analysis'!M:M)</f>
        <v>Credit card</v>
      </c>
      <c r="F4" s="6">
        <f>0.05*Input_Table[[#This Row],[TOTAL C.O.G.S]]</f>
        <v>16.215500000000002</v>
      </c>
      <c r="G4" s="6" t="str">
        <f>_xlfn.XLOOKUP(Input_Table[[#This Row],[INVOICE ID]],'SuperMarket Analysis'!A:A,'SuperMarket Analysis'!B:B)</f>
        <v>Alex</v>
      </c>
      <c r="H4" s="6" t="str">
        <f>_xlfn.XLOOKUP(Input_Table[[#This Row],[INVOICE ID]],'SuperMarket Analysis'!A:A,'SuperMarket Analysis'!F:F)</f>
        <v>Home and lifestyle</v>
      </c>
      <c r="I4" s="12">
        <f>_xlfn.XLOOKUP(Input_Table[[#This Row],[INVOICE ID]],'SuperMarket Analysis'!A:A,'SuperMarket Analysis'!G:G)</f>
        <v>46.33</v>
      </c>
      <c r="J4" s="12">
        <f>_xlfn.XLOOKUP(Input_Table[[#This Row],[INVOICE ID]],'SuperMarket Analysis'!A:A,'SuperMarket Analysis'!N:N)</f>
        <v>324.31</v>
      </c>
      <c r="K4" s="12">
        <f>_xlfn.XLOOKUP(Input_Table[[#This Row],[INVOICE ID]],'SuperMarket Analysis'!A:A,'SuperMarket Analysis'!J:J)</f>
        <v>340.52550000000002</v>
      </c>
      <c r="L4" s="6">
        <f>DAY(Input_Table[[#This Row],[DATE]])</f>
        <v>3</v>
      </c>
      <c r="M4" s="6" t="str">
        <f>TEXT(Input_Table[[#This Row],[DATE]],"mmmm")</f>
        <v>March</v>
      </c>
      <c r="N4" s="6">
        <f>YEAR(Input_Table[[#This Row],[DATE]])</f>
        <v>2019</v>
      </c>
    </row>
    <row r="5" spans="1:14" x14ac:dyDescent="0.3">
      <c r="A5" s="2">
        <f>_xlfn.XLOOKUP(B5,SuperMarket_Analysis[Invoice ID],SuperMarket_Analysis[Date])</f>
        <v>43492</v>
      </c>
      <c r="B5" s="6" t="s">
        <v>30</v>
      </c>
      <c r="C5" s="7">
        <f>_xlfn.XLOOKUP(B5,SuperMarket_Analysis[Invoice ID],SuperMarket_Analysis[Quantity])</f>
        <v>8</v>
      </c>
      <c r="D5" s="6" t="str">
        <f>_xlfn.XLOOKUP('Input data'!B5,'SuperMarket Analysis'!A:A,'SuperMarket Analysis'!F:F)</f>
        <v>Health and beauty</v>
      </c>
      <c r="E5" s="6" t="str">
        <f>_xlfn.XLOOKUP(B5,'SuperMarket Analysis'!A:A,'SuperMarket Analysis'!M:M)</f>
        <v>Ewallet</v>
      </c>
      <c r="F5" s="6">
        <f>0.05*Input_Table[[#This Row],[TOTAL C.O.G.S]]</f>
        <v>23.288</v>
      </c>
      <c r="G5" s="6" t="str">
        <f>_xlfn.XLOOKUP(Input_Table[[#This Row],[INVOICE ID]],'SuperMarket Analysis'!A:A,'SuperMarket Analysis'!B:B)</f>
        <v>Alex</v>
      </c>
      <c r="H5" s="6" t="str">
        <f>_xlfn.XLOOKUP(Input_Table[[#This Row],[INVOICE ID]],'SuperMarket Analysis'!A:A,'SuperMarket Analysis'!F:F)</f>
        <v>Health and beauty</v>
      </c>
      <c r="I5" s="12">
        <f>_xlfn.XLOOKUP(Input_Table[[#This Row],[INVOICE ID]],'SuperMarket Analysis'!A:A,'SuperMarket Analysis'!G:G)</f>
        <v>58.22</v>
      </c>
      <c r="J5" s="12">
        <f>_xlfn.XLOOKUP(Input_Table[[#This Row],[INVOICE ID]],'SuperMarket Analysis'!A:A,'SuperMarket Analysis'!N:N)</f>
        <v>465.76</v>
      </c>
      <c r="K5" s="12">
        <f>_xlfn.XLOOKUP(Input_Table[[#This Row],[INVOICE ID]],'SuperMarket Analysis'!A:A,'SuperMarket Analysis'!J:J)</f>
        <v>489.048</v>
      </c>
      <c r="L5" s="6">
        <f>DAY(Input_Table[[#This Row],[DATE]])</f>
        <v>27</v>
      </c>
      <c r="M5" s="6" t="str">
        <f>TEXT(Input_Table[[#This Row],[DATE]],"mmmm")</f>
        <v>January</v>
      </c>
      <c r="N5" s="6">
        <f>YEAR(Input_Table[[#This Row],[DATE]])</f>
        <v>2019</v>
      </c>
    </row>
    <row r="6" spans="1:14" x14ac:dyDescent="0.3">
      <c r="A6" s="2">
        <f>_xlfn.XLOOKUP(B6,SuperMarket_Analysis[Invoice ID],SuperMarket_Analysis[Date])</f>
        <v>43549</v>
      </c>
      <c r="B6" s="6" t="s">
        <v>31</v>
      </c>
      <c r="C6" s="7">
        <f>_xlfn.XLOOKUP(B6,SuperMarket_Analysis[Invoice ID],SuperMarket_Analysis[Quantity])</f>
        <v>7</v>
      </c>
      <c r="D6" s="6" t="str">
        <f>_xlfn.XLOOKUP('Input data'!B6,'SuperMarket Analysis'!A:A,'SuperMarket Analysis'!F:F)</f>
        <v>Sports and travel</v>
      </c>
      <c r="E6" s="6" t="str">
        <f>_xlfn.XLOOKUP(B6,'SuperMarket Analysis'!A:A,'SuperMarket Analysis'!M:M)</f>
        <v>Ewallet</v>
      </c>
      <c r="F6" s="6">
        <f>0.05*Input_Table[[#This Row],[TOTAL C.O.G.S]]</f>
        <v>30.208500000000001</v>
      </c>
      <c r="G6" s="6" t="str">
        <f>_xlfn.XLOOKUP(Input_Table[[#This Row],[INVOICE ID]],'SuperMarket Analysis'!A:A,'SuperMarket Analysis'!B:B)</f>
        <v>Alex</v>
      </c>
      <c r="H6" s="6" t="str">
        <f>_xlfn.XLOOKUP(Input_Table[[#This Row],[INVOICE ID]],'SuperMarket Analysis'!A:A,'SuperMarket Analysis'!F:F)</f>
        <v>Sports and travel</v>
      </c>
      <c r="I6" s="12">
        <f>_xlfn.XLOOKUP(Input_Table[[#This Row],[INVOICE ID]],'SuperMarket Analysis'!A:A,'SuperMarket Analysis'!G:G)</f>
        <v>86.31</v>
      </c>
      <c r="J6" s="12">
        <f>_xlfn.XLOOKUP(Input_Table[[#This Row],[INVOICE ID]],'SuperMarket Analysis'!A:A,'SuperMarket Analysis'!N:N)</f>
        <v>604.16999999999996</v>
      </c>
      <c r="K6" s="12">
        <f>_xlfn.XLOOKUP(Input_Table[[#This Row],[INVOICE ID]],'SuperMarket Analysis'!A:A,'SuperMarket Analysis'!J:J)</f>
        <v>634.37850000000003</v>
      </c>
      <c r="L6" s="6">
        <f>DAY(Input_Table[[#This Row],[DATE]])</f>
        <v>25</v>
      </c>
      <c r="M6" s="6" t="str">
        <f>TEXT(Input_Table[[#This Row],[DATE]],"mmmm")</f>
        <v>March</v>
      </c>
      <c r="N6" s="6">
        <f>YEAR(Input_Table[[#This Row],[DATE]])</f>
        <v>2019</v>
      </c>
    </row>
    <row r="7" spans="1:14" x14ac:dyDescent="0.3">
      <c r="A7" s="2">
        <f>_xlfn.XLOOKUP(B7,SuperMarket_Analysis[Invoice ID],SuperMarket_Analysis[Date])</f>
        <v>43521</v>
      </c>
      <c r="B7" s="6" t="s">
        <v>33</v>
      </c>
      <c r="C7" s="7">
        <f>_xlfn.XLOOKUP(B7,SuperMarket_Analysis[Invoice ID],SuperMarket_Analysis[Quantity])</f>
        <v>7</v>
      </c>
      <c r="D7" s="6" t="str">
        <f>_xlfn.XLOOKUP('Input data'!B7,'SuperMarket Analysis'!A:A,'SuperMarket Analysis'!F:F)</f>
        <v>Electronic accessories</v>
      </c>
      <c r="E7" s="6" t="str">
        <f>_xlfn.XLOOKUP(B7,'SuperMarket Analysis'!A:A,'SuperMarket Analysis'!M:M)</f>
        <v>Ewallet</v>
      </c>
      <c r="F7" s="6">
        <f>0.05*Input_Table[[#This Row],[TOTAL C.O.G.S]]</f>
        <v>29.886500000000002</v>
      </c>
      <c r="G7" s="6" t="str">
        <f>_xlfn.XLOOKUP(Input_Table[[#This Row],[INVOICE ID]],'SuperMarket Analysis'!A:A,'SuperMarket Analysis'!B:B)</f>
        <v>Giza</v>
      </c>
      <c r="H7" s="6" t="str">
        <f>_xlfn.XLOOKUP(Input_Table[[#This Row],[INVOICE ID]],'SuperMarket Analysis'!A:A,'SuperMarket Analysis'!F:F)</f>
        <v>Electronic accessories</v>
      </c>
      <c r="I7" s="12">
        <f>_xlfn.XLOOKUP(Input_Table[[#This Row],[INVOICE ID]],'SuperMarket Analysis'!A:A,'SuperMarket Analysis'!G:G)</f>
        <v>85.39</v>
      </c>
      <c r="J7" s="12">
        <f>_xlfn.XLOOKUP(Input_Table[[#This Row],[INVOICE ID]],'SuperMarket Analysis'!A:A,'SuperMarket Analysis'!N:N)</f>
        <v>597.73</v>
      </c>
      <c r="K7" s="12">
        <f>_xlfn.XLOOKUP(Input_Table[[#This Row],[INVOICE ID]],'SuperMarket Analysis'!A:A,'SuperMarket Analysis'!J:J)</f>
        <v>627.61649999999997</v>
      </c>
      <c r="L7" s="6">
        <f>DAY(Input_Table[[#This Row],[DATE]])</f>
        <v>25</v>
      </c>
      <c r="M7" s="6" t="str">
        <f>TEXT(Input_Table[[#This Row],[DATE]],"mmmm")</f>
        <v>February</v>
      </c>
      <c r="N7" s="6">
        <f>YEAR(Input_Table[[#This Row],[DATE]])</f>
        <v>2019</v>
      </c>
    </row>
    <row r="8" spans="1:14" x14ac:dyDescent="0.3">
      <c r="A8" s="2">
        <f>_xlfn.XLOOKUP(B8,SuperMarket_Analysis[Invoice ID],SuperMarket_Analysis[Date])</f>
        <v>43520</v>
      </c>
      <c r="B8" s="6" t="s">
        <v>34</v>
      </c>
      <c r="C8" s="7">
        <f>_xlfn.XLOOKUP(B8,SuperMarket_Analysis[Invoice ID],SuperMarket_Analysis[Quantity])</f>
        <v>6</v>
      </c>
      <c r="D8" s="6" t="str">
        <f>_xlfn.XLOOKUP('Input data'!B8,'SuperMarket Analysis'!A:A,'SuperMarket Analysis'!F:F)</f>
        <v>Electronic accessories</v>
      </c>
      <c r="E8" s="6" t="str">
        <f>_xlfn.XLOOKUP(B8,'SuperMarket Analysis'!A:A,'SuperMarket Analysis'!M:M)</f>
        <v>Ewallet</v>
      </c>
      <c r="F8" s="6">
        <f>0.05*Input_Table[[#This Row],[TOTAL C.O.G.S]]</f>
        <v>20.652000000000001</v>
      </c>
      <c r="G8" s="6" t="str">
        <f>_xlfn.XLOOKUP(Input_Table[[#This Row],[INVOICE ID]],'SuperMarket Analysis'!A:A,'SuperMarket Analysis'!B:B)</f>
        <v>Alex</v>
      </c>
      <c r="H8" s="6" t="str">
        <f>_xlfn.XLOOKUP(Input_Table[[#This Row],[INVOICE ID]],'SuperMarket Analysis'!A:A,'SuperMarket Analysis'!F:F)</f>
        <v>Electronic accessories</v>
      </c>
      <c r="I8" s="12">
        <f>_xlfn.XLOOKUP(Input_Table[[#This Row],[INVOICE ID]],'SuperMarket Analysis'!A:A,'SuperMarket Analysis'!G:G)</f>
        <v>68.84</v>
      </c>
      <c r="J8" s="12">
        <f>_xlfn.XLOOKUP(Input_Table[[#This Row],[INVOICE ID]],'SuperMarket Analysis'!A:A,'SuperMarket Analysis'!N:N)</f>
        <v>413.04</v>
      </c>
      <c r="K8" s="12">
        <f>_xlfn.XLOOKUP(Input_Table[[#This Row],[INVOICE ID]],'SuperMarket Analysis'!A:A,'SuperMarket Analysis'!J:J)</f>
        <v>433.69200000000001</v>
      </c>
      <c r="L8" s="6">
        <f>DAY(Input_Table[[#This Row],[DATE]])</f>
        <v>24</v>
      </c>
      <c r="M8" s="6" t="str">
        <f>TEXT(Input_Table[[#This Row],[DATE]],"mmmm")</f>
        <v>February</v>
      </c>
      <c r="N8" s="6">
        <f>YEAR(Input_Table[[#This Row],[DATE]])</f>
        <v>2019</v>
      </c>
    </row>
    <row r="9" spans="1:14" x14ac:dyDescent="0.3">
      <c r="A9" s="2">
        <f>_xlfn.XLOOKUP(B9,SuperMarket_Analysis[Invoice ID],SuperMarket_Analysis[Date])</f>
        <v>43516</v>
      </c>
      <c r="B9" s="6" t="s">
        <v>35</v>
      </c>
      <c r="C9" s="7">
        <f>_xlfn.XLOOKUP(B9,SuperMarket_Analysis[Invoice ID],SuperMarket_Analysis[Quantity])</f>
        <v>10</v>
      </c>
      <c r="D9" s="6" t="str">
        <f>_xlfn.XLOOKUP('Input data'!B9,'SuperMarket Analysis'!A:A,'SuperMarket Analysis'!F:F)</f>
        <v>Home and lifestyle</v>
      </c>
      <c r="E9" s="6" t="str">
        <f>_xlfn.XLOOKUP(B9,'SuperMarket Analysis'!A:A,'SuperMarket Analysis'!M:M)</f>
        <v>Ewallet</v>
      </c>
      <c r="F9" s="6">
        <f>0.05*Input_Table[[#This Row],[TOTAL C.O.G.S]]</f>
        <v>36.78</v>
      </c>
      <c r="G9" s="6" t="str">
        <f>_xlfn.XLOOKUP(Input_Table[[#This Row],[INVOICE ID]],'SuperMarket Analysis'!A:A,'SuperMarket Analysis'!B:B)</f>
        <v>Giza</v>
      </c>
      <c r="H9" s="6" t="str">
        <f>_xlfn.XLOOKUP(Input_Table[[#This Row],[INVOICE ID]],'SuperMarket Analysis'!A:A,'SuperMarket Analysis'!F:F)</f>
        <v>Home and lifestyle</v>
      </c>
      <c r="I9" s="12">
        <f>_xlfn.XLOOKUP(Input_Table[[#This Row],[INVOICE ID]],'SuperMarket Analysis'!A:A,'SuperMarket Analysis'!G:G)</f>
        <v>73.56</v>
      </c>
      <c r="J9" s="12">
        <f>_xlfn.XLOOKUP(Input_Table[[#This Row],[INVOICE ID]],'SuperMarket Analysis'!A:A,'SuperMarket Analysis'!N:N)</f>
        <v>735.6</v>
      </c>
      <c r="K9" s="12">
        <f>_xlfn.XLOOKUP(Input_Table[[#This Row],[INVOICE ID]],'SuperMarket Analysis'!A:A,'SuperMarket Analysis'!J:J)</f>
        <v>772.38</v>
      </c>
      <c r="L9" s="6">
        <f>DAY(Input_Table[[#This Row],[DATE]])</f>
        <v>20</v>
      </c>
      <c r="M9" s="6" t="str">
        <f>TEXT(Input_Table[[#This Row],[DATE]],"mmmm")</f>
        <v>February</v>
      </c>
      <c r="N9" s="6">
        <f>YEAR(Input_Table[[#This Row],[DATE]])</f>
        <v>2019</v>
      </c>
    </row>
    <row r="10" spans="1:14" x14ac:dyDescent="0.3">
      <c r="A10" s="2">
        <f>_xlfn.XLOOKUP(B10,SuperMarket_Analysis[Invoice ID],SuperMarket_Analysis[Date])</f>
        <v>43553</v>
      </c>
      <c r="B10" s="6" t="s">
        <v>36</v>
      </c>
      <c r="C10" s="7">
        <f>_xlfn.XLOOKUP(B10,SuperMarket_Analysis[Invoice ID],SuperMarket_Analysis[Quantity])</f>
        <v>2</v>
      </c>
      <c r="D10" s="6" t="str">
        <f>_xlfn.XLOOKUP('Input data'!B10,'SuperMarket Analysis'!A:A,'SuperMarket Analysis'!F:F)</f>
        <v>Health and beauty</v>
      </c>
      <c r="E10" s="6" t="str">
        <f>_xlfn.XLOOKUP(B10,'SuperMarket Analysis'!A:A,'SuperMarket Analysis'!M:M)</f>
        <v>Credit card</v>
      </c>
      <c r="F10" s="6">
        <f>0.05*Input_Table[[#This Row],[TOTAL C.O.G.S]]</f>
        <v>3.6259999999999999</v>
      </c>
      <c r="G10" s="6" t="str">
        <f>_xlfn.XLOOKUP(Input_Table[[#This Row],[INVOICE ID]],'SuperMarket Analysis'!A:A,'SuperMarket Analysis'!B:B)</f>
        <v>Alex</v>
      </c>
      <c r="H10" s="6" t="str">
        <f>_xlfn.XLOOKUP(Input_Table[[#This Row],[INVOICE ID]],'SuperMarket Analysis'!A:A,'SuperMarket Analysis'!F:F)</f>
        <v>Health and beauty</v>
      </c>
      <c r="I10" s="12">
        <f>_xlfn.XLOOKUP(Input_Table[[#This Row],[INVOICE ID]],'SuperMarket Analysis'!A:A,'SuperMarket Analysis'!G:G)</f>
        <v>36.26</v>
      </c>
      <c r="J10" s="12">
        <f>_xlfn.XLOOKUP(Input_Table[[#This Row],[INVOICE ID]],'SuperMarket Analysis'!A:A,'SuperMarket Analysis'!N:N)</f>
        <v>72.52</v>
      </c>
      <c r="K10" s="12">
        <f>_xlfn.XLOOKUP(Input_Table[[#This Row],[INVOICE ID]],'SuperMarket Analysis'!A:A,'SuperMarket Analysis'!J:J)</f>
        <v>76.146000000000001</v>
      </c>
      <c r="L10" s="6">
        <f>DAY(Input_Table[[#This Row],[DATE]])</f>
        <v>29</v>
      </c>
      <c r="M10" s="6" t="str">
        <f>TEXT(Input_Table[[#This Row],[DATE]],"mmmm")</f>
        <v>March</v>
      </c>
      <c r="N10" s="6">
        <f>YEAR(Input_Table[[#This Row],[DATE]])</f>
        <v>2019</v>
      </c>
    </row>
    <row r="11" spans="1:14" x14ac:dyDescent="0.3">
      <c r="A11" s="2">
        <f>_xlfn.XLOOKUP(B11,SuperMarket_Analysis[Invoice ID],SuperMarket_Analysis[Date])</f>
        <v>43480</v>
      </c>
      <c r="B11" s="6" t="s">
        <v>37</v>
      </c>
      <c r="C11" s="7">
        <f>_xlfn.XLOOKUP(B11,SuperMarket_Analysis[Invoice ID],SuperMarket_Analysis[Quantity])</f>
        <v>3</v>
      </c>
      <c r="D11" s="6" t="str">
        <f>_xlfn.XLOOKUP('Input data'!B11,'SuperMarket Analysis'!A:A,'SuperMarket Analysis'!F:F)</f>
        <v>Food and beverages</v>
      </c>
      <c r="E11" s="6" t="str">
        <f>_xlfn.XLOOKUP(B11,'SuperMarket Analysis'!A:A,'SuperMarket Analysis'!M:M)</f>
        <v>Credit card</v>
      </c>
      <c r="F11" s="6">
        <f>0.05*Input_Table[[#This Row],[TOTAL C.O.G.S]]</f>
        <v>8.2260000000000009</v>
      </c>
      <c r="G11" s="6" t="str">
        <f>_xlfn.XLOOKUP(Input_Table[[#This Row],[INVOICE ID]],'SuperMarket Analysis'!A:A,'SuperMarket Analysis'!B:B)</f>
        <v>Cairo</v>
      </c>
      <c r="H11" s="6" t="str">
        <f>_xlfn.XLOOKUP(Input_Table[[#This Row],[INVOICE ID]],'SuperMarket Analysis'!A:A,'SuperMarket Analysis'!F:F)</f>
        <v>Food and beverages</v>
      </c>
      <c r="I11" s="12">
        <f>_xlfn.XLOOKUP(Input_Table[[#This Row],[INVOICE ID]],'SuperMarket Analysis'!A:A,'SuperMarket Analysis'!G:G)</f>
        <v>54.84</v>
      </c>
      <c r="J11" s="12">
        <f>_xlfn.XLOOKUP(Input_Table[[#This Row],[INVOICE ID]],'SuperMarket Analysis'!A:A,'SuperMarket Analysis'!N:N)</f>
        <v>164.52</v>
      </c>
      <c r="K11" s="12">
        <f>_xlfn.XLOOKUP(Input_Table[[#This Row],[INVOICE ID]],'SuperMarket Analysis'!A:A,'SuperMarket Analysis'!J:J)</f>
        <v>172.74600000000001</v>
      </c>
      <c r="L11" s="6">
        <f>DAY(Input_Table[[#This Row],[DATE]])</f>
        <v>15</v>
      </c>
      <c r="M11" s="6" t="str">
        <f>TEXT(Input_Table[[#This Row],[DATE]],"mmmm")</f>
        <v>January</v>
      </c>
      <c r="N11" s="6">
        <f>YEAR(Input_Table[[#This Row],[DATE]])</f>
        <v>2019</v>
      </c>
    </row>
    <row r="12" spans="1:14" x14ac:dyDescent="0.3">
      <c r="A12" s="2">
        <f>_xlfn.XLOOKUP(B12,SuperMarket_Analysis[Invoice ID],SuperMarket_Analysis[Date])</f>
        <v>43486</v>
      </c>
      <c r="B12" s="6" t="s">
        <v>41</v>
      </c>
      <c r="C12" s="7">
        <f>_xlfn.XLOOKUP(B12,SuperMarket_Analysis[Invoice ID],SuperMarket_Analysis[Quantity])</f>
        <v>4</v>
      </c>
      <c r="D12" s="6" t="str">
        <f>_xlfn.XLOOKUP('Input data'!B12,'SuperMarket Analysis'!A:A,'SuperMarket Analysis'!F:F)</f>
        <v>Fashion accessories</v>
      </c>
      <c r="E12" s="6" t="str">
        <f>_xlfn.XLOOKUP(B12,'SuperMarket Analysis'!A:A,'SuperMarket Analysis'!M:M)</f>
        <v>Ewallet</v>
      </c>
      <c r="F12" s="6">
        <f>0.05*Input_Table[[#This Row],[TOTAL C.O.G.S]]</f>
        <v>2.8960000000000004</v>
      </c>
      <c r="G12" s="6" t="str">
        <f>_xlfn.XLOOKUP(Input_Table[[#This Row],[INVOICE ID]],'SuperMarket Analysis'!A:A,'SuperMarket Analysis'!B:B)</f>
        <v>Cairo</v>
      </c>
      <c r="H12" s="6" t="str">
        <f>_xlfn.XLOOKUP(Input_Table[[#This Row],[INVOICE ID]],'SuperMarket Analysis'!A:A,'SuperMarket Analysis'!F:F)</f>
        <v>Fashion accessories</v>
      </c>
      <c r="I12" s="12">
        <f>_xlfn.XLOOKUP(Input_Table[[#This Row],[INVOICE ID]],'SuperMarket Analysis'!A:A,'SuperMarket Analysis'!G:G)</f>
        <v>14.48</v>
      </c>
      <c r="J12" s="12">
        <f>_xlfn.XLOOKUP(Input_Table[[#This Row],[INVOICE ID]],'SuperMarket Analysis'!A:A,'SuperMarket Analysis'!N:N)</f>
        <v>57.92</v>
      </c>
      <c r="K12" s="12">
        <f>_xlfn.XLOOKUP(Input_Table[[#This Row],[INVOICE ID]],'SuperMarket Analysis'!A:A,'SuperMarket Analysis'!J:J)</f>
        <v>60.816000000000003</v>
      </c>
      <c r="L12" s="6">
        <f>DAY(Input_Table[[#This Row],[DATE]])</f>
        <v>21</v>
      </c>
      <c r="M12" s="6" t="str">
        <f>TEXT(Input_Table[[#This Row],[DATE]],"mmmm")</f>
        <v>January</v>
      </c>
      <c r="N12" s="6">
        <f>YEAR(Input_Table[[#This Row],[DATE]])</f>
        <v>2019</v>
      </c>
    </row>
    <row r="13" spans="1:14" x14ac:dyDescent="0.3">
      <c r="A13" s="2">
        <f>_xlfn.XLOOKUP(B13,SuperMarket_Analysis[Invoice ID],SuperMarket_Analysis[Date])</f>
        <v>43521</v>
      </c>
      <c r="B13" s="6" t="s">
        <v>43</v>
      </c>
      <c r="C13" s="7">
        <f>_xlfn.XLOOKUP(B13,SuperMarket_Analysis[Invoice ID],SuperMarket_Analysis[Quantity])</f>
        <v>4</v>
      </c>
      <c r="D13" s="6" t="str">
        <f>_xlfn.XLOOKUP('Input data'!B13,'SuperMarket Analysis'!A:A,'SuperMarket Analysis'!F:F)</f>
        <v>Electronic accessories</v>
      </c>
      <c r="E13" s="6" t="str">
        <f>_xlfn.XLOOKUP(B13,'SuperMarket Analysis'!A:A,'SuperMarket Analysis'!M:M)</f>
        <v>Cash</v>
      </c>
      <c r="F13" s="6">
        <f>0.05*Input_Table[[#This Row],[TOTAL C.O.G.S]]</f>
        <v>5.1020000000000003</v>
      </c>
      <c r="G13" s="6" t="str">
        <f>_xlfn.XLOOKUP(Input_Table[[#This Row],[INVOICE ID]],'SuperMarket Analysis'!A:A,'SuperMarket Analysis'!B:B)</f>
        <v>Cairo</v>
      </c>
      <c r="H13" s="6" t="str">
        <f>_xlfn.XLOOKUP(Input_Table[[#This Row],[INVOICE ID]],'SuperMarket Analysis'!A:A,'SuperMarket Analysis'!F:F)</f>
        <v>Electronic accessories</v>
      </c>
      <c r="I13" s="12">
        <f>_xlfn.XLOOKUP(Input_Table[[#This Row],[INVOICE ID]],'SuperMarket Analysis'!A:A,'SuperMarket Analysis'!G:G)</f>
        <v>25.51</v>
      </c>
      <c r="J13" s="12">
        <f>_xlfn.XLOOKUP(Input_Table[[#This Row],[INVOICE ID]],'SuperMarket Analysis'!A:A,'SuperMarket Analysis'!N:N)</f>
        <v>102.04</v>
      </c>
      <c r="K13" s="12">
        <f>_xlfn.XLOOKUP(Input_Table[[#This Row],[INVOICE ID]],'SuperMarket Analysis'!A:A,'SuperMarket Analysis'!J:J)</f>
        <v>107.142</v>
      </c>
      <c r="L13" s="6">
        <f>DAY(Input_Table[[#This Row],[DATE]])</f>
        <v>25</v>
      </c>
      <c r="M13" s="6" t="str">
        <f>TEXT(Input_Table[[#This Row],[DATE]],"mmmm")</f>
        <v>February</v>
      </c>
      <c r="N13" s="6">
        <f>YEAR(Input_Table[[#This Row],[DATE]])</f>
        <v>2019</v>
      </c>
    </row>
    <row r="14" spans="1:14" x14ac:dyDescent="0.3">
      <c r="A14" s="2">
        <f>_xlfn.XLOOKUP(B14,SuperMarket_Analysis[Invoice ID],SuperMarket_Analysis[Date])</f>
        <v>43539</v>
      </c>
      <c r="B14" s="6" t="s">
        <v>44</v>
      </c>
      <c r="C14" s="7">
        <f>_xlfn.XLOOKUP(B14,SuperMarket_Analysis[Invoice ID],SuperMarket_Analysis[Quantity])</f>
        <v>5</v>
      </c>
      <c r="D14" s="6" t="str">
        <f>_xlfn.XLOOKUP('Input data'!B14,'SuperMarket Analysis'!A:A,'SuperMarket Analysis'!F:F)</f>
        <v>Electronic accessories</v>
      </c>
      <c r="E14" s="6" t="str">
        <f>_xlfn.XLOOKUP(B14,'SuperMarket Analysis'!A:A,'SuperMarket Analysis'!M:M)</f>
        <v>Ewallet</v>
      </c>
      <c r="F14" s="6">
        <f>0.05*Input_Table[[#This Row],[TOTAL C.O.G.S]]</f>
        <v>11.737500000000001</v>
      </c>
      <c r="G14" s="6" t="str">
        <f>_xlfn.XLOOKUP(Input_Table[[#This Row],[INVOICE ID]],'SuperMarket Analysis'!A:A,'SuperMarket Analysis'!B:B)</f>
        <v>Alex</v>
      </c>
      <c r="H14" s="6" t="str">
        <f>_xlfn.XLOOKUP(Input_Table[[#This Row],[INVOICE ID]],'SuperMarket Analysis'!A:A,'SuperMarket Analysis'!F:F)</f>
        <v>Electronic accessories</v>
      </c>
      <c r="I14" s="12">
        <f>_xlfn.XLOOKUP(Input_Table[[#This Row],[INVOICE ID]],'SuperMarket Analysis'!A:A,'SuperMarket Analysis'!G:G)</f>
        <v>46.95</v>
      </c>
      <c r="J14" s="12">
        <f>_xlfn.XLOOKUP(Input_Table[[#This Row],[INVOICE ID]],'SuperMarket Analysis'!A:A,'SuperMarket Analysis'!N:N)</f>
        <v>234.75</v>
      </c>
      <c r="K14" s="12">
        <f>_xlfn.XLOOKUP(Input_Table[[#This Row],[INVOICE ID]],'SuperMarket Analysis'!A:A,'SuperMarket Analysis'!J:J)</f>
        <v>246.48750000000001</v>
      </c>
      <c r="L14" s="6">
        <f>DAY(Input_Table[[#This Row],[DATE]])</f>
        <v>15</v>
      </c>
      <c r="M14" s="6" t="str">
        <f>TEXT(Input_Table[[#This Row],[DATE]],"mmmm")</f>
        <v>March</v>
      </c>
      <c r="N14" s="6">
        <f>YEAR(Input_Table[[#This Row],[DATE]])</f>
        <v>2019</v>
      </c>
    </row>
    <row r="15" spans="1:14" x14ac:dyDescent="0.3">
      <c r="A15" s="2">
        <f>_xlfn.XLOOKUP(B15,SuperMarket_Analysis[Invoice ID],SuperMarket_Analysis[Date])</f>
        <v>43513</v>
      </c>
      <c r="B15" s="6" t="s">
        <v>45</v>
      </c>
      <c r="C15" s="7">
        <f>_xlfn.XLOOKUP(B15,SuperMarket_Analysis[Invoice ID],SuperMarket_Analysis[Quantity])</f>
        <v>10</v>
      </c>
      <c r="D15" s="6" t="str">
        <f>_xlfn.XLOOKUP('Input data'!B15,'SuperMarket Analysis'!A:A,'SuperMarket Analysis'!F:F)</f>
        <v>Food and beverages</v>
      </c>
      <c r="E15" s="6" t="str">
        <f>_xlfn.XLOOKUP(B15,'SuperMarket Analysis'!A:A,'SuperMarket Analysis'!M:M)</f>
        <v>Ewallet</v>
      </c>
      <c r="F15" s="6">
        <f>0.05*Input_Table[[#This Row],[TOTAL C.O.G.S]]</f>
        <v>21.594999999999999</v>
      </c>
      <c r="G15" s="6" t="str">
        <f>_xlfn.XLOOKUP(Input_Table[[#This Row],[INVOICE ID]],'SuperMarket Analysis'!A:A,'SuperMarket Analysis'!B:B)</f>
        <v>Alex</v>
      </c>
      <c r="H15" s="6" t="str">
        <f>_xlfn.XLOOKUP(Input_Table[[#This Row],[INVOICE ID]],'SuperMarket Analysis'!A:A,'SuperMarket Analysis'!F:F)</f>
        <v>Food and beverages</v>
      </c>
      <c r="I15" s="12">
        <f>_xlfn.XLOOKUP(Input_Table[[#This Row],[INVOICE ID]],'SuperMarket Analysis'!A:A,'SuperMarket Analysis'!G:G)</f>
        <v>43.19</v>
      </c>
      <c r="J15" s="12">
        <f>_xlfn.XLOOKUP(Input_Table[[#This Row],[INVOICE ID]],'SuperMarket Analysis'!A:A,'SuperMarket Analysis'!N:N)</f>
        <v>431.9</v>
      </c>
      <c r="K15" s="12">
        <f>_xlfn.XLOOKUP(Input_Table[[#This Row],[INVOICE ID]],'SuperMarket Analysis'!A:A,'SuperMarket Analysis'!J:J)</f>
        <v>453.495</v>
      </c>
      <c r="L15" s="6">
        <f>DAY(Input_Table[[#This Row],[DATE]])</f>
        <v>17</v>
      </c>
      <c r="M15" s="6" t="str">
        <f>TEXT(Input_Table[[#This Row],[DATE]],"mmmm")</f>
        <v>February</v>
      </c>
      <c r="N15" s="6">
        <f>YEAR(Input_Table[[#This Row],[DATE]])</f>
        <v>2019</v>
      </c>
    </row>
    <row r="16" spans="1:14" x14ac:dyDescent="0.3">
      <c r="A16" s="2">
        <f>_xlfn.XLOOKUP(B16,SuperMarket_Analysis[Invoice ID],SuperMarket_Analysis[Date])</f>
        <v>43546</v>
      </c>
      <c r="B16" s="6" t="s">
        <v>46</v>
      </c>
      <c r="C16" s="7">
        <f>_xlfn.XLOOKUP(B16,SuperMarket_Analysis[Invoice ID],SuperMarket_Analysis[Quantity])</f>
        <v>10</v>
      </c>
      <c r="D16" s="6" t="str">
        <f>_xlfn.XLOOKUP('Input data'!B16,'SuperMarket Analysis'!A:A,'SuperMarket Analysis'!F:F)</f>
        <v>Health and beauty</v>
      </c>
      <c r="E16" s="6" t="str">
        <f>_xlfn.XLOOKUP(B16,'SuperMarket Analysis'!A:A,'SuperMarket Analysis'!M:M)</f>
        <v>Cash</v>
      </c>
      <c r="F16" s="6">
        <f>0.05*Input_Table[[#This Row],[TOTAL C.O.G.S]]</f>
        <v>35.69</v>
      </c>
      <c r="G16" s="6" t="str">
        <f>_xlfn.XLOOKUP(Input_Table[[#This Row],[INVOICE ID]],'SuperMarket Analysis'!A:A,'SuperMarket Analysis'!B:B)</f>
        <v>Alex</v>
      </c>
      <c r="H16" s="6" t="str">
        <f>_xlfn.XLOOKUP(Input_Table[[#This Row],[INVOICE ID]],'SuperMarket Analysis'!A:A,'SuperMarket Analysis'!F:F)</f>
        <v>Health and beauty</v>
      </c>
      <c r="I16" s="12">
        <f>_xlfn.XLOOKUP(Input_Table[[#This Row],[INVOICE ID]],'SuperMarket Analysis'!A:A,'SuperMarket Analysis'!G:G)</f>
        <v>71.38</v>
      </c>
      <c r="J16" s="12">
        <f>_xlfn.XLOOKUP(Input_Table[[#This Row],[INVOICE ID]],'SuperMarket Analysis'!A:A,'SuperMarket Analysis'!N:N)</f>
        <v>713.8</v>
      </c>
      <c r="K16" s="12">
        <f>_xlfn.XLOOKUP(Input_Table[[#This Row],[INVOICE ID]],'SuperMarket Analysis'!A:A,'SuperMarket Analysis'!J:J)</f>
        <v>749.49</v>
      </c>
      <c r="L16" s="6">
        <f>DAY(Input_Table[[#This Row],[DATE]])</f>
        <v>22</v>
      </c>
      <c r="M16" s="6" t="str">
        <f>TEXT(Input_Table[[#This Row],[DATE]],"mmmm")</f>
        <v>March</v>
      </c>
      <c r="N16" s="6">
        <f>YEAR(Input_Table[[#This Row],[DATE]])</f>
        <v>2019</v>
      </c>
    </row>
    <row r="17" spans="1:14" x14ac:dyDescent="0.3">
      <c r="A17" s="2">
        <f>_xlfn.XLOOKUP(B17,SuperMarket_Analysis[Invoice ID],SuperMarket_Analysis[Date])</f>
        <v>43490</v>
      </c>
      <c r="B17" s="6" t="s">
        <v>47</v>
      </c>
      <c r="C17" s="7">
        <f>_xlfn.XLOOKUP(B17,SuperMarket_Analysis[Invoice ID],SuperMarket_Analysis[Quantity])</f>
        <v>6</v>
      </c>
      <c r="D17" s="6" t="str">
        <f>_xlfn.XLOOKUP('Input data'!B17,'SuperMarket Analysis'!A:A,'SuperMarket Analysis'!F:F)</f>
        <v>Sports and travel</v>
      </c>
      <c r="E17" s="6" t="str">
        <f>_xlfn.XLOOKUP(B17,'SuperMarket Analysis'!A:A,'SuperMarket Analysis'!M:M)</f>
        <v>Cash</v>
      </c>
      <c r="F17" s="6">
        <f>0.05*Input_Table[[#This Row],[TOTAL C.O.G.S]]</f>
        <v>28.116000000000003</v>
      </c>
      <c r="G17" s="6" t="str">
        <f>_xlfn.XLOOKUP(Input_Table[[#This Row],[INVOICE ID]],'SuperMarket Analysis'!A:A,'SuperMarket Analysis'!B:B)</f>
        <v>Cairo</v>
      </c>
      <c r="H17" s="6" t="str">
        <f>_xlfn.XLOOKUP(Input_Table[[#This Row],[INVOICE ID]],'SuperMarket Analysis'!A:A,'SuperMarket Analysis'!F:F)</f>
        <v>Sports and travel</v>
      </c>
      <c r="I17" s="12">
        <f>_xlfn.XLOOKUP(Input_Table[[#This Row],[INVOICE ID]],'SuperMarket Analysis'!A:A,'SuperMarket Analysis'!G:G)</f>
        <v>93.72</v>
      </c>
      <c r="J17" s="12">
        <f>_xlfn.XLOOKUP(Input_Table[[#This Row],[INVOICE ID]],'SuperMarket Analysis'!A:A,'SuperMarket Analysis'!N:N)</f>
        <v>562.32000000000005</v>
      </c>
      <c r="K17" s="12">
        <f>_xlfn.XLOOKUP(Input_Table[[#This Row],[INVOICE ID]],'SuperMarket Analysis'!A:A,'SuperMarket Analysis'!J:J)</f>
        <v>590.43600000000004</v>
      </c>
      <c r="L17" s="6">
        <f>DAY(Input_Table[[#This Row],[DATE]])</f>
        <v>25</v>
      </c>
      <c r="M17" s="6" t="str">
        <f>TEXT(Input_Table[[#This Row],[DATE]],"mmmm")</f>
        <v>January</v>
      </c>
      <c r="N17" s="6">
        <f>YEAR(Input_Table[[#This Row],[DATE]])</f>
        <v>2019</v>
      </c>
    </row>
    <row r="18" spans="1:14" x14ac:dyDescent="0.3">
      <c r="A18" s="2">
        <f>_xlfn.XLOOKUP(B18,SuperMarket_Analysis[Invoice ID],SuperMarket_Analysis[Date])</f>
        <v>43539</v>
      </c>
      <c r="B18" s="6" t="s">
        <v>48</v>
      </c>
      <c r="C18" s="7">
        <f>_xlfn.XLOOKUP(B18,SuperMarket_Analysis[Invoice ID],SuperMarket_Analysis[Quantity])</f>
        <v>7</v>
      </c>
      <c r="D18" s="6" t="str">
        <f>_xlfn.XLOOKUP('Input data'!B18,'SuperMarket Analysis'!A:A,'SuperMarket Analysis'!F:F)</f>
        <v>Health and beauty</v>
      </c>
      <c r="E18" s="6" t="str">
        <f>_xlfn.XLOOKUP(B18,'SuperMarket Analysis'!A:A,'SuperMarket Analysis'!M:M)</f>
        <v>Credit card</v>
      </c>
      <c r="F18" s="6">
        <f>0.05*Input_Table[[#This Row],[TOTAL C.O.G.S]]</f>
        <v>24.125500000000002</v>
      </c>
      <c r="G18" s="6" t="str">
        <f>_xlfn.XLOOKUP(Input_Table[[#This Row],[INVOICE ID]],'SuperMarket Analysis'!A:A,'SuperMarket Analysis'!B:B)</f>
        <v>Alex</v>
      </c>
      <c r="H18" s="6" t="str">
        <f>_xlfn.XLOOKUP(Input_Table[[#This Row],[INVOICE ID]],'SuperMarket Analysis'!A:A,'SuperMarket Analysis'!F:F)</f>
        <v>Health and beauty</v>
      </c>
      <c r="I18" s="12">
        <f>_xlfn.XLOOKUP(Input_Table[[#This Row],[INVOICE ID]],'SuperMarket Analysis'!A:A,'SuperMarket Analysis'!G:G)</f>
        <v>68.930000000000007</v>
      </c>
      <c r="J18" s="12">
        <f>_xlfn.XLOOKUP(Input_Table[[#This Row],[INVOICE ID]],'SuperMarket Analysis'!A:A,'SuperMarket Analysis'!N:N)</f>
        <v>482.51</v>
      </c>
      <c r="K18" s="12">
        <f>_xlfn.XLOOKUP(Input_Table[[#This Row],[INVOICE ID]],'SuperMarket Analysis'!A:A,'SuperMarket Analysis'!J:J)</f>
        <v>506.63549999999998</v>
      </c>
      <c r="L18" s="6">
        <f>DAY(Input_Table[[#This Row],[DATE]])</f>
        <v>15</v>
      </c>
      <c r="M18" s="6" t="str">
        <f>TEXT(Input_Table[[#This Row],[DATE]],"mmmm")</f>
        <v>March</v>
      </c>
      <c r="N18" s="6">
        <f>YEAR(Input_Table[[#This Row],[DATE]])</f>
        <v>2019</v>
      </c>
    </row>
    <row r="19" spans="1:14" x14ac:dyDescent="0.3">
      <c r="A19" s="2">
        <f>_xlfn.XLOOKUP(B19,SuperMarket_Analysis[Invoice ID],SuperMarket_Analysis[Date])</f>
        <v>43521</v>
      </c>
      <c r="B19" s="6" t="s">
        <v>49</v>
      </c>
      <c r="C19" s="7">
        <f>_xlfn.XLOOKUP(B19,SuperMarket_Analysis[Invoice ID],SuperMarket_Analysis[Quantity])</f>
        <v>6</v>
      </c>
      <c r="D19" s="6" t="str">
        <f>_xlfn.XLOOKUP('Input data'!B19,'SuperMarket Analysis'!A:A,'SuperMarket Analysis'!F:F)</f>
        <v>Sports and travel</v>
      </c>
      <c r="E19" s="6" t="str">
        <f>_xlfn.XLOOKUP(B19,'SuperMarket Analysis'!A:A,'SuperMarket Analysis'!M:M)</f>
        <v>Credit card</v>
      </c>
      <c r="F19" s="6">
        <f>0.05*Input_Table[[#This Row],[TOTAL C.O.G.S]]</f>
        <v>21.783000000000001</v>
      </c>
      <c r="G19" s="6" t="str">
        <f>_xlfn.XLOOKUP(Input_Table[[#This Row],[INVOICE ID]],'SuperMarket Analysis'!A:A,'SuperMarket Analysis'!B:B)</f>
        <v>Alex</v>
      </c>
      <c r="H19" s="6" t="str">
        <f>_xlfn.XLOOKUP(Input_Table[[#This Row],[INVOICE ID]],'SuperMarket Analysis'!A:A,'SuperMarket Analysis'!F:F)</f>
        <v>Sports and travel</v>
      </c>
      <c r="I19" s="12">
        <f>_xlfn.XLOOKUP(Input_Table[[#This Row],[INVOICE ID]],'SuperMarket Analysis'!A:A,'SuperMarket Analysis'!G:G)</f>
        <v>72.61</v>
      </c>
      <c r="J19" s="12">
        <f>_xlfn.XLOOKUP(Input_Table[[#This Row],[INVOICE ID]],'SuperMarket Analysis'!A:A,'SuperMarket Analysis'!N:N)</f>
        <v>435.66</v>
      </c>
      <c r="K19" s="12">
        <f>_xlfn.XLOOKUP(Input_Table[[#This Row],[INVOICE ID]],'SuperMarket Analysis'!A:A,'SuperMarket Analysis'!J:J)</f>
        <v>457.44299999999998</v>
      </c>
      <c r="L19" s="6">
        <f>DAY(Input_Table[[#This Row],[DATE]])</f>
        <v>25</v>
      </c>
      <c r="M19" s="6" t="str">
        <f>TEXT(Input_Table[[#This Row],[DATE]],"mmmm")</f>
        <v>February</v>
      </c>
      <c r="N19" s="6">
        <f>YEAR(Input_Table[[#This Row],[DATE]])</f>
        <v>2019</v>
      </c>
    </row>
    <row r="20" spans="1:14" x14ac:dyDescent="0.3">
      <c r="A20" s="2">
        <f>_xlfn.XLOOKUP(B20,SuperMarket_Analysis[Invoice ID],SuperMarket_Analysis[Date])</f>
        <v>43493</v>
      </c>
      <c r="B20" s="6" t="s">
        <v>50</v>
      </c>
      <c r="C20" s="7">
        <f>_xlfn.XLOOKUP(B20,SuperMarket_Analysis[Invoice ID],SuperMarket_Analysis[Quantity])</f>
        <v>3</v>
      </c>
      <c r="D20" s="6" t="str">
        <f>_xlfn.XLOOKUP('Input data'!B20,'SuperMarket Analysis'!A:A,'SuperMarket Analysis'!F:F)</f>
        <v>Food and beverages</v>
      </c>
      <c r="E20" s="6" t="str">
        <f>_xlfn.XLOOKUP(B20,'SuperMarket Analysis'!A:A,'SuperMarket Analysis'!M:M)</f>
        <v>Credit card</v>
      </c>
      <c r="F20" s="6">
        <f>0.05*Input_Table[[#This Row],[TOTAL C.O.G.S]]</f>
        <v>8.2004999999999999</v>
      </c>
      <c r="G20" s="6" t="str">
        <f>_xlfn.XLOOKUP(Input_Table[[#This Row],[INVOICE ID]],'SuperMarket Analysis'!A:A,'SuperMarket Analysis'!B:B)</f>
        <v>Alex</v>
      </c>
      <c r="H20" s="6" t="str">
        <f>_xlfn.XLOOKUP(Input_Table[[#This Row],[INVOICE ID]],'SuperMarket Analysis'!A:A,'SuperMarket Analysis'!F:F)</f>
        <v>Food and beverages</v>
      </c>
      <c r="I20" s="12">
        <f>_xlfn.XLOOKUP(Input_Table[[#This Row],[INVOICE ID]],'SuperMarket Analysis'!A:A,'SuperMarket Analysis'!G:G)</f>
        <v>54.67</v>
      </c>
      <c r="J20" s="12">
        <f>_xlfn.XLOOKUP(Input_Table[[#This Row],[INVOICE ID]],'SuperMarket Analysis'!A:A,'SuperMarket Analysis'!N:N)</f>
        <v>164.01</v>
      </c>
      <c r="K20" s="12">
        <f>_xlfn.XLOOKUP(Input_Table[[#This Row],[INVOICE ID]],'SuperMarket Analysis'!A:A,'SuperMarket Analysis'!J:J)</f>
        <v>172.2105</v>
      </c>
      <c r="L20" s="6">
        <f>DAY(Input_Table[[#This Row],[DATE]])</f>
        <v>28</v>
      </c>
      <c r="M20" s="6" t="str">
        <f>TEXT(Input_Table[[#This Row],[DATE]],"mmmm")</f>
        <v>January</v>
      </c>
      <c r="N20" s="6">
        <f>YEAR(Input_Table[[#This Row],[DATE]])</f>
        <v>2019</v>
      </c>
    </row>
    <row r="21" spans="1:14" x14ac:dyDescent="0.3">
      <c r="A21" s="2">
        <f>_xlfn.XLOOKUP(B21,SuperMarket_Analysis[Invoice ID],SuperMarket_Analysis[Date])</f>
        <v>43539</v>
      </c>
      <c r="B21" s="6" t="s">
        <v>51</v>
      </c>
      <c r="C21" s="7">
        <f>_xlfn.XLOOKUP(B21,SuperMarket_Analysis[Invoice ID],SuperMarket_Analysis[Quantity])</f>
        <v>2</v>
      </c>
      <c r="D21" s="6" t="str">
        <f>_xlfn.XLOOKUP('Input data'!B21,'SuperMarket Analysis'!A:A,'SuperMarket Analysis'!F:F)</f>
        <v>Home and lifestyle</v>
      </c>
      <c r="E21" s="6" t="str">
        <f>_xlfn.XLOOKUP(B21,'SuperMarket Analysis'!A:A,'SuperMarket Analysis'!M:M)</f>
        <v>Ewallet</v>
      </c>
      <c r="F21" s="6">
        <f>0.05*Input_Table[[#This Row],[TOTAL C.O.G.S]]</f>
        <v>4.03</v>
      </c>
      <c r="G21" s="6" t="str">
        <f>_xlfn.XLOOKUP(Input_Table[[#This Row],[INVOICE ID]],'SuperMarket Analysis'!A:A,'SuperMarket Analysis'!B:B)</f>
        <v>Cairo</v>
      </c>
      <c r="H21" s="6" t="str">
        <f>_xlfn.XLOOKUP(Input_Table[[#This Row],[INVOICE ID]],'SuperMarket Analysis'!A:A,'SuperMarket Analysis'!F:F)</f>
        <v>Home and lifestyle</v>
      </c>
      <c r="I21" s="12">
        <f>_xlfn.XLOOKUP(Input_Table[[#This Row],[INVOICE ID]],'SuperMarket Analysis'!A:A,'SuperMarket Analysis'!G:G)</f>
        <v>40.299999999999997</v>
      </c>
      <c r="J21" s="12">
        <f>_xlfn.XLOOKUP(Input_Table[[#This Row],[INVOICE ID]],'SuperMarket Analysis'!A:A,'SuperMarket Analysis'!N:N)</f>
        <v>80.599999999999994</v>
      </c>
      <c r="K21" s="12">
        <f>_xlfn.XLOOKUP(Input_Table[[#This Row],[INVOICE ID]],'SuperMarket Analysis'!A:A,'SuperMarket Analysis'!J:J)</f>
        <v>84.63</v>
      </c>
      <c r="L21" s="6">
        <f>DAY(Input_Table[[#This Row],[DATE]])</f>
        <v>15</v>
      </c>
      <c r="M21" s="6" t="str">
        <f>TEXT(Input_Table[[#This Row],[DATE]],"mmmm")</f>
        <v>March</v>
      </c>
      <c r="N21" s="6">
        <f>YEAR(Input_Table[[#This Row],[DATE]])</f>
        <v>2019</v>
      </c>
    </row>
    <row r="22" spans="1:14" x14ac:dyDescent="0.3">
      <c r="A22" s="2">
        <f>_xlfn.XLOOKUP(B22,SuperMarket_Analysis[Invoice ID],SuperMarket_Analysis[Date])</f>
        <v>43480</v>
      </c>
      <c r="B22" s="6" t="s">
        <v>52</v>
      </c>
      <c r="C22" s="7">
        <f>_xlfn.XLOOKUP(B22,SuperMarket_Analysis[Invoice ID],SuperMarket_Analysis[Quantity])</f>
        <v>5</v>
      </c>
      <c r="D22" s="6" t="str">
        <f>_xlfn.XLOOKUP('Input data'!B22,'SuperMarket Analysis'!A:A,'SuperMarket Analysis'!F:F)</f>
        <v>Electronic accessories</v>
      </c>
      <c r="E22" s="6" t="str">
        <f>_xlfn.XLOOKUP(B22,'SuperMarket Analysis'!A:A,'SuperMarket Analysis'!M:M)</f>
        <v>Ewallet</v>
      </c>
      <c r="F22" s="6">
        <f>0.05*Input_Table[[#This Row],[TOTAL C.O.G.S]]</f>
        <v>21.51</v>
      </c>
      <c r="G22" s="6" t="str">
        <f>_xlfn.XLOOKUP(Input_Table[[#This Row],[INVOICE ID]],'SuperMarket Analysis'!A:A,'SuperMarket Analysis'!B:B)</f>
        <v>Giza</v>
      </c>
      <c r="H22" s="6" t="str">
        <f>_xlfn.XLOOKUP(Input_Table[[#This Row],[INVOICE ID]],'SuperMarket Analysis'!A:A,'SuperMarket Analysis'!F:F)</f>
        <v>Electronic accessories</v>
      </c>
      <c r="I22" s="12">
        <f>_xlfn.XLOOKUP(Input_Table[[#This Row],[INVOICE ID]],'SuperMarket Analysis'!A:A,'SuperMarket Analysis'!G:G)</f>
        <v>86.04</v>
      </c>
      <c r="J22" s="12">
        <f>_xlfn.XLOOKUP(Input_Table[[#This Row],[INVOICE ID]],'SuperMarket Analysis'!A:A,'SuperMarket Analysis'!N:N)</f>
        <v>430.2</v>
      </c>
      <c r="K22" s="12">
        <f>_xlfn.XLOOKUP(Input_Table[[#This Row],[INVOICE ID]],'SuperMarket Analysis'!A:A,'SuperMarket Analysis'!J:J)</f>
        <v>451.71</v>
      </c>
      <c r="L22" s="6">
        <f>DAY(Input_Table[[#This Row],[DATE]])</f>
        <v>15</v>
      </c>
      <c r="M22" s="6" t="str">
        <f>TEXT(Input_Table[[#This Row],[DATE]],"mmmm")</f>
        <v>January</v>
      </c>
      <c r="N22" s="6">
        <f>YEAR(Input_Table[[#This Row],[DATE]])</f>
        <v>2019</v>
      </c>
    </row>
    <row r="23" spans="1:14" x14ac:dyDescent="0.3">
      <c r="A23" s="2">
        <f>_xlfn.XLOOKUP(B23,SuperMarket_Analysis[Invoice ID],SuperMarket_Analysis[Date])</f>
        <v>43547</v>
      </c>
      <c r="B23" s="6" t="s">
        <v>53</v>
      </c>
      <c r="C23" s="7">
        <f>_xlfn.XLOOKUP(B23,SuperMarket_Analysis[Invoice ID],SuperMarket_Analysis[Quantity])</f>
        <v>3</v>
      </c>
      <c r="D23" s="6" t="str">
        <f>_xlfn.XLOOKUP('Input data'!B23,'SuperMarket Analysis'!A:A,'SuperMarket Analysis'!F:F)</f>
        <v>Health and beauty</v>
      </c>
      <c r="E23" s="6" t="str">
        <f>_xlfn.XLOOKUP(B23,'SuperMarket Analysis'!A:A,'SuperMarket Analysis'!M:M)</f>
        <v>Ewallet</v>
      </c>
      <c r="F23" s="6">
        <f>0.05*Input_Table[[#This Row],[TOTAL C.O.G.S]]</f>
        <v>13.197000000000001</v>
      </c>
      <c r="G23" s="6" t="str">
        <f>_xlfn.XLOOKUP(Input_Table[[#This Row],[INVOICE ID]],'SuperMarket Analysis'!A:A,'SuperMarket Analysis'!B:B)</f>
        <v>Cairo</v>
      </c>
      <c r="H23" s="6" t="str">
        <f>_xlfn.XLOOKUP(Input_Table[[#This Row],[INVOICE ID]],'SuperMarket Analysis'!A:A,'SuperMarket Analysis'!F:F)</f>
        <v>Health and beauty</v>
      </c>
      <c r="I23" s="12">
        <f>_xlfn.XLOOKUP(Input_Table[[#This Row],[INVOICE ID]],'SuperMarket Analysis'!A:A,'SuperMarket Analysis'!G:G)</f>
        <v>87.98</v>
      </c>
      <c r="J23" s="12">
        <f>_xlfn.XLOOKUP(Input_Table[[#This Row],[INVOICE ID]],'SuperMarket Analysis'!A:A,'SuperMarket Analysis'!N:N)</f>
        <v>263.94</v>
      </c>
      <c r="K23" s="12">
        <f>_xlfn.XLOOKUP(Input_Table[[#This Row],[INVOICE ID]],'SuperMarket Analysis'!A:A,'SuperMarket Analysis'!J:J)</f>
        <v>277.137</v>
      </c>
      <c r="L23" s="6">
        <f>DAY(Input_Table[[#This Row],[DATE]])</f>
        <v>23</v>
      </c>
      <c r="M23" s="6" t="str">
        <f>TEXT(Input_Table[[#This Row],[DATE]],"mmmm")</f>
        <v>March</v>
      </c>
      <c r="N23" s="6">
        <f>YEAR(Input_Table[[#This Row],[DATE]])</f>
        <v>2019</v>
      </c>
    </row>
    <row r="24" spans="1:14" x14ac:dyDescent="0.3">
      <c r="A24" s="2">
        <f>_xlfn.XLOOKUP(B24,SuperMarket_Analysis[Invoice ID],SuperMarket_Analysis[Date])</f>
        <v>43482</v>
      </c>
      <c r="B24" s="6" t="s">
        <v>54</v>
      </c>
      <c r="C24" s="7">
        <f>_xlfn.XLOOKUP(B24,SuperMarket_Analysis[Invoice ID],SuperMarket_Analysis[Quantity])</f>
        <v>2</v>
      </c>
      <c r="D24" s="6" t="str">
        <f>_xlfn.XLOOKUP('Input data'!B24,'SuperMarket Analysis'!A:A,'SuperMarket Analysis'!F:F)</f>
        <v>Home and lifestyle</v>
      </c>
      <c r="E24" s="6" t="str">
        <f>_xlfn.XLOOKUP(B24,'SuperMarket Analysis'!A:A,'SuperMarket Analysis'!M:M)</f>
        <v>Credit card</v>
      </c>
      <c r="F24" s="6">
        <f>0.05*Input_Table[[#This Row],[TOTAL C.O.G.S]]</f>
        <v>3.3200000000000003</v>
      </c>
      <c r="G24" s="6" t="str">
        <f>_xlfn.XLOOKUP(Input_Table[[#This Row],[INVOICE ID]],'SuperMarket Analysis'!A:A,'SuperMarket Analysis'!B:B)</f>
        <v>Cairo</v>
      </c>
      <c r="H24" s="6" t="str">
        <f>_xlfn.XLOOKUP(Input_Table[[#This Row],[INVOICE ID]],'SuperMarket Analysis'!A:A,'SuperMarket Analysis'!F:F)</f>
        <v>Home and lifestyle</v>
      </c>
      <c r="I24" s="12">
        <f>_xlfn.XLOOKUP(Input_Table[[#This Row],[INVOICE ID]],'SuperMarket Analysis'!A:A,'SuperMarket Analysis'!G:G)</f>
        <v>33.200000000000003</v>
      </c>
      <c r="J24" s="12">
        <f>_xlfn.XLOOKUP(Input_Table[[#This Row],[INVOICE ID]],'SuperMarket Analysis'!A:A,'SuperMarket Analysis'!N:N)</f>
        <v>66.400000000000006</v>
      </c>
      <c r="K24" s="12">
        <f>_xlfn.XLOOKUP(Input_Table[[#This Row],[INVOICE ID]],'SuperMarket Analysis'!A:A,'SuperMarket Analysis'!J:J)</f>
        <v>69.72</v>
      </c>
      <c r="L24" s="6">
        <f>DAY(Input_Table[[#This Row],[DATE]])</f>
        <v>17</v>
      </c>
      <c r="M24" s="6" t="str">
        <f>TEXT(Input_Table[[#This Row],[DATE]],"mmmm")</f>
        <v>January</v>
      </c>
      <c r="N24" s="6">
        <f>YEAR(Input_Table[[#This Row],[DATE]])</f>
        <v>2019</v>
      </c>
    </row>
    <row r="25" spans="1:14" x14ac:dyDescent="0.3">
      <c r="A25" s="2">
        <f>_xlfn.XLOOKUP(B25,SuperMarket_Analysis[Invoice ID],SuperMarket_Analysis[Date])</f>
        <v>43540</v>
      </c>
      <c r="B25" s="6" t="s">
        <v>55</v>
      </c>
      <c r="C25" s="7">
        <f>_xlfn.XLOOKUP(B25,SuperMarket_Analysis[Invoice ID],SuperMarket_Analysis[Quantity])</f>
        <v>5</v>
      </c>
      <c r="D25" s="6" t="str">
        <f>_xlfn.XLOOKUP('Input data'!B25,'SuperMarket Analysis'!A:A,'SuperMarket Analysis'!F:F)</f>
        <v>Electronic accessories</v>
      </c>
      <c r="E25" s="6" t="str">
        <f>_xlfn.XLOOKUP(B25,'SuperMarket Analysis'!A:A,'SuperMarket Analysis'!M:M)</f>
        <v>Ewallet</v>
      </c>
      <c r="F25" s="6">
        <f>0.05*Input_Table[[#This Row],[TOTAL C.O.G.S]]</f>
        <v>8.64</v>
      </c>
      <c r="G25" s="6" t="str">
        <f>_xlfn.XLOOKUP(Input_Table[[#This Row],[INVOICE ID]],'SuperMarket Analysis'!A:A,'SuperMarket Analysis'!B:B)</f>
        <v>Alex</v>
      </c>
      <c r="H25" s="6" t="str">
        <f>_xlfn.XLOOKUP(Input_Table[[#This Row],[INVOICE ID]],'SuperMarket Analysis'!A:A,'SuperMarket Analysis'!F:F)</f>
        <v>Electronic accessories</v>
      </c>
      <c r="I25" s="12">
        <f>_xlfn.XLOOKUP(Input_Table[[#This Row],[INVOICE ID]],'SuperMarket Analysis'!A:A,'SuperMarket Analysis'!G:G)</f>
        <v>34.56</v>
      </c>
      <c r="J25" s="12">
        <f>_xlfn.XLOOKUP(Input_Table[[#This Row],[INVOICE ID]],'SuperMarket Analysis'!A:A,'SuperMarket Analysis'!N:N)</f>
        <v>172.8</v>
      </c>
      <c r="K25" s="12">
        <f>_xlfn.XLOOKUP(Input_Table[[#This Row],[INVOICE ID]],'SuperMarket Analysis'!A:A,'SuperMarket Analysis'!J:J)</f>
        <v>181.44</v>
      </c>
      <c r="L25" s="6">
        <f>DAY(Input_Table[[#This Row],[DATE]])</f>
        <v>16</v>
      </c>
      <c r="M25" s="6" t="str">
        <f>TEXT(Input_Table[[#This Row],[DATE]],"mmmm")</f>
        <v>March</v>
      </c>
      <c r="N25" s="6">
        <f>YEAR(Input_Table[[#This Row],[DATE]])</f>
        <v>2019</v>
      </c>
    </row>
    <row r="26" spans="1:14" x14ac:dyDescent="0.3">
      <c r="A26" s="2">
        <f>_xlfn.XLOOKUP(B26,SuperMarket_Analysis[Invoice ID],SuperMarket_Analysis[Date])</f>
        <v>43523</v>
      </c>
      <c r="B26" s="6" t="s">
        <v>56</v>
      </c>
      <c r="C26" s="7">
        <f>_xlfn.XLOOKUP(B26,SuperMarket_Analysis[Invoice ID],SuperMarket_Analysis[Quantity])</f>
        <v>3</v>
      </c>
      <c r="D26" s="6" t="str">
        <f>_xlfn.XLOOKUP('Input data'!B26,'SuperMarket Analysis'!A:A,'SuperMarket Analysis'!F:F)</f>
        <v>Sports and travel</v>
      </c>
      <c r="E26" s="6" t="str">
        <f>_xlfn.XLOOKUP(B26,'SuperMarket Analysis'!A:A,'SuperMarket Analysis'!M:M)</f>
        <v>Ewallet</v>
      </c>
      <c r="F26" s="6">
        <f>0.05*Input_Table[[#This Row],[TOTAL C.O.G.S]]</f>
        <v>13.294499999999999</v>
      </c>
      <c r="G26" s="6" t="str">
        <f>_xlfn.XLOOKUP(Input_Table[[#This Row],[INVOICE ID]],'SuperMarket Analysis'!A:A,'SuperMarket Analysis'!B:B)</f>
        <v>Alex</v>
      </c>
      <c r="H26" s="6" t="str">
        <f>_xlfn.XLOOKUP(Input_Table[[#This Row],[INVOICE ID]],'SuperMarket Analysis'!A:A,'SuperMarket Analysis'!F:F)</f>
        <v>Sports and travel</v>
      </c>
      <c r="I26" s="12">
        <f>_xlfn.XLOOKUP(Input_Table[[#This Row],[INVOICE ID]],'SuperMarket Analysis'!A:A,'SuperMarket Analysis'!G:G)</f>
        <v>88.63</v>
      </c>
      <c r="J26" s="12">
        <f>_xlfn.XLOOKUP(Input_Table[[#This Row],[INVOICE ID]],'SuperMarket Analysis'!A:A,'SuperMarket Analysis'!N:N)</f>
        <v>265.89</v>
      </c>
      <c r="K26" s="12">
        <f>_xlfn.XLOOKUP(Input_Table[[#This Row],[INVOICE ID]],'SuperMarket Analysis'!A:A,'SuperMarket Analysis'!J:J)</f>
        <v>279.18450000000001</v>
      </c>
      <c r="L26" s="6">
        <f>DAY(Input_Table[[#This Row],[DATE]])</f>
        <v>27</v>
      </c>
      <c r="M26" s="6" t="str">
        <f>TEXT(Input_Table[[#This Row],[DATE]],"mmmm")</f>
        <v>February</v>
      </c>
      <c r="N26" s="6">
        <f>YEAR(Input_Table[[#This Row],[DATE]])</f>
        <v>2019</v>
      </c>
    </row>
    <row r="27" spans="1:14" x14ac:dyDescent="0.3">
      <c r="A27" s="2">
        <f>_xlfn.XLOOKUP(B27,SuperMarket_Analysis[Invoice ID],SuperMarket_Analysis[Date])</f>
        <v>43543</v>
      </c>
      <c r="B27" s="6" t="s">
        <v>57</v>
      </c>
      <c r="C27" s="7">
        <f>_xlfn.XLOOKUP(B27,SuperMarket_Analysis[Invoice ID],SuperMarket_Analysis[Quantity])</f>
        <v>8</v>
      </c>
      <c r="D27" s="6" t="str">
        <f>_xlfn.XLOOKUP('Input data'!B27,'SuperMarket Analysis'!A:A,'SuperMarket Analysis'!F:F)</f>
        <v>Home and lifestyle</v>
      </c>
      <c r="E27" s="6" t="str">
        <f>_xlfn.XLOOKUP(B27,'SuperMarket Analysis'!A:A,'SuperMarket Analysis'!M:M)</f>
        <v>Credit card</v>
      </c>
      <c r="F27" s="6">
        <f>0.05*Input_Table[[#This Row],[TOTAL C.O.G.S]]</f>
        <v>21.036000000000001</v>
      </c>
      <c r="G27" s="6" t="str">
        <f>_xlfn.XLOOKUP(Input_Table[[#This Row],[INVOICE ID]],'SuperMarket Analysis'!A:A,'SuperMarket Analysis'!B:B)</f>
        <v>Alex</v>
      </c>
      <c r="H27" s="6" t="str">
        <f>_xlfn.XLOOKUP(Input_Table[[#This Row],[INVOICE ID]],'SuperMarket Analysis'!A:A,'SuperMarket Analysis'!F:F)</f>
        <v>Home and lifestyle</v>
      </c>
      <c r="I27" s="12">
        <f>_xlfn.XLOOKUP(Input_Table[[#This Row],[INVOICE ID]],'SuperMarket Analysis'!A:A,'SuperMarket Analysis'!G:G)</f>
        <v>52.59</v>
      </c>
      <c r="J27" s="12">
        <f>_xlfn.XLOOKUP(Input_Table[[#This Row],[INVOICE ID]],'SuperMarket Analysis'!A:A,'SuperMarket Analysis'!N:N)</f>
        <v>420.72</v>
      </c>
      <c r="K27" s="12">
        <f>_xlfn.XLOOKUP(Input_Table[[#This Row],[INVOICE ID]],'SuperMarket Analysis'!A:A,'SuperMarket Analysis'!J:J)</f>
        <v>441.75599999999997</v>
      </c>
      <c r="L27" s="6">
        <f>DAY(Input_Table[[#This Row],[DATE]])</f>
        <v>19</v>
      </c>
      <c r="M27" s="6" t="str">
        <f>TEXT(Input_Table[[#This Row],[DATE]],"mmmm")</f>
        <v>March</v>
      </c>
      <c r="N27" s="6">
        <f>YEAR(Input_Table[[#This Row],[DATE]])</f>
        <v>2019</v>
      </c>
    </row>
    <row r="28" spans="1:14" x14ac:dyDescent="0.3">
      <c r="A28" s="2">
        <f>_xlfn.XLOOKUP(B28,SuperMarket_Analysis[Invoice ID],SuperMarket_Analysis[Date])</f>
        <v>43546</v>
      </c>
      <c r="B28" s="6" t="s">
        <v>58</v>
      </c>
      <c r="C28" s="7">
        <f>_xlfn.XLOOKUP(B28,SuperMarket_Analysis[Invoice ID],SuperMarket_Analysis[Quantity])</f>
        <v>1</v>
      </c>
      <c r="D28" s="6" t="str">
        <f>_xlfn.XLOOKUP('Input data'!B28,'SuperMarket Analysis'!A:A,'SuperMarket Analysis'!F:F)</f>
        <v>Fashion accessories</v>
      </c>
      <c r="E28" s="6" t="str">
        <f>_xlfn.XLOOKUP(B28,'SuperMarket Analysis'!A:A,'SuperMarket Analysis'!M:M)</f>
        <v>Cash</v>
      </c>
      <c r="F28" s="6">
        <f>0.05*Input_Table[[#This Row],[TOTAL C.O.G.S]]</f>
        <v>1.6760000000000002</v>
      </c>
      <c r="G28" s="6" t="str">
        <f>_xlfn.XLOOKUP(Input_Table[[#This Row],[INVOICE ID]],'SuperMarket Analysis'!A:A,'SuperMarket Analysis'!B:B)</f>
        <v>Cairo</v>
      </c>
      <c r="H28" s="6" t="str">
        <f>_xlfn.XLOOKUP(Input_Table[[#This Row],[INVOICE ID]],'SuperMarket Analysis'!A:A,'SuperMarket Analysis'!F:F)</f>
        <v>Fashion accessories</v>
      </c>
      <c r="I28" s="12">
        <f>_xlfn.XLOOKUP(Input_Table[[#This Row],[INVOICE ID]],'SuperMarket Analysis'!A:A,'SuperMarket Analysis'!G:G)</f>
        <v>33.520000000000003</v>
      </c>
      <c r="J28" s="12">
        <f>_xlfn.XLOOKUP(Input_Table[[#This Row],[INVOICE ID]],'SuperMarket Analysis'!A:A,'SuperMarket Analysis'!N:N)</f>
        <v>33.520000000000003</v>
      </c>
      <c r="K28" s="12">
        <f>_xlfn.XLOOKUP(Input_Table[[#This Row],[INVOICE ID]],'SuperMarket Analysis'!A:A,'SuperMarket Analysis'!J:J)</f>
        <v>35.195999999999998</v>
      </c>
      <c r="L28" s="6">
        <f>DAY(Input_Table[[#This Row],[DATE]])</f>
        <v>22</v>
      </c>
      <c r="M28" s="6" t="str">
        <f>TEXT(Input_Table[[#This Row],[DATE]],"mmmm")</f>
        <v>March</v>
      </c>
      <c r="N28" s="6">
        <f>YEAR(Input_Table[[#This Row],[DATE]])</f>
        <v>2019</v>
      </c>
    </row>
    <row r="29" spans="1:14" x14ac:dyDescent="0.3">
      <c r="A29" s="2">
        <f>_xlfn.XLOOKUP(B29,SuperMarket_Analysis[Invoice ID],SuperMarket_Analysis[Date])</f>
        <v>43490</v>
      </c>
      <c r="B29" s="6" t="s">
        <v>59</v>
      </c>
      <c r="C29" s="7">
        <f>_xlfn.XLOOKUP(B29,SuperMarket_Analysis[Invoice ID],SuperMarket_Analysis[Quantity])</f>
        <v>2</v>
      </c>
      <c r="D29" s="6" t="str">
        <f>_xlfn.XLOOKUP('Input data'!B29,'SuperMarket Analysis'!A:A,'SuperMarket Analysis'!F:F)</f>
        <v>Fashion accessories</v>
      </c>
      <c r="E29" s="6" t="str">
        <f>_xlfn.XLOOKUP(B29,'SuperMarket Analysis'!A:A,'SuperMarket Analysis'!M:M)</f>
        <v>Credit card</v>
      </c>
      <c r="F29" s="6">
        <f>0.05*Input_Table[[#This Row],[TOTAL C.O.G.S]]</f>
        <v>8.7670000000000012</v>
      </c>
      <c r="G29" s="6" t="str">
        <f>_xlfn.XLOOKUP(Input_Table[[#This Row],[INVOICE ID]],'SuperMarket Analysis'!A:A,'SuperMarket Analysis'!B:B)</f>
        <v>Alex</v>
      </c>
      <c r="H29" s="6" t="str">
        <f>_xlfn.XLOOKUP(Input_Table[[#This Row],[INVOICE ID]],'SuperMarket Analysis'!A:A,'SuperMarket Analysis'!F:F)</f>
        <v>Fashion accessories</v>
      </c>
      <c r="I29" s="12">
        <f>_xlfn.XLOOKUP(Input_Table[[#This Row],[INVOICE ID]],'SuperMarket Analysis'!A:A,'SuperMarket Analysis'!G:G)</f>
        <v>87.67</v>
      </c>
      <c r="J29" s="12">
        <f>_xlfn.XLOOKUP(Input_Table[[#This Row],[INVOICE ID]],'SuperMarket Analysis'!A:A,'SuperMarket Analysis'!N:N)</f>
        <v>175.34</v>
      </c>
      <c r="K29" s="12">
        <f>_xlfn.XLOOKUP(Input_Table[[#This Row],[INVOICE ID]],'SuperMarket Analysis'!A:A,'SuperMarket Analysis'!J:J)</f>
        <v>184.107</v>
      </c>
      <c r="L29" s="6">
        <f>DAY(Input_Table[[#This Row],[DATE]])</f>
        <v>25</v>
      </c>
      <c r="M29" s="6" t="str">
        <f>TEXT(Input_Table[[#This Row],[DATE]],"mmmm")</f>
        <v>January</v>
      </c>
      <c r="N29" s="6">
        <f>YEAR(Input_Table[[#This Row],[DATE]])</f>
        <v>2019</v>
      </c>
    </row>
    <row r="30" spans="1:14" x14ac:dyDescent="0.3">
      <c r="A30" s="2">
        <f>_xlfn.XLOOKUP(B30,SuperMarket_Analysis[Invoice ID],SuperMarket_Analysis[Date])</f>
        <v>43524</v>
      </c>
      <c r="B30" s="6" t="s">
        <v>60</v>
      </c>
      <c r="C30" s="7">
        <f>_xlfn.XLOOKUP(B30,SuperMarket_Analysis[Invoice ID],SuperMarket_Analysis[Quantity])</f>
        <v>5</v>
      </c>
      <c r="D30" s="6" t="str">
        <f>_xlfn.XLOOKUP('Input data'!B30,'SuperMarket Analysis'!A:A,'SuperMarket Analysis'!F:F)</f>
        <v>Food and beverages</v>
      </c>
      <c r="E30" s="6" t="str">
        <f>_xlfn.XLOOKUP(B30,'SuperMarket Analysis'!A:A,'SuperMarket Analysis'!M:M)</f>
        <v>Cash</v>
      </c>
      <c r="F30" s="6">
        <f>0.05*Input_Table[[#This Row],[TOTAL C.O.G.S]]</f>
        <v>22.090000000000003</v>
      </c>
      <c r="G30" s="6" t="str">
        <f>_xlfn.XLOOKUP(Input_Table[[#This Row],[INVOICE ID]],'SuperMarket Analysis'!A:A,'SuperMarket Analysis'!B:B)</f>
        <v>Cairo</v>
      </c>
      <c r="H30" s="6" t="str">
        <f>_xlfn.XLOOKUP(Input_Table[[#This Row],[INVOICE ID]],'SuperMarket Analysis'!A:A,'SuperMarket Analysis'!F:F)</f>
        <v>Food and beverages</v>
      </c>
      <c r="I30" s="12">
        <f>_xlfn.XLOOKUP(Input_Table[[#This Row],[INVOICE ID]],'SuperMarket Analysis'!A:A,'SuperMarket Analysis'!G:G)</f>
        <v>88.36</v>
      </c>
      <c r="J30" s="12">
        <f>_xlfn.XLOOKUP(Input_Table[[#This Row],[INVOICE ID]],'SuperMarket Analysis'!A:A,'SuperMarket Analysis'!N:N)</f>
        <v>441.8</v>
      </c>
      <c r="K30" s="12">
        <f>_xlfn.XLOOKUP(Input_Table[[#This Row],[INVOICE ID]],'SuperMarket Analysis'!A:A,'SuperMarket Analysis'!J:J)</f>
        <v>463.89</v>
      </c>
      <c r="L30" s="6">
        <f>DAY(Input_Table[[#This Row],[DATE]])</f>
        <v>28</v>
      </c>
      <c r="M30" s="6" t="str">
        <f>TEXT(Input_Table[[#This Row],[DATE]],"mmmm")</f>
        <v>February</v>
      </c>
      <c r="N30" s="6">
        <f>YEAR(Input_Table[[#This Row],[DATE]])</f>
        <v>2019</v>
      </c>
    </row>
    <row r="31" spans="1:14" x14ac:dyDescent="0.3">
      <c r="A31" s="2">
        <f>_xlfn.XLOOKUP(B31,SuperMarket_Analysis[Invoice ID],SuperMarket_Analysis[Date])</f>
        <v>43551</v>
      </c>
      <c r="B31" s="6" t="s">
        <v>61</v>
      </c>
      <c r="C31" s="7">
        <f>_xlfn.XLOOKUP(B31,SuperMarket_Analysis[Invoice ID],SuperMarket_Analysis[Quantity])</f>
        <v>9</v>
      </c>
      <c r="D31" s="6" t="str">
        <f>_xlfn.XLOOKUP('Input data'!B31,'SuperMarket Analysis'!A:A,'SuperMarket Analysis'!F:F)</f>
        <v>Health and beauty</v>
      </c>
      <c r="E31" s="6" t="str">
        <f>_xlfn.XLOOKUP(B31,'SuperMarket Analysis'!A:A,'SuperMarket Analysis'!M:M)</f>
        <v>Cash</v>
      </c>
      <c r="F31" s="6">
        <f>0.05*Input_Table[[#This Row],[TOTAL C.O.G.S]]</f>
        <v>11.2005</v>
      </c>
      <c r="G31" s="6" t="str">
        <f>_xlfn.XLOOKUP(Input_Table[[#This Row],[INVOICE ID]],'SuperMarket Analysis'!A:A,'SuperMarket Analysis'!B:B)</f>
        <v>Alex</v>
      </c>
      <c r="H31" s="6" t="str">
        <f>_xlfn.XLOOKUP(Input_Table[[#This Row],[INVOICE ID]],'SuperMarket Analysis'!A:A,'SuperMarket Analysis'!F:F)</f>
        <v>Health and beauty</v>
      </c>
      <c r="I31" s="12">
        <f>_xlfn.XLOOKUP(Input_Table[[#This Row],[INVOICE ID]],'SuperMarket Analysis'!A:A,'SuperMarket Analysis'!G:G)</f>
        <v>24.89</v>
      </c>
      <c r="J31" s="12">
        <f>_xlfn.XLOOKUP(Input_Table[[#This Row],[INVOICE ID]],'SuperMarket Analysis'!A:A,'SuperMarket Analysis'!N:N)</f>
        <v>224.01</v>
      </c>
      <c r="K31" s="12">
        <f>_xlfn.XLOOKUP(Input_Table[[#This Row],[INVOICE ID]],'SuperMarket Analysis'!A:A,'SuperMarket Analysis'!J:J)</f>
        <v>235.2105</v>
      </c>
      <c r="L31" s="6">
        <f>DAY(Input_Table[[#This Row],[DATE]])</f>
        <v>27</v>
      </c>
      <c r="M31" s="6" t="str">
        <f>TEXT(Input_Table[[#This Row],[DATE]],"mmmm")</f>
        <v>March</v>
      </c>
      <c r="N31" s="6">
        <f>YEAR(Input_Table[[#This Row],[DATE]])</f>
        <v>2019</v>
      </c>
    </row>
    <row r="32" spans="1:14" x14ac:dyDescent="0.3">
      <c r="A32" s="2">
        <f>_xlfn.XLOOKUP(B32,SuperMarket_Analysis[Invoice ID],SuperMarket_Analysis[Date])</f>
        <v>43485</v>
      </c>
      <c r="B32" s="6" t="s">
        <v>62</v>
      </c>
      <c r="C32" s="7">
        <f>_xlfn.XLOOKUP(B32,SuperMarket_Analysis[Invoice ID],SuperMarket_Analysis[Quantity])</f>
        <v>5</v>
      </c>
      <c r="D32" s="6" t="str">
        <f>_xlfn.XLOOKUP('Input data'!B32,'SuperMarket Analysis'!A:A,'SuperMarket Analysis'!F:F)</f>
        <v>Fashion accessories</v>
      </c>
      <c r="E32" s="6" t="str">
        <f>_xlfn.XLOOKUP(B32,'SuperMarket Analysis'!A:A,'SuperMarket Analysis'!M:M)</f>
        <v>Credit card</v>
      </c>
      <c r="F32" s="6">
        <f>0.05*Input_Table[[#This Row],[TOTAL C.O.G.S]]</f>
        <v>23.532499999999999</v>
      </c>
      <c r="G32" s="6" t="str">
        <f>_xlfn.XLOOKUP(Input_Table[[#This Row],[INVOICE ID]],'SuperMarket Analysis'!A:A,'SuperMarket Analysis'!B:B)</f>
        <v>Cairo</v>
      </c>
      <c r="H32" s="6" t="str">
        <f>_xlfn.XLOOKUP(Input_Table[[#This Row],[INVOICE ID]],'SuperMarket Analysis'!A:A,'SuperMarket Analysis'!F:F)</f>
        <v>Fashion accessories</v>
      </c>
      <c r="I32" s="12">
        <f>_xlfn.XLOOKUP(Input_Table[[#This Row],[INVOICE ID]],'SuperMarket Analysis'!A:A,'SuperMarket Analysis'!G:G)</f>
        <v>94.13</v>
      </c>
      <c r="J32" s="12">
        <f>_xlfn.XLOOKUP(Input_Table[[#This Row],[INVOICE ID]],'SuperMarket Analysis'!A:A,'SuperMarket Analysis'!N:N)</f>
        <v>470.65</v>
      </c>
      <c r="K32" s="12">
        <f>_xlfn.XLOOKUP(Input_Table[[#This Row],[INVOICE ID]],'SuperMarket Analysis'!A:A,'SuperMarket Analysis'!J:J)</f>
        <v>494.1825</v>
      </c>
      <c r="L32" s="6">
        <f>DAY(Input_Table[[#This Row],[DATE]])</f>
        <v>20</v>
      </c>
      <c r="M32" s="6" t="str">
        <f>TEXT(Input_Table[[#This Row],[DATE]],"mmmm")</f>
        <v>January</v>
      </c>
      <c r="N32" s="6">
        <f>YEAR(Input_Table[[#This Row],[DATE]])</f>
        <v>2019</v>
      </c>
    </row>
    <row r="33" spans="1:14" x14ac:dyDescent="0.3">
      <c r="A33" s="2">
        <f>_xlfn.XLOOKUP(B33,SuperMarket_Analysis[Invoice ID],SuperMarket_Analysis[Date])</f>
        <v>43511</v>
      </c>
      <c r="B33" s="6" t="s">
        <v>63</v>
      </c>
      <c r="C33" s="7">
        <f>_xlfn.XLOOKUP(B33,SuperMarket_Analysis[Invoice ID],SuperMarket_Analysis[Quantity])</f>
        <v>9</v>
      </c>
      <c r="D33" s="6" t="str">
        <f>_xlfn.XLOOKUP('Input data'!B33,'SuperMarket Analysis'!A:A,'SuperMarket Analysis'!F:F)</f>
        <v>Sports and travel</v>
      </c>
      <c r="E33" s="6" t="str">
        <f>_xlfn.XLOOKUP(B33,'SuperMarket Analysis'!A:A,'SuperMarket Analysis'!M:M)</f>
        <v>Cash</v>
      </c>
      <c r="F33" s="6">
        <f>0.05*Input_Table[[#This Row],[TOTAL C.O.G.S]]</f>
        <v>35.131500000000003</v>
      </c>
      <c r="G33" s="6" t="str">
        <f>_xlfn.XLOOKUP(Input_Table[[#This Row],[INVOICE ID]],'SuperMarket Analysis'!A:A,'SuperMarket Analysis'!B:B)</f>
        <v>Cairo</v>
      </c>
      <c r="H33" s="6" t="str">
        <f>_xlfn.XLOOKUP(Input_Table[[#This Row],[INVOICE ID]],'SuperMarket Analysis'!A:A,'SuperMarket Analysis'!F:F)</f>
        <v>Sports and travel</v>
      </c>
      <c r="I33" s="12">
        <f>_xlfn.XLOOKUP(Input_Table[[#This Row],[INVOICE ID]],'SuperMarket Analysis'!A:A,'SuperMarket Analysis'!G:G)</f>
        <v>78.069999999999993</v>
      </c>
      <c r="J33" s="12">
        <f>_xlfn.XLOOKUP(Input_Table[[#This Row],[INVOICE ID]],'SuperMarket Analysis'!A:A,'SuperMarket Analysis'!N:N)</f>
        <v>702.63</v>
      </c>
      <c r="K33" s="12">
        <f>_xlfn.XLOOKUP(Input_Table[[#This Row],[INVOICE ID]],'SuperMarket Analysis'!A:A,'SuperMarket Analysis'!J:J)</f>
        <v>737.76149999999996</v>
      </c>
      <c r="L33" s="6">
        <f>DAY(Input_Table[[#This Row],[DATE]])</f>
        <v>15</v>
      </c>
      <c r="M33" s="6" t="str">
        <f>TEXT(Input_Table[[#This Row],[DATE]],"mmmm")</f>
        <v>February</v>
      </c>
      <c r="N33" s="6">
        <f>YEAR(Input_Table[[#This Row],[DATE]])</f>
        <v>2019</v>
      </c>
    </row>
    <row r="34" spans="1:14" x14ac:dyDescent="0.3">
      <c r="A34" s="2">
        <f>_xlfn.XLOOKUP(B34,SuperMarket_Analysis[Invoice ID],SuperMarket_Analysis[Date])</f>
        <v>43520</v>
      </c>
      <c r="B34" s="6" t="s">
        <v>64</v>
      </c>
      <c r="C34" s="7">
        <f>_xlfn.XLOOKUP(B34,SuperMarket_Analysis[Invoice ID],SuperMarket_Analysis[Quantity])</f>
        <v>8</v>
      </c>
      <c r="D34" s="6" t="str">
        <f>_xlfn.XLOOKUP('Input data'!B34,'SuperMarket Analysis'!A:A,'SuperMarket Analysis'!F:F)</f>
        <v>Sports and travel</v>
      </c>
      <c r="E34" s="6" t="str">
        <f>_xlfn.XLOOKUP(B34,'SuperMarket Analysis'!A:A,'SuperMarket Analysis'!M:M)</f>
        <v>Cash</v>
      </c>
      <c r="F34" s="6">
        <f>0.05*Input_Table[[#This Row],[TOTAL C.O.G.S]]</f>
        <v>33.512</v>
      </c>
      <c r="G34" s="6" t="str">
        <f>_xlfn.XLOOKUP(Input_Table[[#This Row],[INVOICE ID]],'SuperMarket Analysis'!A:A,'SuperMarket Analysis'!B:B)</f>
        <v>Cairo</v>
      </c>
      <c r="H34" s="6" t="str">
        <f>_xlfn.XLOOKUP(Input_Table[[#This Row],[INVOICE ID]],'SuperMarket Analysis'!A:A,'SuperMarket Analysis'!F:F)</f>
        <v>Sports and travel</v>
      </c>
      <c r="I34" s="12">
        <f>_xlfn.XLOOKUP(Input_Table[[#This Row],[INVOICE ID]],'SuperMarket Analysis'!A:A,'SuperMarket Analysis'!G:G)</f>
        <v>83.78</v>
      </c>
      <c r="J34" s="12">
        <f>_xlfn.XLOOKUP(Input_Table[[#This Row],[INVOICE ID]],'SuperMarket Analysis'!A:A,'SuperMarket Analysis'!N:N)</f>
        <v>670.24</v>
      </c>
      <c r="K34" s="12">
        <f>_xlfn.XLOOKUP(Input_Table[[#This Row],[INVOICE ID]],'SuperMarket Analysis'!A:A,'SuperMarket Analysis'!J:J)</f>
        <v>703.75199999999995</v>
      </c>
      <c r="L34" s="6">
        <f>DAY(Input_Table[[#This Row],[DATE]])</f>
        <v>24</v>
      </c>
      <c r="M34" s="6" t="str">
        <f>TEXT(Input_Table[[#This Row],[DATE]],"mmmm")</f>
        <v>February</v>
      </c>
      <c r="N34" s="6">
        <f>YEAR(Input_Table[[#This Row],[DATE]])</f>
        <v>2019</v>
      </c>
    </row>
    <row r="35" spans="1:14" x14ac:dyDescent="0.3">
      <c r="A35" s="2">
        <f>_xlfn.XLOOKUP(B35,SuperMarket_Analysis[Invoice ID],SuperMarket_Analysis[Date])</f>
        <v>43510</v>
      </c>
      <c r="B35" s="6" t="s">
        <v>65</v>
      </c>
      <c r="C35" s="7">
        <f>_xlfn.XLOOKUP(B35,SuperMarket_Analysis[Invoice ID],SuperMarket_Analysis[Quantity])</f>
        <v>2</v>
      </c>
      <c r="D35" s="6" t="str">
        <f>_xlfn.XLOOKUP('Input data'!B35,'SuperMarket Analysis'!A:A,'SuperMarket Analysis'!F:F)</f>
        <v>Health and beauty</v>
      </c>
      <c r="E35" s="6" t="str">
        <f>_xlfn.XLOOKUP(B35,'SuperMarket Analysis'!A:A,'SuperMarket Analysis'!M:M)</f>
        <v>Credit card</v>
      </c>
      <c r="F35" s="6">
        <f>0.05*Input_Table[[#This Row],[TOTAL C.O.G.S]]</f>
        <v>9.6580000000000013</v>
      </c>
      <c r="G35" s="6" t="str">
        <f>_xlfn.XLOOKUP(Input_Table[[#This Row],[INVOICE ID]],'SuperMarket Analysis'!A:A,'SuperMarket Analysis'!B:B)</f>
        <v>Alex</v>
      </c>
      <c r="H35" s="6" t="str">
        <f>_xlfn.XLOOKUP(Input_Table[[#This Row],[INVOICE ID]],'SuperMarket Analysis'!A:A,'SuperMarket Analysis'!F:F)</f>
        <v>Health and beauty</v>
      </c>
      <c r="I35" s="12">
        <f>_xlfn.XLOOKUP(Input_Table[[#This Row],[INVOICE ID]],'SuperMarket Analysis'!A:A,'SuperMarket Analysis'!G:G)</f>
        <v>96.58</v>
      </c>
      <c r="J35" s="12">
        <f>_xlfn.XLOOKUP(Input_Table[[#This Row],[INVOICE ID]],'SuperMarket Analysis'!A:A,'SuperMarket Analysis'!N:N)</f>
        <v>193.16</v>
      </c>
      <c r="K35" s="12">
        <f>_xlfn.XLOOKUP(Input_Table[[#This Row],[INVOICE ID]],'SuperMarket Analysis'!A:A,'SuperMarket Analysis'!J:J)</f>
        <v>202.81800000000001</v>
      </c>
      <c r="L35" s="6">
        <f>DAY(Input_Table[[#This Row],[DATE]])</f>
        <v>14</v>
      </c>
      <c r="M35" s="6" t="str">
        <f>TEXT(Input_Table[[#This Row],[DATE]],"mmmm")</f>
        <v>February</v>
      </c>
      <c r="N35" s="6">
        <f>YEAR(Input_Table[[#This Row],[DATE]])</f>
        <v>2019</v>
      </c>
    </row>
    <row r="36" spans="1:14" x14ac:dyDescent="0.3">
      <c r="A36" s="2">
        <f>_xlfn.XLOOKUP(B36,SuperMarket_Analysis[Invoice ID],SuperMarket_Analysis[Date])</f>
        <v>43537</v>
      </c>
      <c r="B36" s="6" t="s">
        <v>66</v>
      </c>
      <c r="C36" s="7">
        <f>_xlfn.XLOOKUP(B36,SuperMarket_Analysis[Invoice ID],SuperMarket_Analysis[Quantity])</f>
        <v>4</v>
      </c>
      <c r="D36" s="6" t="str">
        <f>_xlfn.XLOOKUP('Input data'!B36,'SuperMarket Analysis'!A:A,'SuperMarket Analysis'!F:F)</f>
        <v>Food and beverages</v>
      </c>
      <c r="E36" s="6" t="str">
        <f>_xlfn.XLOOKUP(B36,'SuperMarket Analysis'!A:A,'SuperMarket Analysis'!M:M)</f>
        <v>Ewallet</v>
      </c>
      <c r="F36" s="6">
        <f>0.05*Input_Table[[#This Row],[TOTAL C.O.G.S]]</f>
        <v>19.884</v>
      </c>
      <c r="G36" s="6" t="str">
        <f>_xlfn.XLOOKUP(Input_Table[[#This Row],[INVOICE ID]],'SuperMarket Analysis'!A:A,'SuperMarket Analysis'!B:B)</f>
        <v>Giza</v>
      </c>
      <c r="H36" s="6" t="str">
        <f>_xlfn.XLOOKUP(Input_Table[[#This Row],[INVOICE ID]],'SuperMarket Analysis'!A:A,'SuperMarket Analysis'!F:F)</f>
        <v>Food and beverages</v>
      </c>
      <c r="I36" s="12">
        <f>_xlfn.XLOOKUP(Input_Table[[#This Row],[INVOICE ID]],'SuperMarket Analysis'!A:A,'SuperMarket Analysis'!G:G)</f>
        <v>99.42</v>
      </c>
      <c r="J36" s="12">
        <f>_xlfn.XLOOKUP(Input_Table[[#This Row],[INVOICE ID]],'SuperMarket Analysis'!A:A,'SuperMarket Analysis'!N:N)</f>
        <v>397.68</v>
      </c>
      <c r="K36" s="12">
        <f>_xlfn.XLOOKUP(Input_Table[[#This Row],[INVOICE ID]],'SuperMarket Analysis'!A:A,'SuperMarket Analysis'!J:J)</f>
        <v>417.56400000000002</v>
      </c>
      <c r="L36" s="6">
        <f>DAY(Input_Table[[#This Row],[DATE]])</f>
        <v>13</v>
      </c>
      <c r="M36" s="6" t="str">
        <f>TEXT(Input_Table[[#This Row],[DATE]],"mmmm")</f>
        <v>March</v>
      </c>
      <c r="N36" s="6">
        <f>YEAR(Input_Table[[#This Row],[DATE]])</f>
        <v>2019</v>
      </c>
    </row>
    <row r="37" spans="1:14" x14ac:dyDescent="0.3">
      <c r="A37" s="2">
        <f>_xlfn.XLOOKUP(B37,SuperMarket_Analysis[Invoice ID],SuperMarket_Analysis[Date])</f>
        <v>43489</v>
      </c>
      <c r="B37" s="6" t="s">
        <v>67</v>
      </c>
      <c r="C37" s="7">
        <f>_xlfn.XLOOKUP(B37,SuperMarket_Analysis[Invoice ID],SuperMarket_Analysis[Quantity])</f>
        <v>1</v>
      </c>
      <c r="D37" s="6" t="str">
        <f>_xlfn.XLOOKUP('Input data'!B37,'SuperMarket Analysis'!A:A,'SuperMarket Analysis'!F:F)</f>
        <v>Sports and travel</v>
      </c>
      <c r="E37" s="6" t="str">
        <f>_xlfn.XLOOKUP(B37,'SuperMarket Analysis'!A:A,'SuperMarket Analysis'!M:M)</f>
        <v>Ewallet</v>
      </c>
      <c r="F37" s="6">
        <f>0.05*Input_Table[[#This Row],[TOTAL C.O.G.S]]</f>
        <v>3.4060000000000006</v>
      </c>
      <c r="G37" s="6" t="str">
        <f>_xlfn.XLOOKUP(Input_Table[[#This Row],[INVOICE ID]],'SuperMarket Analysis'!A:A,'SuperMarket Analysis'!B:B)</f>
        <v>Giza</v>
      </c>
      <c r="H37" s="6" t="str">
        <f>_xlfn.XLOOKUP(Input_Table[[#This Row],[INVOICE ID]],'SuperMarket Analysis'!A:A,'SuperMarket Analysis'!F:F)</f>
        <v>Sports and travel</v>
      </c>
      <c r="I37" s="12">
        <f>_xlfn.XLOOKUP(Input_Table[[#This Row],[INVOICE ID]],'SuperMarket Analysis'!A:A,'SuperMarket Analysis'!G:G)</f>
        <v>68.12</v>
      </c>
      <c r="J37" s="12">
        <f>_xlfn.XLOOKUP(Input_Table[[#This Row],[INVOICE ID]],'SuperMarket Analysis'!A:A,'SuperMarket Analysis'!N:N)</f>
        <v>68.12</v>
      </c>
      <c r="K37" s="12">
        <f>_xlfn.XLOOKUP(Input_Table[[#This Row],[INVOICE ID]],'SuperMarket Analysis'!A:A,'SuperMarket Analysis'!J:J)</f>
        <v>71.525999999999996</v>
      </c>
      <c r="L37" s="6">
        <f>DAY(Input_Table[[#This Row],[DATE]])</f>
        <v>24</v>
      </c>
      <c r="M37" s="6" t="str">
        <f>TEXT(Input_Table[[#This Row],[DATE]],"mmmm")</f>
        <v>January</v>
      </c>
      <c r="N37" s="6">
        <f>YEAR(Input_Table[[#This Row],[DATE]])</f>
        <v>2019</v>
      </c>
    </row>
    <row r="38" spans="1:14" x14ac:dyDescent="0.3">
      <c r="A38" s="2">
        <f>_xlfn.XLOOKUP(B38,SuperMarket_Analysis[Invoice ID],SuperMarket_Analysis[Date])</f>
        <v>43487</v>
      </c>
      <c r="B38" s="6" t="s">
        <v>68</v>
      </c>
      <c r="C38" s="7">
        <f>_xlfn.XLOOKUP(B38,SuperMarket_Analysis[Invoice ID],SuperMarket_Analysis[Quantity])</f>
        <v>5</v>
      </c>
      <c r="D38" s="6" t="str">
        <f>_xlfn.XLOOKUP('Input data'!B38,'SuperMarket Analysis'!A:A,'SuperMarket Analysis'!F:F)</f>
        <v>Sports and travel</v>
      </c>
      <c r="E38" s="6" t="str">
        <f>_xlfn.XLOOKUP(B38,'SuperMarket Analysis'!A:A,'SuperMarket Analysis'!M:M)</f>
        <v>Ewallet</v>
      </c>
      <c r="F38" s="6">
        <f>0.05*Input_Table[[#This Row],[TOTAL C.O.G.S]]</f>
        <v>15.655000000000001</v>
      </c>
      <c r="G38" s="6" t="str">
        <f>_xlfn.XLOOKUP(Input_Table[[#This Row],[INVOICE ID]],'SuperMarket Analysis'!A:A,'SuperMarket Analysis'!B:B)</f>
        <v>Alex</v>
      </c>
      <c r="H38" s="6" t="str">
        <f>_xlfn.XLOOKUP(Input_Table[[#This Row],[INVOICE ID]],'SuperMarket Analysis'!A:A,'SuperMarket Analysis'!F:F)</f>
        <v>Sports and travel</v>
      </c>
      <c r="I38" s="12">
        <f>_xlfn.XLOOKUP(Input_Table[[#This Row],[INVOICE ID]],'SuperMarket Analysis'!A:A,'SuperMarket Analysis'!G:G)</f>
        <v>62.62</v>
      </c>
      <c r="J38" s="12">
        <f>_xlfn.XLOOKUP(Input_Table[[#This Row],[INVOICE ID]],'SuperMarket Analysis'!A:A,'SuperMarket Analysis'!N:N)</f>
        <v>313.10000000000002</v>
      </c>
      <c r="K38" s="12">
        <f>_xlfn.XLOOKUP(Input_Table[[#This Row],[INVOICE ID]],'SuperMarket Analysis'!A:A,'SuperMarket Analysis'!J:J)</f>
        <v>328.755</v>
      </c>
      <c r="L38" s="6">
        <f>DAY(Input_Table[[#This Row],[DATE]])</f>
        <v>22</v>
      </c>
      <c r="M38" s="6" t="str">
        <f>TEXT(Input_Table[[#This Row],[DATE]],"mmmm")</f>
        <v>January</v>
      </c>
      <c r="N38" s="6">
        <f>YEAR(Input_Table[[#This Row],[DATE]])</f>
        <v>2019</v>
      </c>
    </row>
    <row r="39" spans="1:14" x14ac:dyDescent="0.3">
      <c r="A39" s="2">
        <f>_xlfn.XLOOKUP(B39,SuperMarket_Analysis[Invoice ID],SuperMarket_Analysis[Date])</f>
        <v>43478</v>
      </c>
      <c r="B39" s="6" t="s">
        <v>69</v>
      </c>
      <c r="C39" s="7">
        <f>_xlfn.XLOOKUP(B39,SuperMarket_Analysis[Invoice ID],SuperMarket_Analysis[Quantity])</f>
        <v>9</v>
      </c>
      <c r="D39" s="6" t="str">
        <f>_xlfn.XLOOKUP('Input data'!B39,'SuperMarket Analysis'!A:A,'SuperMarket Analysis'!F:F)</f>
        <v>Electronic accessories</v>
      </c>
      <c r="E39" s="6" t="str">
        <f>_xlfn.XLOOKUP(B39,'SuperMarket Analysis'!A:A,'SuperMarket Analysis'!M:M)</f>
        <v>Ewallet</v>
      </c>
      <c r="F39" s="6">
        <f>0.05*Input_Table[[#This Row],[TOTAL C.O.G.S]]</f>
        <v>27.396000000000001</v>
      </c>
      <c r="G39" s="6" t="str">
        <f>_xlfn.XLOOKUP(Input_Table[[#This Row],[INVOICE ID]],'SuperMarket Analysis'!A:A,'SuperMarket Analysis'!B:B)</f>
        <v>Alex</v>
      </c>
      <c r="H39" s="6" t="str">
        <f>_xlfn.XLOOKUP(Input_Table[[#This Row],[INVOICE ID]],'SuperMarket Analysis'!A:A,'SuperMarket Analysis'!F:F)</f>
        <v>Electronic accessories</v>
      </c>
      <c r="I39" s="12">
        <f>_xlfn.XLOOKUP(Input_Table[[#This Row],[INVOICE ID]],'SuperMarket Analysis'!A:A,'SuperMarket Analysis'!G:G)</f>
        <v>60.88</v>
      </c>
      <c r="J39" s="12">
        <f>_xlfn.XLOOKUP(Input_Table[[#This Row],[INVOICE ID]],'SuperMarket Analysis'!A:A,'SuperMarket Analysis'!N:N)</f>
        <v>547.91999999999996</v>
      </c>
      <c r="K39" s="12">
        <f>_xlfn.XLOOKUP(Input_Table[[#This Row],[INVOICE ID]],'SuperMarket Analysis'!A:A,'SuperMarket Analysis'!J:J)</f>
        <v>575.31600000000003</v>
      </c>
      <c r="L39" s="6">
        <f>DAY(Input_Table[[#This Row],[DATE]])</f>
        <v>13</v>
      </c>
      <c r="M39" s="6" t="str">
        <f>TEXT(Input_Table[[#This Row],[DATE]],"mmmm")</f>
        <v>January</v>
      </c>
      <c r="N39" s="6">
        <f>YEAR(Input_Table[[#This Row],[DATE]])</f>
        <v>2019</v>
      </c>
    </row>
    <row r="40" spans="1:14" x14ac:dyDescent="0.3">
      <c r="A40" s="2">
        <f>_xlfn.XLOOKUP(B40,SuperMarket_Analysis[Invoice ID],SuperMarket_Analysis[Date])</f>
        <v>43487</v>
      </c>
      <c r="B40" s="6" t="s">
        <v>70</v>
      </c>
      <c r="C40" s="7">
        <f>_xlfn.XLOOKUP(B40,SuperMarket_Analysis[Invoice ID],SuperMarket_Analysis[Quantity])</f>
        <v>8</v>
      </c>
      <c r="D40" s="6" t="str">
        <f>_xlfn.XLOOKUP('Input data'!B40,'SuperMarket Analysis'!A:A,'SuperMarket Analysis'!F:F)</f>
        <v>Health and beauty</v>
      </c>
      <c r="E40" s="6" t="str">
        <f>_xlfn.XLOOKUP(B40,'SuperMarket Analysis'!A:A,'SuperMarket Analysis'!M:M)</f>
        <v>Ewallet</v>
      </c>
      <c r="F40" s="6">
        <f>0.05*Input_Table[[#This Row],[TOTAL C.O.G.S]]</f>
        <v>21.968000000000004</v>
      </c>
      <c r="G40" s="6" t="str">
        <f>_xlfn.XLOOKUP(Input_Table[[#This Row],[INVOICE ID]],'SuperMarket Analysis'!A:A,'SuperMarket Analysis'!B:B)</f>
        <v>Giza</v>
      </c>
      <c r="H40" s="6" t="str">
        <f>_xlfn.XLOOKUP(Input_Table[[#This Row],[INVOICE ID]],'SuperMarket Analysis'!A:A,'SuperMarket Analysis'!F:F)</f>
        <v>Health and beauty</v>
      </c>
      <c r="I40" s="12">
        <f>_xlfn.XLOOKUP(Input_Table[[#This Row],[INVOICE ID]],'SuperMarket Analysis'!A:A,'SuperMarket Analysis'!G:G)</f>
        <v>54.92</v>
      </c>
      <c r="J40" s="12">
        <f>_xlfn.XLOOKUP(Input_Table[[#This Row],[INVOICE ID]],'SuperMarket Analysis'!A:A,'SuperMarket Analysis'!N:N)</f>
        <v>439.36</v>
      </c>
      <c r="K40" s="12">
        <f>_xlfn.XLOOKUP(Input_Table[[#This Row],[INVOICE ID]],'SuperMarket Analysis'!A:A,'SuperMarket Analysis'!J:J)</f>
        <v>461.32799999999997</v>
      </c>
      <c r="L40" s="6">
        <f>DAY(Input_Table[[#This Row],[DATE]])</f>
        <v>22</v>
      </c>
      <c r="M40" s="6" t="str">
        <f>TEXT(Input_Table[[#This Row],[DATE]],"mmmm")</f>
        <v>January</v>
      </c>
      <c r="N40" s="6">
        <f>YEAR(Input_Table[[#This Row],[DATE]])</f>
        <v>2019</v>
      </c>
    </row>
    <row r="41" spans="1:14" x14ac:dyDescent="0.3">
      <c r="A41" s="2">
        <f>_xlfn.XLOOKUP(B41,SuperMarket_Analysis[Invoice ID],SuperMarket_Analysis[Date])</f>
        <v>43486</v>
      </c>
      <c r="B41" s="6" t="s">
        <v>71</v>
      </c>
      <c r="C41" s="7">
        <f>_xlfn.XLOOKUP(B41,SuperMarket_Analysis[Invoice ID],SuperMarket_Analysis[Quantity])</f>
        <v>8</v>
      </c>
      <c r="D41" s="6" t="str">
        <f>_xlfn.XLOOKUP('Input data'!B41,'SuperMarket Analysis'!A:A,'SuperMarket Analysis'!F:F)</f>
        <v>Home and lifestyle</v>
      </c>
      <c r="E41" s="6" t="str">
        <f>_xlfn.XLOOKUP(B41,'SuperMarket Analysis'!A:A,'SuperMarket Analysis'!M:M)</f>
        <v>Cash</v>
      </c>
      <c r="F41" s="6">
        <f>0.05*Input_Table[[#This Row],[TOTAL C.O.G.S]]</f>
        <v>12.048000000000002</v>
      </c>
      <c r="G41" s="6" t="str">
        <f>_xlfn.XLOOKUP(Input_Table[[#This Row],[INVOICE ID]],'SuperMarket Analysis'!A:A,'SuperMarket Analysis'!B:B)</f>
        <v>Cairo</v>
      </c>
      <c r="H41" s="6" t="str">
        <f>_xlfn.XLOOKUP(Input_Table[[#This Row],[INVOICE ID]],'SuperMarket Analysis'!A:A,'SuperMarket Analysis'!F:F)</f>
        <v>Home and lifestyle</v>
      </c>
      <c r="I41" s="12">
        <f>_xlfn.XLOOKUP(Input_Table[[#This Row],[INVOICE ID]],'SuperMarket Analysis'!A:A,'SuperMarket Analysis'!G:G)</f>
        <v>30.12</v>
      </c>
      <c r="J41" s="12">
        <f>_xlfn.XLOOKUP(Input_Table[[#This Row],[INVOICE ID]],'SuperMarket Analysis'!A:A,'SuperMarket Analysis'!N:N)</f>
        <v>240.96</v>
      </c>
      <c r="K41" s="12">
        <f>_xlfn.XLOOKUP(Input_Table[[#This Row],[INVOICE ID]],'SuperMarket Analysis'!A:A,'SuperMarket Analysis'!J:J)</f>
        <v>253.00800000000001</v>
      </c>
      <c r="L41" s="6">
        <f>DAY(Input_Table[[#This Row],[DATE]])</f>
        <v>21</v>
      </c>
      <c r="M41" s="6" t="str">
        <f>TEXT(Input_Table[[#This Row],[DATE]],"mmmm")</f>
        <v>January</v>
      </c>
      <c r="N41" s="6">
        <f>YEAR(Input_Table[[#This Row],[DATE]])</f>
        <v>2019</v>
      </c>
    </row>
    <row r="42" spans="1:14" x14ac:dyDescent="0.3">
      <c r="A42" s="2">
        <f>_xlfn.XLOOKUP(B42,SuperMarket_Analysis[Invoice ID],SuperMarket_Analysis[Date])</f>
        <v>43491</v>
      </c>
      <c r="B42" s="6" t="s">
        <v>72</v>
      </c>
      <c r="C42" s="7">
        <f>_xlfn.XLOOKUP(B42,SuperMarket_Analysis[Invoice ID],SuperMarket_Analysis[Quantity])</f>
        <v>1</v>
      </c>
      <c r="D42" s="6" t="str">
        <f>_xlfn.XLOOKUP('Input data'!B42,'SuperMarket Analysis'!A:A,'SuperMarket Analysis'!F:F)</f>
        <v>Home and lifestyle</v>
      </c>
      <c r="E42" s="6" t="str">
        <f>_xlfn.XLOOKUP(B42,'SuperMarket Analysis'!A:A,'SuperMarket Analysis'!M:M)</f>
        <v>Ewallet</v>
      </c>
      <c r="F42" s="6">
        <f>0.05*Input_Table[[#This Row],[TOTAL C.O.G.S]]</f>
        <v>4.3360000000000003</v>
      </c>
      <c r="G42" s="6" t="str">
        <f>_xlfn.XLOOKUP(Input_Table[[#This Row],[INVOICE ID]],'SuperMarket Analysis'!A:A,'SuperMarket Analysis'!B:B)</f>
        <v>Cairo</v>
      </c>
      <c r="H42" s="6" t="str">
        <f>_xlfn.XLOOKUP(Input_Table[[#This Row],[INVOICE ID]],'SuperMarket Analysis'!A:A,'SuperMarket Analysis'!F:F)</f>
        <v>Home and lifestyle</v>
      </c>
      <c r="I42" s="12">
        <f>_xlfn.XLOOKUP(Input_Table[[#This Row],[INVOICE ID]],'SuperMarket Analysis'!A:A,'SuperMarket Analysis'!G:G)</f>
        <v>86.72</v>
      </c>
      <c r="J42" s="12">
        <f>_xlfn.XLOOKUP(Input_Table[[#This Row],[INVOICE ID]],'SuperMarket Analysis'!A:A,'SuperMarket Analysis'!N:N)</f>
        <v>86.72</v>
      </c>
      <c r="K42" s="12">
        <f>_xlfn.XLOOKUP(Input_Table[[#This Row],[INVOICE ID]],'SuperMarket Analysis'!A:A,'SuperMarket Analysis'!J:J)</f>
        <v>91.055999999999997</v>
      </c>
      <c r="L42" s="6">
        <f>DAY(Input_Table[[#This Row],[DATE]])</f>
        <v>26</v>
      </c>
      <c r="M42" s="6" t="str">
        <f>TEXT(Input_Table[[#This Row],[DATE]],"mmmm")</f>
        <v>January</v>
      </c>
      <c r="N42" s="6">
        <f>YEAR(Input_Table[[#This Row],[DATE]])</f>
        <v>2019</v>
      </c>
    </row>
    <row r="43" spans="1:14" x14ac:dyDescent="0.3">
      <c r="A43" s="2">
        <f>_xlfn.XLOOKUP(B43,SuperMarket_Analysis[Invoice ID],SuperMarket_Analysis[Date])</f>
        <v>43488</v>
      </c>
      <c r="B43" s="6" t="s">
        <v>73</v>
      </c>
      <c r="C43" s="7">
        <f>_xlfn.XLOOKUP(B43,SuperMarket_Analysis[Invoice ID],SuperMarket_Analysis[Quantity])</f>
        <v>2</v>
      </c>
      <c r="D43" s="6" t="str">
        <f>_xlfn.XLOOKUP('Input data'!B43,'SuperMarket Analysis'!A:A,'SuperMarket Analysis'!F:F)</f>
        <v>Home and lifestyle</v>
      </c>
      <c r="E43" s="6" t="str">
        <f>_xlfn.XLOOKUP(B43,'SuperMarket Analysis'!A:A,'SuperMarket Analysis'!M:M)</f>
        <v>Cash</v>
      </c>
      <c r="F43" s="6">
        <f>0.05*Input_Table[[#This Row],[TOTAL C.O.G.S]]</f>
        <v>5.6110000000000007</v>
      </c>
      <c r="G43" s="6" t="str">
        <f>_xlfn.XLOOKUP(Input_Table[[#This Row],[INVOICE ID]],'SuperMarket Analysis'!A:A,'SuperMarket Analysis'!B:B)</f>
        <v>Giza</v>
      </c>
      <c r="H43" s="6" t="str">
        <f>_xlfn.XLOOKUP(Input_Table[[#This Row],[INVOICE ID]],'SuperMarket Analysis'!A:A,'SuperMarket Analysis'!F:F)</f>
        <v>Home and lifestyle</v>
      </c>
      <c r="I43" s="12">
        <f>_xlfn.XLOOKUP(Input_Table[[#This Row],[INVOICE ID]],'SuperMarket Analysis'!A:A,'SuperMarket Analysis'!G:G)</f>
        <v>56.11</v>
      </c>
      <c r="J43" s="12">
        <f>_xlfn.XLOOKUP(Input_Table[[#This Row],[INVOICE ID]],'SuperMarket Analysis'!A:A,'SuperMarket Analysis'!N:N)</f>
        <v>112.22</v>
      </c>
      <c r="K43" s="12">
        <f>_xlfn.XLOOKUP(Input_Table[[#This Row],[INVOICE ID]],'SuperMarket Analysis'!A:A,'SuperMarket Analysis'!J:J)</f>
        <v>117.831</v>
      </c>
      <c r="L43" s="6">
        <f>DAY(Input_Table[[#This Row],[DATE]])</f>
        <v>23</v>
      </c>
      <c r="M43" s="6" t="str">
        <f>TEXT(Input_Table[[#This Row],[DATE]],"mmmm")</f>
        <v>January</v>
      </c>
      <c r="N43" s="6">
        <f>YEAR(Input_Table[[#This Row],[DATE]])</f>
        <v>2019</v>
      </c>
    </row>
    <row r="44" spans="1:14" x14ac:dyDescent="0.3">
      <c r="A44" s="2">
        <f>_xlfn.XLOOKUP(B44,SuperMarket_Analysis[Invoice ID],SuperMarket_Analysis[Date])</f>
        <v>43519</v>
      </c>
      <c r="B44" s="6" t="s">
        <v>74</v>
      </c>
      <c r="C44" s="7">
        <f>_xlfn.XLOOKUP(B44,SuperMarket_Analysis[Invoice ID],SuperMarket_Analysis[Quantity])</f>
        <v>6</v>
      </c>
      <c r="D44" s="6" t="str">
        <f>_xlfn.XLOOKUP('Input data'!B44,'SuperMarket Analysis'!A:A,'SuperMarket Analysis'!F:F)</f>
        <v>Sports and travel</v>
      </c>
      <c r="E44" s="6" t="str">
        <f>_xlfn.XLOOKUP(B44,'SuperMarket Analysis'!A:A,'SuperMarket Analysis'!M:M)</f>
        <v>Cash</v>
      </c>
      <c r="F44" s="6">
        <f>0.05*Input_Table[[#This Row],[TOTAL C.O.G.S]]</f>
        <v>20.736000000000004</v>
      </c>
      <c r="G44" s="6" t="str">
        <f>_xlfn.XLOOKUP(Input_Table[[#This Row],[INVOICE ID]],'SuperMarket Analysis'!A:A,'SuperMarket Analysis'!B:B)</f>
        <v>Cairo</v>
      </c>
      <c r="H44" s="6" t="str">
        <f>_xlfn.XLOOKUP(Input_Table[[#This Row],[INVOICE ID]],'SuperMarket Analysis'!A:A,'SuperMarket Analysis'!F:F)</f>
        <v>Sports and travel</v>
      </c>
      <c r="I44" s="12">
        <f>_xlfn.XLOOKUP(Input_Table[[#This Row],[INVOICE ID]],'SuperMarket Analysis'!A:A,'SuperMarket Analysis'!G:G)</f>
        <v>69.12</v>
      </c>
      <c r="J44" s="12">
        <f>_xlfn.XLOOKUP(Input_Table[[#This Row],[INVOICE ID]],'SuperMarket Analysis'!A:A,'SuperMarket Analysis'!N:N)</f>
        <v>414.72</v>
      </c>
      <c r="K44" s="12">
        <f>_xlfn.XLOOKUP(Input_Table[[#This Row],[INVOICE ID]],'SuperMarket Analysis'!A:A,'SuperMarket Analysis'!J:J)</f>
        <v>435.45600000000002</v>
      </c>
      <c r="L44" s="6">
        <f>DAY(Input_Table[[#This Row],[DATE]])</f>
        <v>23</v>
      </c>
      <c r="M44" s="6" t="str">
        <f>TEXT(Input_Table[[#This Row],[DATE]],"mmmm")</f>
        <v>February</v>
      </c>
      <c r="N44" s="6">
        <f>YEAR(Input_Table[[#This Row],[DATE]])</f>
        <v>2019</v>
      </c>
    </row>
    <row r="45" spans="1:14" x14ac:dyDescent="0.3">
      <c r="A45" s="2">
        <f>_xlfn.XLOOKUP(B45,SuperMarket_Analysis[Invoice ID],SuperMarket_Analysis[Date])</f>
        <v>43549</v>
      </c>
      <c r="B45" s="6" t="s">
        <v>75</v>
      </c>
      <c r="C45" s="7">
        <f>_xlfn.XLOOKUP(B45,SuperMarket_Analysis[Invoice ID],SuperMarket_Analysis[Quantity])</f>
        <v>8</v>
      </c>
      <c r="D45" s="6" t="str">
        <f>_xlfn.XLOOKUP('Input data'!B45,'SuperMarket Analysis'!A:A,'SuperMarket Analysis'!F:F)</f>
        <v>Food and beverages</v>
      </c>
      <c r="E45" s="6" t="str">
        <f>_xlfn.XLOOKUP(B45,'SuperMarket Analysis'!A:A,'SuperMarket Analysis'!M:M)</f>
        <v>Cash</v>
      </c>
      <c r="F45" s="6">
        <f>0.05*Input_Table[[#This Row],[TOTAL C.O.G.S]]</f>
        <v>39.480000000000004</v>
      </c>
      <c r="G45" s="6" t="str">
        <f>_xlfn.XLOOKUP(Input_Table[[#This Row],[INVOICE ID]],'SuperMarket Analysis'!A:A,'SuperMarket Analysis'!B:B)</f>
        <v>Giza</v>
      </c>
      <c r="H45" s="6" t="str">
        <f>_xlfn.XLOOKUP(Input_Table[[#This Row],[INVOICE ID]],'SuperMarket Analysis'!A:A,'SuperMarket Analysis'!F:F)</f>
        <v>Food and beverages</v>
      </c>
      <c r="I45" s="12">
        <f>_xlfn.XLOOKUP(Input_Table[[#This Row],[INVOICE ID]],'SuperMarket Analysis'!A:A,'SuperMarket Analysis'!G:G)</f>
        <v>98.7</v>
      </c>
      <c r="J45" s="12">
        <f>_xlfn.XLOOKUP(Input_Table[[#This Row],[INVOICE ID]],'SuperMarket Analysis'!A:A,'SuperMarket Analysis'!N:N)</f>
        <v>789.6</v>
      </c>
      <c r="K45" s="12">
        <f>_xlfn.XLOOKUP(Input_Table[[#This Row],[INVOICE ID]],'SuperMarket Analysis'!A:A,'SuperMarket Analysis'!J:J)</f>
        <v>829.08</v>
      </c>
      <c r="L45" s="6">
        <f>DAY(Input_Table[[#This Row],[DATE]])</f>
        <v>25</v>
      </c>
      <c r="M45" s="6" t="str">
        <f>TEXT(Input_Table[[#This Row],[DATE]],"mmmm")</f>
        <v>March</v>
      </c>
      <c r="N45" s="6">
        <f>YEAR(Input_Table[[#This Row],[DATE]])</f>
        <v>2019</v>
      </c>
    </row>
    <row r="46" spans="1:14" x14ac:dyDescent="0.3">
      <c r="A46" s="2">
        <f>_xlfn.XLOOKUP(B46,SuperMarket_Analysis[Invoice ID],SuperMarket_Analysis[Date])</f>
        <v>43551</v>
      </c>
      <c r="B46" s="6" t="s">
        <v>76</v>
      </c>
      <c r="C46" s="7">
        <f>_xlfn.XLOOKUP(B46,SuperMarket_Analysis[Invoice ID],SuperMarket_Analysis[Quantity])</f>
        <v>2</v>
      </c>
      <c r="D46" s="6" t="str">
        <f>_xlfn.XLOOKUP('Input data'!B46,'SuperMarket Analysis'!A:A,'SuperMarket Analysis'!F:F)</f>
        <v>Health and beauty</v>
      </c>
      <c r="E46" s="6" t="str">
        <f>_xlfn.XLOOKUP(B46,'SuperMarket Analysis'!A:A,'SuperMarket Analysis'!M:M)</f>
        <v>Cash</v>
      </c>
      <c r="F46" s="6">
        <f>0.05*Input_Table[[#This Row],[TOTAL C.O.G.S]]</f>
        <v>1.5369999999999999</v>
      </c>
      <c r="G46" s="6" t="str">
        <f>_xlfn.XLOOKUP(Input_Table[[#This Row],[INVOICE ID]],'SuperMarket Analysis'!A:A,'SuperMarket Analysis'!B:B)</f>
        <v>Giza</v>
      </c>
      <c r="H46" s="6" t="str">
        <f>_xlfn.XLOOKUP(Input_Table[[#This Row],[INVOICE ID]],'SuperMarket Analysis'!A:A,'SuperMarket Analysis'!F:F)</f>
        <v>Health and beauty</v>
      </c>
      <c r="I46" s="12">
        <f>_xlfn.XLOOKUP(Input_Table[[#This Row],[INVOICE ID]],'SuperMarket Analysis'!A:A,'SuperMarket Analysis'!G:G)</f>
        <v>15.37</v>
      </c>
      <c r="J46" s="12">
        <f>_xlfn.XLOOKUP(Input_Table[[#This Row],[INVOICE ID]],'SuperMarket Analysis'!A:A,'SuperMarket Analysis'!N:N)</f>
        <v>30.74</v>
      </c>
      <c r="K46" s="12">
        <f>_xlfn.XLOOKUP(Input_Table[[#This Row],[INVOICE ID]],'SuperMarket Analysis'!A:A,'SuperMarket Analysis'!J:J)</f>
        <v>32.277000000000001</v>
      </c>
      <c r="L46" s="6">
        <f>DAY(Input_Table[[#This Row],[DATE]])</f>
        <v>27</v>
      </c>
      <c r="M46" s="6" t="str">
        <f>TEXT(Input_Table[[#This Row],[DATE]],"mmmm")</f>
        <v>March</v>
      </c>
      <c r="N46" s="6">
        <f>YEAR(Input_Table[[#This Row],[DATE]])</f>
        <v>2019</v>
      </c>
    </row>
    <row r="47" spans="1:14" x14ac:dyDescent="0.3">
      <c r="A47" s="2">
        <f>_xlfn.XLOOKUP(B47,SuperMarket_Analysis[Invoice ID],SuperMarket_Analysis[Date])</f>
        <v>43523</v>
      </c>
      <c r="B47" s="6" t="s">
        <v>77</v>
      </c>
      <c r="C47" s="7">
        <f>_xlfn.XLOOKUP(B47,SuperMarket_Analysis[Invoice ID],SuperMarket_Analysis[Quantity])</f>
        <v>4</v>
      </c>
      <c r="D47" s="6" t="str">
        <f>_xlfn.XLOOKUP('Input data'!B47,'SuperMarket Analysis'!A:A,'SuperMarket Analysis'!F:F)</f>
        <v>Electronic accessories</v>
      </c>
      <c r="E47" s="6" t="str">
        <f>_xlfn.XLOOKUP(B47,'SuperMarket Analysis'!A:A,'SuperMarket Analysis'!M:M)</f>
        <v>Cash</v>
      </c>
      <c r="F47" s="6">
        <f>0.05*Input_Table[[#This Row],[TOTAL C.O.G.S]]</f>
        <v>18.791999999999998</v>
      </c>
      <c r="G47" s="6" t="str">
        <f>_xlfn.XLOOKUP(Input_Table[[#This Row],[INVOICE ID]],'SuperMarket Analysis'!A:A,'SuperMarket Analysis'!B:B)</f>
        <v>Cairo</v>
      </c>
      <c r="H47" s="6" t="str">
        <f>_xlfn.XLOOKUP(Input_Table[[#This Row],[INVOICE ID]],'SuperMarket Analysis'!A:A,'SuperMarket Analysis'!F:F)</f>
        <v>Electronic accessories</v>
      </c>
      <c r="I47" s="12">
        <f>_xlfn.XLOOKUP(Input_Table[[#This Row],[INVOICE ID]],'SuperMarket Analysis'!A:A,'SuperMarket Analysis'!G:G)</f>
        <v>93.96</v>
      </c>
      <c r="J47" s="12">
        <f>_xlfn.XLOOKUP(Input_Table[[#This Row],[INVOICE ID]],'SuperMarket Analysis'!A:A,'SuperMarket Analysis'!N:N)</f>
        <v>375.84</v>
      </c>
      <c r="K47" s="12">
        <f>_xlfn.XLOOKUP(Input_Table[[#This Row],[INVOICE ID]],'SuperMarket Analysis'!A:A,'SuperMarket Analysis'!J:J)</f>
        <v>394.63200000000001</v>
      </c>
      <c r="L47" s="6">
        <f>DAY(Input_Table[[#This Row],[DATE]])</f>
        <v>27</v>
      </c>
      <c r="M47" s="6" t="str">
        <f>TEXT(Input_Table[[#This Row],[DATE]],"mmmm")</f>
        <v>February</v>
      </c>
      <c r="N47" s="6">
        <f>YEAR(Input_Table[[#This Row],[DATE]])</f>
        <v>2019</v>
      </c>
    </row>
    <row r="48" spans="1:14" x14ac:dyDescent="0.3">
      <c r="A48" s="2">
        <f>_xlfn.XLOOKUP(B48,SuperMarket_Analysis[Invoice ID],SuperMarket_Analysis[Date])</f>
        <v>43488</v>
      </c>
      <c r="B48" s="6" t="s">
        <v>78</v>
      </c>
      <c r="C48" s="7">
        <f>_xlfn.XLOOKUP(B48,SuperMarket_Analysis[Invoice ID],SuperMarket_Analysis[Quantity])</f>
        <v>9</v>
      </c>
      <c r="D48" s="6" t="str">
        <f>_xlfn.XLOOKUP('Input data'!B48,'SuperMarket Analysis'!A:A,'SuperMarket Analysis'!F:F)</f>
        <v>Health and beauty</v>
      </c>
      <c r="E48" s="6" t="str">
        <f>_xlfn.XLOOKUP(B48,'SuperMarket Analysis'!A:A,'SuperMarket Analysis'!M:M)</f>
        <v>Credit card</v>
      </c>
      <c r="F48" s="6">
        <f>0.05*Input_Table[[#This Row],[TOTAL C.O.G.S]]</f>
        <v>25.5105</v>
      </c>
      <c r="G48" s="6" t="str">
        <f>_xlfn.XLOOKUP(Input_Table[[#This Row],[INVOICE ID]],'SuperMarket Analysis'!A:A,'SuperMarket Analysis'!B:B)</f>
        <v>Cairo</v>
      </c>
      <c r="H48" s="6" t="str">
        <f>_xlfn.XLOOKUP(Input_Table[[#This Row],[INVOICE ID]],'SuperMarket Analysis'!A:A,'SuperMarket Analysis'!F:F)</f>
        <v>Health and beauty</v>
      </c>
      <c r="I48" s="12">
        <f>_xlfn.XLOOKUP(Input_Table[[#This Row],[INVOICE ID]],'SuperMarket Analysis'!A:A,'SuperMarket Analysis'!G:G)</f>
        <v>56.69</v>
      </c>
      <c r="J48" s="12">
        <f>_xlfn.XLOOKUP(Input_Table[[#This Row],[INVOICE ID]],'SuperMarket Analysis'!A:A,'SuperMarket Analysis'!N:N)</f>
        <v>510.21</v>
      </c>
      <c r="K48" s="12">
        <f>_xlfn.XLOOKUP(Input_Table[[#This Row],[INVOICE ID]],'SuperMarket Analysis'!A:A,'SuperMarket Analysis'!J:J)</f>
        <v>535.72050000000002</v>
      </c>
      <c r="L48" s="6">
        <f>DAY(Input_Table[[#This Row],[DATE]])</f>
        <v>23</v>
      </c>
      <c r="M48" s="6" t="str">
        <f>TEXT(Input_Table[[#This Row],[DATE]],"mmmm")</f>
        <v>January</v>
      </c>
      <c r="N48" s="6">
        <f>YEAR(Input_Table[[#This Row],[DATE]])</f>
        <v>2019</v>
      </c>
    </row>
    <row r="49" spans="1:14" x14ac:dyDescent="0.3">
      <c r="A49" s="2">
        <f>_xlfn.XLOOKUP(B49,SuperMarket_Analysis[Invoice ID],SuperMarket_Analysis[Date])</f>
        <v>43491</v>
      </c>
      <c r="B49" s="6" t="s">
        <v>79</v>
      </c>
      <c r="C49" s="7">
        <f>_xlfn.XLOOKUP(B49,SuperMarket_Analysis[Invoice ID],SuperMarket_Analysis[Quantity])</f>
        <v>9</v>
      </c>
      <c r="D49" s="6" t="str">
        <f>_xlfn.XLOOKUP('Input data'!B49,'SuperMarket Analysis'!A:A,'SuperMarket Analysis'!F:F)</f>
        <v>Food and beverages</v>
      </c>
      <c r="E49" s="6" t="str">
        <f>_xlfn.XLOOKUP(B49,'SuperMarket Analysis'!A:A,'SuperMarket Analysis'!M:M)</f>
        <v>Ewallet</v>
      </c>
      <c r="F49" s="6">
        <f>0.05*Input_Table[[#This Row],[TOTAL C.O.G.S]]</f>
        <v>9.0045000000000002</v>
      </c>
      <c r="G49" s="6" t="str">
        <f>_xlfn.XLOOKUP(Input_Table[[#This Row],[INVOICE ID]],'SuperMarket Analysis'!A:A,'SuperMarket Analysis'!B:B)</f>
        <v>Cairo</v>
      </c>
      <c r="H49" s="6" t="str">
        <f>_xlfn.XLOOKUP(Input_Table[[#This Row],[INVOICE ID]],'SuperMarket Analysis'!A:A,'SuperMarket Analysis'!F:F)</f>
        <v>Food and beverages</v>
      </c>
      <c r="I49" s="12">
        <f>_xlfn.XLOOKUP(Input_Table[[#This Row],[INVOICE ID]],'SuperMarket Analysis'!A:A,'SuperMarket Analysis'!G:G)</f>
        <v>20.010000000000002</v>
      </c>
      <c r="J49" s="12">
        <f>_xlfn.XLOOKUP(Input_Table[[#This Row],[INVOICE ID]],'SuperMarket Analysis'!A:A,'SuperMarket Analysis'!N:N)</f>
        <v>180.09</v>
      </c>
      <c r="K49" s="12">
        <f>_xlfn.XLOOKUP(Input_Table[[#This Row],[INVOICE ID]],'SuperMarket Analysis'!A:A,'SuperMarket Analysis'!J:J)</f>
        <v>189.09450000000001</v>
      </c>
      <c r="L49" s="6">
        <f>DAY(Input_Table[[#This Row],[DATE]])</f>
        <v>26</v>
      </c>
      <c r="M49" s="6" t="str">
        <f>TEXT(Input_Table[[#This Row],[DATE]],"mmmm")</f>
        <v>January</v>
      </c>
      <c r="N49" s="6">
        <f>YEAR(Input_Table[[#This Row],[DATE]])</f>
        <v>2019</v>
      </c>
    </row>
    <row r="50" spans="1:14" x14ac:dyDescent="0.3">
      <c r="A50" s="2">
        <f>_xlfn.XLOOKUP(B50,SuperMarket_Analysis[Invoice ID],SuperMarket_Analysis[Date])</f>
        <v>43553</v>
      </c>
      <c r="B50" s="6" t="s">
        <v>80</v>
      </c>
      <c r="C50" s="7">
        <f>_xlfn.XLOOKUP(B50,SuperMarket_Analysis[Invoice ID],SuperMarket_Analysis[Quantity])</f>
        <v>6</v>
      </c>
      <c r="D50" s="6" t="str">
        <f>_xlfn.XLOOKUP('Input data'!B50,'SuperMarket Analysis'!A:A,'SuperMarket Analysis'!F:F)</f>
        <v>Electronic accessories</v>
      </c>
      <c r="E50" s="6" t="str">
        <f>_xlfn.XLOOKUP(B50,'SuperMarket Analysis'!A:A,'SuperMarket Analysis'!M:M)</f>
        <v>Credit card</v>
      </c>
      <c r="F50" s="6">
        <f>0.05*Input_Table[[#This Row],[TOTAL C.O.G.S]]</f>
        <v>5.6790000000000003</v>
      </c>
      <c r="G50" s="6" t="str">
        <f>_xlfn.XLOOKUP(Input_Table[[#This Row],[INVOICE ID]],'SuperMarket Analysis'!A:A,'SuperMarket Analysis'!B:B)</f>
        <v>Cairo</v>
      </c>
      <c r="H50" s="6" t="str">
        <f>_xlfn.XLOOKUP(Input_Table[[#This Row],[INVOICE ID]],'SuperMarket Analysis'!A:A,'SuperMarket Analysis'!F:F)</f>
        <v>Electronic accessories</v>
      </c>
      <c r="I50" s="12">
        <f>_xlfn.XLOOKUP(Input_Table[[#This Row],[INVOICE ID]],'SuperMarket Analysis'!A:A,'SuperMarket Analysis'!G:G)</f>
        <v>18.93</v>
      </c>
      <c r="J50" s="12">
        <f>_xlfn.XLOOKUP(Input_Table[[#This Row],[INVOICE ID]],'SuperMarket Analysis'!A:A,'SuperMarket Analysis'!N:N)</f>
        <v>113.58</v>
      </c>
      <c r="K50" s="12">
        <f>_xlfn.XLOOKUP(Input_Table[[#This Row],[INVOICE ID]],'SuperMarket Analysis'!A:A,'SuperMarket Analysis'!J:J)</f>
        <v>119.259</v>
      </c>
      <c r="L50" s="6">
        <f>DAY(Input_Table[[#This Row],[DATE]])</f>
        <v>29</v>
      </c>
      <c r="M50" s="6" t="str">
        <f>TEXT(Input_Table[[#This Row],[DATE]],"mmmm")</f>
        <v>March</v>
      </c>
      <c r="N50" s="6">
        <f>YEAR(Input_Table[[#This Row],[DATE]])</f>
        <v>2019</v>
      </c>
    </row>
    <row r="51" spans="1:14" x14ac:dyDescent="0.3">
      <c r="A51" s="2">
        <f>_xlfn.XLOOKUP(B51,SuperMarket_Analysis[Invoice ID],SuperMarket_Analysis[Date])</f>
        <v>43547</v>
      </c>
      <c r="B51" s="6" t="s">
        <v>81</v>
      </c>
      <c r="C51" s="7">
        <f>_xlfn.XLOOKUP(B51,SuperMarket_Analysis[Invoice ID],SuperMarket_Analysis[Quantity])</f>
        <v>10</v>
      </c>
      <c r="D51" s="6" t="str">
        <f>_xlfn.XLOOKUP('Input data'!B51,'SuperMarket Analysis'!A:A,'SuperMarket Analysis'!F:F)</f>
        <v>Fashion accessories</v>
      </c>
      <c r="E51" s="6" t="str">
        <f>_xlfn.XLOOKUP(B51,'SuperMarket Analysis'!A:A,'SuperMarket Analysis'!M:M)</f>
        <v>Ewallet</v>
      </c>
      <c r="F51" s="6">
        <f>0.05*Input_Table[[#This Row],[TOTAL C.O.G.S]]</f>
        <v>41.314999999999998</v>
      </c>
      <c r="G51" s="6" t="str">
        <f>_xlfn.XLOOKUP(Input_Table[[#This Row],[INVOICE ID]],'SuperMarket Analysis'!A:A,'SuperMarket Analysis'!B:B)</f>
        <v>Giza</v>
      </c>
      <c r="H51" s="6" t="str">
        <f>_xlfn.XLOOKUP(Input_Table[[#This Row],[INVOICE ID]],'SuperMarket Analysis'!A:A,'SuperMarket Analysis'!F:F)</f>
        <v>Fashion accessories</v>
      </c>
      <c r="I51" s="12">
        <f>_xlfn.XLOOKUP(Input_Table[[#This Row],[INVOICE ID]],'SuperMarket Analysis'!A:A,'SuperMarket Analysis'!G:G)</f>
        <v>82.63</v>
      </c>
      <c r="J51" s="12">
        <f>_xlfn.XLOOKUP(Input_Table[[#This Row],[INVOICE ID]],'SuperMarket Analysis'!A:A,'SuperMarket Analysis'!N:N)</f>
        <v>826.3</v>
      </c>
      <c r="K51" s="12">
        <f>_xlfn.XLOOKUP(Input_Table[[#This Row],[INVOICE ID]],'SuperMarket Analysis'!A:A,'SuperMarket Analysis'!J:J)</f>
        <v>867.61500000000001</v>
      </c>
      <c r="L51" s="6">
        <f>DAY(Input_Table[[#This Row],[DATE]])</f>
        <v>23</v>
      </c>
      <c r="M51" s="6" t="str">
        <f>TEXT(Input_Table[[#This Row],[DATE]],"mmmm")</f>
        <v>March</v>
      </c>
      <c r="N51" s="6">
        <f>YEAR(Input_Table[[#This Row],[DATE]])</f>
        <v>2019</v>
      </c>
    </row>
    <row r="52" spans="1:14" x14ac:dyDescent="0.3">
      <c r="A52" s="2">
        <f>_xlfn.XLOOKUP(B52,SuperMarket_Analysis[Invoice ID],SuperMarket_Analysis[Date])</f>
        <v>43550</v>
      </c>
      <c r="B52" s="6" t="s">
        <v>82</v>
      </c>
      <c r="C52" s="7">
        <f>_xlfn.XLOOKUP(B52,SuperMarket_Analysis[Invoice ID],SuperMarket_Analysis[Quantity])</f>
        <v>7</v>
      </c>
      <c r="D52" s="6" t="str">
        <f>_xlfn.XLOOKUP('Input data'!B52,'SuperMarket Analysis'!A:A,'SuperMarket Analysis'!F:F)</f>
        <v>Food and beverages</v>
      </c>
      <c r="E52" s="6" t="str">
        <f>_xlfn.XLOOKUP(B52,'SuperMarket Analysis'!A:A,'SuperMarket Analysis'!M:M)</f>
        <v>Cash</v>
      </c>
      <c r="F52" s="6">
        <f>0.05*Input_Table[[#This Row],[TOTAL C.O.G.S]]</f>
        <v>31.99</v>
      </c>
      <c r="G52" s="6" t="str">
        <f>_xlfn.XLOOKUP(Input_Table[[#This Row],[INVOICE ID]],'SuperMarket Analysis'!A:A,'SuperMarket Analysis'!B:B)</f>
        <v>Giza</v>
      </c>
      <c r="H52" s="6" t="str">
        <f>_xlfn.XLOOKUP(Input_Table[[#This Row],[INVOICE ID]],'SuperMarket Analysis'!A:A,'SuperMarket Analysis'!F:F)</f>
        <v>Food and beverages</v>
      </c>
      <c r="I52" s="12">
        <f>_xlfn.XLOOKUP(Input_Table[[#This Row],[INVOICE ID]],'SuperMarket Analysis'!A:A,'SuperMarket Analysis'!G:G)</f>
        <v>91.4</v>
      </c>
      <c r="J52" s="12">
        <f>_xlfn.XLOOKUP(Input_Table[[#This Row],[INVOICE ID]],'SuperMarket Analysis'!A:A,'SuperMarket Analysis'!N:N)</f>
        <v>639.79999999999995</v>
      </c>
      <c r="K52" s="12">
        <f>_xlfn.XLOOKUP(Input_Table[[#This Row],[INVOICE ID]],'SuperMarket Analysis'!A:A,'SuperMarket Analysis'!J:J)</f>
        <v>671.79</v>
      </c>
      <c r="L52" s="6">
        <f>DAY(Input_Table[[#This Row],[DATE]])</f>
        <v>26</v>
      </c>
      <c r="M52" s="6" t="str">
        <f>TEXT(Input_Table[[#This Row],[DATE]],"mmmm")</f>
        <v>March</v>
      </c>
      <c r="N52" s="6">
        <f>YEAR(Input_Table[[#This Row],[DATE]])</f>
        <v>2019</v>
      </c>
    </row>
    <row r="53" spans="1:14" x14ac:dyDescent="0.3">
      <c r="A53" s="2">
        <f>_xlfn.XLOOKUP(B53,SuperMarket_Analysis[Invoice ID],SuperMarket_Analysis[Date])</f>
        <v>43552</v>
      </c>
      <c r="B53" s="6" t="s">
        <v>83</v>
      </c>
      <c r="C53" s="7">
        <f>_xlfn.XLOOKUP(B53,SuperMarket_Analysis[Invoice ID],SuperMarket_Analysis[Quantity])</f>
        <v>5</v>
      </c>
      <c r="D53" s="6" t="str">
        <f>_xlfn.XLOOKUP('Input data'!B53,'SuperMarket Analysis'!A:A,'SuperMarket Analysis'!F:F)</f>
        <v>Food and beverages</v>
      </c>
      <c r="E53" s="6" t="str">
        <f>_xlfn.XLOOKUP(B53,'SuperMarket Analysis'!A:A,'SuperMarket Analysis'!M:M)</f>
        <v>Cash</v>
      </c>
      <c r="F53" s="6">
        <f>0.05*Input_Table[[#This Row],[TOTAL C.O.G.S]]</f>
        <v>11.147500000000001</v>
      </c>
      <c r="G53" s="6" t="str">
        <f>_xlfn.XLOOKUP(Input_Table[[#This Row],[INVOICE ID]],'SuperMarket Analysis'!A:A,'SuperMarket Analysis'!B:B)</f>
        <v>Alex</v>
      </c>
      <c r="H53" s="6" t="str">
        <f>_xlfn.XLOOKUP(Input_Table[[#This Row],[INVOICE ID]],'SuperMarket Analysis'!A:A,'SuperMarket Analysis'!F:F)</f>
        <v>Food and beverages</v>
      </c>
      <c r="I53" s="12">
        <f>_xlfn.XLOOKUP(Input_Table[[#This Row],[INVOICE ID]],'SuperMarket Analysis'!A:A,'SuperMarket Analysis'!G:G)</f>
        <v>44.59</v>
      </c>
      <c r="J53" s="12">
        <f>_xlfn.XLOOKUP(Input_Table[[#This Row],[INVOICE ID]],'SuperMarket Analysis'!A:A,'SuperMarket Analysis'!N:N)</f>
        <v>222.95</v>
      </c>
      <c r="K53" s="12">
        <f>_xlfn.XLOOKUP(Input_Table[[#This Row],[INVOICE ID]],'SuperMarket Analysis'!A:A,'SuperMarket Analysis'!J:J)</f>
        <v>234.0975</v>
      </c>
      <c r="L53" s="6">
        <f>DAY(Input_Table[[#This Row],[DATE]])</f>
        <v>28</v>
      </c>
      <c r="M53" s="6" t="str">
        <f>TEXT(Input_Table[[#This Row],[DATE]],"mmmm")</f>
        <v>March</v>
      </c>
      <c r="N53" s="6">
        <f>YEAR(Input_Table[[#This Row],[DATE]])</f>
        <v>2019</v>
      </c>
    </row>
    <row r="54" spans="1:14" x14ac:dyDescent="0.3">
      <c r="A54" s="2">
        <f>_xlfn.XLOOKUP(B54,SuperMarket_Analysis[Invoice ID],SuperMarket_Analysis[Date])</f>
        <v>43543</v>
      </c>
      <c r="B54" s="6" t="s">
        <v>84</v>
      </c>
      <c r="C54" s="7">
        <f>_xlfn.XLOOKUP(B54,SuperMarket_Analysis[Invoice ID],SuperMarket_Analysis[Quantity])</f>
        <v>4</v>
      </c>
      <c r="D54" s="6" t="str">
        <f>_xlfn.XLOOKUP('Input data'!B54,'SuperMarket Analysis'!A:A,'SuperMarket Analysis'!F:F)</f>
        <v>Fashion accessories</v>
      </c>
      <c r="E54" s="6" t="str">
        <f>_xlfn.XLOOKUP(B54,'SuperMarket Analysis'!A:A,'SuperMarket Analysis'!M:M)</f>
        <v>Ewallet</v>
      </c>
      <c r="F54" s="6">
        <f>0.05*Input_Table[[#This Row],[TOTAL C.O.G.S]]</f>
        <v>3.5740000000000003</v>
      </c>
      <c r="G54" s="6" t="str">
        <f>_xlfn.XLOOKUP(Input_Table[[#This Row],[INVOICE ID]],'SuperMarket Analysis'!A:A,'SuperMarket Analysis'!B:B)</f>
        <v>Cairo</v>
      </c>
      <c r="H54" s="6" t="str">
        <f>_xlfn.XLOOKUP(Input_Table[[#This Row],[INVOICE ID]],'SuperMarket Analysis'!A:A,'SuperMarket Analysis'!F:F)</f>
        <v>Fashion accessories</v>
      </c>
      <c r="I54" s="12">
        <f>_xlfn.XLOOKUP(Input_Table[[#This Row],[INVOICE ID]],'SuperMarket Analysis'!A:A,'SuperMarket Analysis'!G:G)</f>
        <v>17.87</v>
      </c>
      <c r="J54" s="12">
        <f>_xlfn.XLOOKUP(Input_Table[[#This Row],[INVOICE ID]],'SuperMarket Analysis'!A:A,'SuperMarket Analysis'!N:N)</f>
        <v>71.48</v>
      </c>
      <c r="K54" s="12">
        <f>_xlfn.XLOOKUP(Input_Table[[#This Row],[INVOICE ID]],'SuperMarket Analysis'!A:A,'SuperMarket Analysis'!J:J)</f>
        <v>75.054000000000002</v>
      </c>
      <c r="L54" s="6">
        <f>DAY(Input_Table[[#This Row],[DATE]])</f>
        <v>19</v>
      </c>
      <c r="M54" s="6" t="str">
        <f>TEXT(Input_Table[[#This Row],[DATE]],"mmmm")</f>
        <v>March</v>
      </c>
      <c r="N54" s="6">
        <f>YEAR(Input_Table[[#This Row],[DATE]])</f>
        <v>2019</v>
      </c>
    </row>
    <row r="55" spans="1:14" x14ac:dyDescent="0.3">
      <c r="A55" s="2">
        <f>_xlfn.XLOOKUP(B55,SuperMarket_Analysis[Invoice ID],SuperMarket_Analysis[Date])</f>
        <v>43546</v>
      </c>
      <c r="B55" s="6" t="s">
        <v>85</v>
      </c>
      <c r="C55" s="7">
        <f>_xlfn.XLOOKUP(B55,SuperMarket_Analysis[Invoice ID],SuperMarket_Analysis[Quantity])</f>
        <v>1</v>
      </c>
      <c r="D55" s="6" t="str">
        <f>_xlfn.XLOOKUP('Input data'!B55,'SuperMarket Analysis'!A:A,'SuperMarket Analysis'!F:F)</f>
        <v>Fashion accessories</v>
      </c>
      <c r="E55" s="6" t="str">
        <f>_xlfn.XLOOKUP(B55,'SuperMarket Analysis'!A:A,'SuperMarket Analysis'!M:M)</f>
        <v>Credit card</v>
      </c>
      <c r="F55" s="6">
        <f>0.05*Input_Table[[#This Row],[TOTAL C.O.G.S]]</f>
        <v>0.77150000000000007</v>
      </c>
      <c r="G55" s="6" t="str">
        <f>_xlfn.XLOOKUP(Input_Table[[#This Row],[INVOICE ID]],'SuperMarket Analysis'!A:A,'SuperMarket Analysis'!B:B)</f>
        <v>Giza</v>
      </c>
      <c r="H55" s="6" t="str">
        <f>_xlfn.XLOOKUP(Input_Table[[#This Row],[INVOICE ID]],'SuperMarket Analysis'!A:A,'SuperMarket Analysis'!F:F)</f>
        <v>Fashion accessories</v>
      </c>
      <c r="I55" s="12">
        <f>_xlfn.XLOOKUP(Input_Table[[#This Row],[INVOICE ID]],'SuperMarket Analysis'!A:A,'SuperMarket Analysis'!G:G)</f>
        <v>15.43</v>
      </c>
      <c r="J55" s="12">
        <f>_xlfn.XLOOKUP(Input_Table[[#This Row],[INVOICE ID]],'SuperMarket Analysis'!A:A,'SuperMarket Analysis'!N:N)</f>
        <v>15.43</v>
      </c>
      <c r="K55" s="12">
        <f>_xlfn.XLOOKUP(Input_Table[[#This Row],[INVOICE ID]],'SuperMarket Analysis'!A:A,'SuperMarket Analysis'!J:J)</f>
        <v>16.201499999999999</v>
      </c>
      <c r="L55" s="6">
        <f>DAY(Input_Table[[#This Row],[DATE]])</f>
        <v>22</v>
      </c>
      <c r="M55" s="6" t="str">
        <f>TEXT(Input_Table[[#This Row],[DATE]],"mmmm")</f>
        <v>March</v>
      </c>
      <c r="N55" s="6">
        <f>YEAR(Input_Table[[#This Row],[DATE]])</f>
        <v>2019</v>
      </c>
    </row>
    <row r="56" spans="1:14" x14ac:dyDescent="0.3">
      <c r="A56" s="2">
        <f>_xlfn.XLOOKUP(B56,SuperMarket_Analysis[Invoice ID],SuperMarket_Analysis[Date])</f>
        <v>43548</v>
      </c>
      <c r="B56" s="6" t="s">
        <v>86</v>
      </c>
      <c r="C56" s="7">
        <f>_xlfn.XLOOKUP(B56,SuperMarket_Analysis[Invoice ID],SuperMarket_Analysis[Quantity])</f>
        <v>2</v>
      </c>
      <c r="D56" s="6" t="str">
        <f>_xlfn.XLOOKUP('Input data'!B56,'SuperMarket Analysis'!A:A,'SuperMarket Analysis'!F:F)</f>
        <v>Home and lifestyle</v>
      </c>
      <c r="E56" s="6" t="str">
        <f>_xlfn.XLOOKUP(B56,'SuperMarket Analysis'!A:A,'SuperMarket Analysis'!M:M)</f>
        <v>Ewallet</v>
      </c>
      <c r="F56" s="6">
        <f>0.05*Input_Table[[#This Row],[TOTAL C.O.G.S]]</f>
        <v>1.6160000000000001</v>
      </c>
      <c r="G56" s="6" t="str">
        <f>_xlfn.XLOOKUP(Input_Table[[#This Row],[INVOICE ID]],'SuperMarket Analysis'!A:A,'SuperMarket Analysis'!B:B)</f>
        <v>Cairo</v>
      </c>
      <c r="H56" s="6" t="str">
        <f>_xlfn.XLOOKUP(Input_Table[[#This Row],[INVOICE ID]],'SuperMarket Analysis'!A:A,'SuperMarket Analysis'!F:F)</f>
        <v>Home and lifestyle</v>
      </c>
      <c r="I56" s="12">
        <f>_xlfn.XLOOKUP(Input_Table[[#This Row],[INVOICE ID]],'SuperMarket Analysis'!A:A,'SuperMarket Analysis'!G:G)</f>
        <v>16.16</v>
      </c>
      <c r="J56" s="12">
        <f>_xlfn.XLOOKUP(Input_Table[[#This Row],[INVOICE ID]],'SuperMarket Analysis'!A:A,'SuperMarket Analysis'!N:N)</f>
        <v>32.32</v>
      </c>
      <c r="K56" s="12">
        <f>_xlfn.XLOOKUP(Input_Table[[#This Row],[INVOICE ID]],'SuperMarket Analysis'!A:A,'SuperMarket Analysis'!J:J)</f>
        <v>33.936</v>
      </c>
      <c r="L56" s="6">
        <f>DAY(Input_Table[[#This Row],[DATE]])</f>
        <v>24</v>
      </c>
      <c r="M56" s="6" t="str">
        <f>TEXT(Input_Table[[#This Row],[DATE]],"mmmm")</f>
        <v>March</v>
      </c>
      <c r="N56" s="6">
        <f>YEAR(Input_Table[[#This Row],[DATE]])</f>
        <v>2019</v>
      </c>
    </row>
    <row r="57" spans="1:14" x14ac:dyDescent="0.3">
      <c r="A57" s="2">
        <f>_xlfn.XLOOKUP(B57,SuperMarket_Analysis[Invoice ID],SuperMarket_Analysis[Date])</f>
        <v>43511</v>
      </c>
      <c r="B57" s="6" t="s">
        <v>87</v>
      </c>
      <c r="C57" s="7">
        <f>_xlfn.XLOOKUP(B57,SuperMarket_Analysis[Invoice ID],SuperMarket_Analysis[Quantity])</f>
        <v>8</v>
      </c>
      <c r="D57" s="6" t="str">
        <f>_xlfn.XLOOKUP('Input data'!B57,'SuperMarket Analysis'!A:A,'SuperMarket Analysis'!F:F)</f>
        <v>Electronic accessories</v>
      </c>
      <c r="E57" s="6" t="str">
        <f>_xlfn.XLOOKUP(B57,'SuperMarket Analysis'!A:A,'SuperMarket Analysis'!M:M)</f>
        <v>Cash</v>
      </c>
      <c r="F57" s="6">
        <f>0.05*Input_Table[[#This Row],[TOTAL C.O.G.S]]</f>
        <v>34.392000000000003</v>
      </c>
      <c r="G57" s="6" t="str">
        <f>_xlfn.XLOOKUP(Input_Table[[#This Row],[INVOICE ID]],'SuperMarket Analysis'!A:A,'SuperMarket Analysis'!B:B)</f>
        <v>Giza</v>
      </c>
      <c r="H57" s="6" t="str">
        <f>_xlfn.XLOOKUP(Input_Table[[#This Row],[INVOICE ID]],'SuperMarket Analysis'!A:A,'SuperMarket Analysis'!F:F)</f>
        <v>Electronic accessories</v>
      </c>
      <c r="I57" s="12">
        <f>_xlfn.XLOOKUP(Input_Table[[#This Row],[INVOICE ID]],'SuperMarket Analysis'!A:A,'SuperMarket Analysis'!G:G)</f>
        <v>85.98</v>
      </c>
      <c r="J57" s="12">
        <f>_xlfn.XLOOKUP(Input_Table[[#This Row],[INVOICE ID]],'SuperMarket Analysis'!A:A,'SuperMarket Analysis'!N:N)</f>
        <v>687.84</v>
      </c>
      <c r="K57" s="12">
        <f>_xlfn.XLOOKUP(Input_Table[[#This Row],[INVOICE ID]],'SuperMarket Analysis'!A:A,'SuperMarket Analysis'!J:J)</f>
        <v>722.23199999999997</v>
      </c>
      <c r="L57" s="6">
        <f>DAY(Input_Table[[#This Row],[DATE]])</f>
        <v>15</v>
      </c>
      <c r="M57" s="6" t="str">
        <f>TEXT(Input_Table[[#This Row],[DATE]],"mmmm")</f>
        <v>February</v>
      </c>
      <c r="N57" s="6">
        <f>YEAR(Input_Table[[#This Row],[DATE]])</f>
        <v>2019</v>
      </c>
    </row>
    <row r="58" spans="1:14" x14ac:dyDescent="0.3">
      <c r="A58" s="2">
        <f>_xlfn.XLOOKUP(B58,SuperMarket_Analysis[Invoice ID],SuperMarket_Analysis[Date])</f>
        <v>43484</v>
      </c>
      <c r="B58" s="6" t="s">
        <v>88</v>
      </c>
      <c r="C58" s="7">
        <f>_xlfn.XLOOKUP(B58,SuperMarket_Analysis[Invoice ID],SuperMarket_Analysis[Quantity])</f>
        <v>2</v>
      </c>
      <c r="D58" s="6" t="str">
        <f>_xlfn.XLOOKUP('Input data'!B58,'SuperMarket Analysis'!A:A,'SuperMarket Analysis'!F:F)</f>
        <v>Home and lifestyle</v>
      </c>
      <c r="E58" s="6" t="str">
        <f>_xlfn.XLOOKUP(B58,'SuperMarket Analysis'!A:A,'SuperMarket Analysis'!M:M)</f>
        <v>Cash</v>
      </c>
      <c r="F58" s="6">
        <f>0.05*Input_Table[[#This Row],[TOTAL C.O.G.S]]</f>
        <v>4.4340000000000002</v>
      </c>
      <c r="G58" s="6" t="str">
        <f>_xlfn.XLOOKUP(Input_Table[[#This Row],[INVOICE ID]],'SuperMarket Analysis'!A:A,'SuperMarket Analysis'!B:B)</f>
        <v>Alex</v>
      </c>
      <c r="H58" s="6" t="str">
        <f>_xlfn.XLOOKUP(Input_Table[[#This Row],[INVOICE ID]],'SuperMarket Analysis'!A:A,'SuperMarket Analysis'!F:F)</f>
        <v>Home and lifestyle</v>
      </c>
      <c r="I58" s="12">
        <f>_xlfn.XLOOKUP(Input_Table[[#This Row],[INVOICE ID]],'SuperMarket Analysis'!A:A,'SuperMarket Analysis'!G:G)</f>
        <v>44.34</v>
      </c>
      <c r="J58" s="12">
        <f>_xlfn.XLOOKUP(Input_Table[[#This Row],[INVOICE ID]],'SuperMarket Analysis'!A:A,'SuperMarket Analysis'!N:N)</f>
        <v>88.68</v>
      </c>
      <c r="K58" s="12">
        <f>_xlfn.XLOOKUP(Input_Table[[#This Row],[INVOICE ID]],'SuperMarket Analysis'!A:A,'SuperMarket Analysis'!J:J)</f>
        <v>93.114000000000004</v>
      </c>
      <c r="L58" s="6">
        <f>DAY(Input_Table[[#This Row],[DATE]])</f>
        <v>19</v>
      </c>
      <c r="M58" s="6" t="str">
        <f>TEXT(Input_Table[[#This Row],[DATE]],"mmmm")</f>
        <v>January</v>
      </c>
      <c r="N58" s="6">
        <f>YEAR(Input_Table[[#This Row],[DATE]])</f>
        <v>2019</v>
      </c>
    </row>
    <row r="59" spans="1:14" x14ac:dyDescent="0.3">
      <c r="A59" s="2">
        <f>_xlfn.XLOOKUP(B59,SuperMarket_Analysis[Invoice ID],SuperMarket_Analysis[Date])</f>
        <v>43481</v>
      </c>
      <c r="B59" s="6" t="s">
        <v>89</v>
      </c>
      <c r="C59" s="7">
        <f>_xlfn.XLOOKUP(B59,SuperMarket_Analysis[Invoice ID],SuperMarket_Analysis[Quantity])</f>
        <v>8</v>
      </c>
      <c r="D59" s="6" t="str">
        <f>_xlfn.XLOOKUP('Input data'!B59,'SuperMarket Analysis'!A:A,'SuperMarket Analysis'!F:F)</f>
        <v>Health and beauty</v>
      </c>
      <c r="E59" s="6" t="str">
        <f>_xlfn.XLOOKUP(B59,'SuperMarket Analysis'!A:A,'SuperMarket Analysis'!M:M)</f>
        <v>Ewallet</v>
      </c>
      <c r="F59" s="6">
        <f>0.05*Input_Table[[#This Row],[TOTAL C.O.G.S]]</f>
        <v>35.839999999999996</v>
      </c>
      <c r="G59" s="6" t="str">
        <f>_xlfn.XLOOKUP(Input_Table[[#This Row],[INVOICE ID]],'SuperMarket Analysis'!A:A,'SuperMarket Analysis'!B:B)</f>
        <v>Alex</v>
      </c>
      <c r="H59" s="6" t="str">
        <f>_xlfn.XLOOKUP(Input_Table[[#This Row],[INVOICE ID]],'SuperMarket Analysis'!A:A,'SuperMarket Analysis'!F:F)</f>
        <v>Health and beauty</v>
      </c>
      <c r="I59" s="12">
        <f>_xlfn.XLOOKUP(Input_Table[[#This Row],[INVOICE ID]],'SuperMarket Analysis'!A:A,'SuperMarket Analysis'!G:G)</f>
        <v>89.6</v>
      </c>
      <c r="J59" s="12">
        <f>_xlfn.XLOOKUP(Input_Table[[#This Row],[INVOICE ID]],'SuperMarket Analysis'!A:A,'SuperMarket Analysis'!N:N)</f>
        <v>716.8</v>
      </c>
      <c r="K59" s="12">
        <f>_xlfn.XLOOKUP(Input_Table[[#This Row],[INVOICE ID]],'SuperMarket Analysis'!A:A,'SuperMarket Analysis'!J:J)</f>
        <v>752.64</v>
      </c>
      <c r="L59" s="6">
        <f>DAY(Input_Table[[#This Row],[DATE]])</f>
        <v>16</v>
      </c>
      <c r="M59" s="6" t="str">
        <f>TEXT(Input_Table[[#This Row],[DATE]],"mmmm")</f>
        <v>January</v>
      </c>
      <c r="N59" s="6">
        <f>YEAR(Input_Table[[#This Row],[DATE]])</f>
        <v>2019</v>
      </c>
    </row>
    <row r="60" spans="1:14" x14ac:dyDescent="0.3">
      <c r="A60" s="2">
        <f>_xlfn.XLOOKUP(B60,SuperMarket_Analysis[Invoice ID],SuperMarket_Analysis[Date])</f>
        <v>43485</v>
      </c>
      <c r="B60" s="6" t="s">
        <v>90</v>
      </c>
      <c r="C60" s="7">
        <f>_xlfn.XLOOKUP(B60,SuperMarket_Analysis[Invoice ID],SuperMarket_Analysis[Quantity])</f>
        <v>10</v>
      </c>
      <c r="D60" s="6" t="str">
        <f>_xlfn.XLOOKUP('Input data'!B60,'SuperMarket Analysis'!A:A,'SuperMarket Analysis'!F:F)</f>
        <v>Home and lifestyle</v>
      </c>
      <c r="E60" s="6" t="str">
        <f>_xlfn.XLOOKUP(B60,'SuperMarket Analysis'!A:A,'SuperMarket Analysis'!M:M)</f>
        <v>Cash</v>
      </c>
      <c r="F60" s="6">
        <f>0.05*Input_Table[[#This Row],[TOTAL C.O.G.S]]</f>
        <v>36.175000000000004</v>
      </c>
      <c r="G60" s="6" t="str">
        <f>_xlfn.XLOOKUP(Input_Table[[#This Row],[INVOICE ID]],'SuperMarket Analysis'!A:A,'SuperMarket Analysis'!B:B)</f>
        <v>Alex</v>
      </c>
      <c r="H60" s="6" t="str">
        <f>_xlfn.XLOOKUP(Input_Table[[#This Row],[INVOICE ID]],'SuperMarket Analysis'!A:A,'SuperMarket Analysis'!F:F)</f>
        <v>Home and lifestyle</v>
      </c>
      <c r="I60" s="12">
        <f>_xlfn.XLOOKUP(Input_Table[[#This Row],[INVOICE ID]],'SuperMarket Analysis'!A:A,'SuperMarket Analysis'!G:G)</f>
        <v>72.349999999999994</v>
      </c>
      <c r="J60" s="12">
        <f>_xlfn.XLOOKUP(Input_Table[[#This Row],[INVOICE ID]],'SuperMarket Analysis'!A:A,'SuperMarket Analysis'!N:N)</f>
        <v>723.5</v>
      </c>
      <c r="K60" s="12">
        <f>_xlfn.XLOOKUP(Input_Table[[#This Row],[INVOICE ID]],'SuperMarket Analysis'!A:A,'SuperMarket Analysis'!J:J)</f>
        <v>759.67499999999995</v>
      </c>
      <c r="L60" s="6">
        <f>DAY(Input_Table[[#This Row],[DATE]])</f>
        <v>20</v>
      </c>
      <c r="M60" s="6" t="str">
        <f>TEXT(Input_Table[[#This Row],[DATE]],"mmmm")</f>
        <v>January</v>
      </c>
      <c r="N60" s="6">
        <f>YEAR(Input_Table[[#This Row],[DATE]])</f>
        <v>2019</v>
      </c>
    </row>
    <row r="61" spans="1:14" x14ac:dyDescent="0.3">
      <c r="A61" s="2">
        <f>_xlfn.XLOOKUP(B61,SuperMarket_Analysis[Invoice ID],SuperMarket_Analysis[Date])</f>
        <v>43510</v>
      </c>
      <c r="B61" s="6" t="s">
        <v>91</v>
      </c>
      <c r="C61" s="7">
        <f>_xlfn.XLOOKUP(B61,SuperMarket_Analysis[Invoice ID],SuperMarket_Analysis[Quantity])</f>
        <v>6</v>
      </c>
      <c r="D61" s="6" t="str">
        <f>_xlfn.XLOOKUP('Input data'!B61,'SuperMarket Analysis'!A:A,'SuperMarket Analysis'!F:F)</f>
        <v>Electronic accessories</v>
      </c>
      <c r="E61" s="6" t="str">
        <f>_xlfn.XLOOKUP(B61,'SuperMarket Analysis'!A:A,'SuperMarket Analysis'!M:M)</f>
        <v>Cash</v>
      </c>
      <c r="F61" s="6">
        <f>0.05*Input_Table[[#This Row],[TOTAL C.O.G.S]]</f>
        <v>9.1829999999999998</v>
      </c>
      <c r="G61" s="6" t="str">
        <f>_xlfn.XLOOKUP(Input_Table[[#This Row],[INVOICE ID]],'SuperMarket Analysis'!A:A,'SuperMarket Analysis'!B:B)</f>
        <v>Giza</v>
      </c>
      <c r="H61" s="6" t="str">
        <f>_xlfn.XLOOKUP(Input_Table[[#This Row],[INVOICE ID]],'SuperMarket Analysis'!A:A,'SuperMarket Analysis'!F:F)</f>
        <v>Electronic accessories</v>
      </c>
      <c r="I61" s="12">
        <f>_xlfn.XLOOKUP(Input_Table[[#This Row],[INVOICE ID]],'SuperMarket Analysis'!A:A,'SuperMarket Analysis'!G:G)</f>
        <v>30.61</v>
      </c>
      <c r="J61" s="12">
        <f>_xlfn.XLOOKUP(Input_Table[[#This Row],[INVOICE ID]],'SuperMarket Analysis'!A:A,'SuperMarket Analysis'!N:N)</f>
        <v>183.66</v>
      </c>
      <c r="K61" s="12">
        <f>_xlfn.XLOOKUP(Input_Table[[#This Row],[INVOICE ID]],'SuperMarket Analysis'!A:A,'SuperMarket Analysis'!J:J)</f>
        <v>192.84299999999999</v>
      </c>
      <c r="L61" s="6">
        <f>DAY(Input_Table[[#This Row],[DATE]])</f>
        <v>14</v>
      </c>
      <c r="M61" s="6" t="str">
        <f>TEXT(Input_Table[[#This Row],[DATE]],"mmmm")</f>
        <v>February</v>
      </c>
      <c r="N61" s="6">
        <f>YEAR(Input_Table[[#This Row],[DATE]])</f>
        <v>2019</v>
      </c>
    </row>
    <row r="62" spans="1:14" x14ac:dyDescent="0.3">
      <c r="A62" s="2">
        <f>_xlfn.XLOOKUP(B62,SuperMarket_Analysis[Invoice ID],SuperMarket_Analysis[Date])</f>
        <v>43537</v>
      </c>
      <c r="B62" s="6" t="s">
        <v>92</v>
      </c>
      <c r="C62" s="7">
        <f>_xlfn.XLOOKUP(B62,SuperMarket_Analysis[Invoice ID],SuperMarket_Analysis[Quantity])</f>
        <v>3</v>
      </c>
      <c r="D62" s="6" t="str">
        <f>_xlfn.XLOOKUP('Input data'!B62,'SuperMarket Analysis'!A:A,'SuperMarket Analysis'!F:F)</f>
        <v>Sports and travel</v>
      </c>
      <c r="E62" s="6" t="str">
        <f>_xlfn.XLOOKUP(B62,'SuperMarket Analysis'!A:A,'SuperMarket Analysis'!M:M)</f>
        <v>Credit card</v>
      </c>
      <c r="F62" s="6">
        <f>0.05*Input_Table[[#This Row],[TOTAL C.O.G.S]]</f>
        <v>3.7110000000000003</v>
      </c>
      <c r="G62" s="6" t="str">
        <f>_xlfn.XLOOKUP(Input_Table[[#This Row],[INVOICE ID]],'SuperMarket Analysis'!A:A,'SuperMarket Analysis'!B:B)</f>
        <v>Giza</v>
      </c>
      <c r="H62" s="6" t="str">
        <f>_xlfn.XLOOKUP(Input_Table[[#This Row],[INVOICE ID]],'SuperMarket Analysis'!A:A,'SuperMarket Analysis'!F:F)</f>
        <v>Sports and travel</v>
      </c>
      <c r="I62" s="12">
        <f>_xlfn.XLOOKUP(Input_Table[[#This Row],[INVOICE ID]],'SuperMarket Analysis'!A:A,'SuperMarket Analysis'!G:G)</f>
        <v>24.74</v>
      </c>
      <c r="J62" s="12">
        <f>_xlfn.XLOOKUP(Input_Table[[#This Row],[INVOICE ID]],'SuperMarket Analysis'!A:A,'SuperMarket Analysis'!N:N)</f>
        <v>74.22</v>
      </c>
      <c r="K62" s="12">
        <f>_xlfn.XLOOKUP(Input_Table[[#This Row],[INVOICE ID]],'SuperMarket Analysis'!A:A,'SuperMarket Analysis'!J:J)</f>
        <v>77.930999999999997</v>
      </c>
      <c r="L62" s="6">
        <f>DAY(Input_Table[[#This Row],[DATE]])</f>
        <v>13</v>
      </c>
      <c r="M62" s="6" t="str">
        <f>TEXT(Input_Table[[#This Row],[DATE]],"mmmm")</f>
        <v>March</v>
      </c>
      <c r="N62" s="6">
        <f>YEAR(Input_Table[[#This Row],[DATE]])</f>
        <v>2019</v>
      </c>
    </row>
    <row r="63" spans="1:14" x14ac:dyDescent="0.3">
      <c r="A63" s="2">
        <f>_xlfn.XLOOKUP(B63,SuperMarket_Analysis[Invoice ID],SuperMarket_Analysis[Date])</f>
        <v>43492</v>
      </c>
      <c r="B63" s="6" t="s">
        <v>93</v>
      </c>
      <c r="C63" s="7">
        <f>_xlfn.XLOOKUP(B63,SuperMarket_Analysis[Invoice ID],SuperMarket_Analysis[Quantity])</f>
        <v>6</v>
      </c>
      <c r="D63" s="6" t="str">
        <f>_xlfn.XLOOKUP('Input data'!B63,'SuperMarket Analysis'!A:A,'SuperMarket Analysis'!F:F)</f>
        <v>Home and lifestyle</v>
      </c>
      <c r="E63" s="6" t="str">
        <f>_xlfn.XLOOKUP(B63,'SuperMarket Analysis'!A:A,'SuperMarket Analysis'!M:M)</f>
        <v>Ewallet</v>
      </c>
      <c r="F63" s="6">
        <f>0.05*Input_Table[[#This Row],[TOTAL C.O.G.S]]</f>
        <v>16.719000000000001</v>
      </c>
      <c r="G63" s="6" t="str">
        <f>_xlfn.XLOOKUP(Input_Table[[#This Row],[INVOICE ID]],'SuperMarket Analysis'!A:A,'SuperMarket Analysis'!B:B)</f>
        <v>Giza</v>
      </c>
      <c r="H63" s="6" t="str">
        <f>_xlfn.XLOOKUP(Input_Table[[#This Row],[INVOICE ID]],'SuperMarket Analysis'!A:A,'SuperMarket Analysis'!F:F)</f>
        <v>Home and lifestyle</v>
      </c>
      <c r="I63" s="12">
        <f>_xlfn.XLOOKUP(Input_Table[[#This Row],[INVOICE ID]],'SuperMarket Analysis'!A:A,'SuperMarket Analysis'!G:G)</f>
        <v>55.73</v>
      </c>
      <c r="J63" s="12">
        <f>_xlfn.XLOOKUP(Input_Table[[#This Row],[INVOICE ID]],'SuperMarket Analysis'!A:A,'SuperMarket Analysis'!N:N)</f>
        <v>334.38</v>
      </c>
      <c r="K63" s="12">
        <f>_xlfn.XLOOKUP(Input_Table[[#This Row],[INVOICE ID]],'SuperMarket Analysis'!A:A,'SuperMarket Analysis'!J:J)</f>
        <v>351.09899999999999</v>
      </c>
      <c r="L63" s="6">
        <f>DAY(Input_Table[[#This Row],[DATE]])</f>
        <v>27</v>
      </c>
      <c r="M63" s="6" t="str">
        <f>TEXT(Input_Table[[#This Row],[DATE]],"mmmm")</f>
        <v>January</v>
      </c>
      <c r="N63" s="6">
        <f>YEAR(Input_Table[[#This Row],[DATE]])</f>
        <v>2019</v>
      </c>
    </row>
    <row r="64" spans="1:14" x14ac:dyDescent="0.3">
      <c r="A64" s="2">
        <f>_xlfn.XLOOKUP(B64,SuperMarket_Analysis[Invoice ID],SuperMarket_Analysis[Date])</f>
        <v>43490</v>
      </c>
      <c r="B64" s="6" t="s">
        <v>94</v>
      </c>
      <c r="C64" s="7">
        <f>_xlfn.XLOOKUP(B64,SuperMarket_Analysis[Invoice ID],SuperMarket_Analysis[Quantity])</f>
        <v>9</v>
      </c>
      <c r="D64" s="6" t="str">
        <f>_xlfn.XLOOKUP('Input data'!B64,'SuperMarket Analysis'!A:A,'SuperMarket Analysis'!F:F)</f>
        <v>Sports and travel</v>
      </c>
      <c r="E64" s="6" t="str">
        <f>_xlfn.XLOOKUP(B64,'SuperMarket Analysis'!A:A,'SuperMarket Analysis'!M:M)</f>
        <v>Ewallet</v>
      </c>
      <c r="F64" s="6">
        <f>0.05*Input_Table[[#This Row],[TOTAL C.O.G.S]]</f>
        <v>24.781500000000001</v>
      </c>
      <c r="G64" s="6" t="str">
        <f>_xlfn.XLOOKUP(Input_Table[[#This Row],[INVOICE ID]],'SuperMarket Analysis'!A:A,'SuperMarket Analysis'!B:B)</f>
        <v>Cairo</v>
      </c>
      <c r="H64" s="6" t="str">
        <f>_xlfn.XLOOKUP(Input_Table[[#This Row],[INVOICE ID]],'SuperMarket Analysis'!A:A,'SuperMarket Analysis'!F:F)</f>
        <v>Sports and travel</v>
      </c>
      <c r="I64" s="12">
        <f>_xlfn.XLOOKUP(Input_Table[[#This Row],[INVOICE ID]],'SuperMarket Analysis'!A:A,'SuperMarket Analysis'!G:G)</f>
        <v>55.07</v>
      </c>
      <c r="J64" s="12">
        <f>_xlfn.XLOOKUP(Input_Table[[#This Row],[INVOICE ID]],'SuperMarket Analysis'!A:A,'SuperMarket Analysis'!N:N)</f>
        <v>495.63</v>
      </c>
      <c r="K64" s="12">
        <f>_xlfn.XLOOKUP(Input_Table[[#This Row],[INVOICE ID]],'SuperMarket Analysis'!A:A,'SuperMarket Analysis'!J:J)</f>
        <v>520.41150000000005</v>
      </c>
      <c r="L64" s="6">
        <f>DAY(Input_Table[[#This Row],[DATE]])</f>
        <v>25</v>
      </c>
      <c r="M64" s="6" t="str">
        <f>TEXT(Input_Table[[#This Row],[DATE]],"mmmm")</f>
        <v>January</v>
      </c>
      <c r="N64" s="6">
        <f>YEAR(Input_Table[[#This Row],[DATE]])</f>
        <v>2019</v>
      </c>
    </row>
    <row r="65" spans="1:14" x14ac:dyDescent="0.3">
      <c r="A65" s="2">
        <f>_xlfn.XLOOKUP(B65,SuperMarket_Analysis[Invoice ID],SuperMarket_Analysis[Date])</f>
        <v>43513</v>
      </c>
      <c r="B65" s="6" t="s">
        <v>95</v>
      </c>
      <c r="C65" s="7">
        <f>_xlfn.XLOOKUP(B65,SuperMarket_Analysis[Invoice ID],SuperMarket_Analysis[Quantity])</f>
        <v>10</v>
      </c>
      <c r="D65" s="6" t="str">
        <f>_xlfn.XLOOKUP('Input data'!B65,'SuperMarket Analysis'!A:A,'SuperMarket Analysis'!F:F)</f>
        <v>Sports and travel</v>
      </c>
      <c r="E65" s="6" t="str">
        <f>_xlfn.XLOOKUP(B65,'SuperMarket Analysis'!A:A,'SuperMarket Analysis'!M:M)</f>
        <v>Credit card</v>
      </c>
      <c r="F65" s="6">
        <f>0.05*Input_Table[[#This Row],[TOTAL C.O.G.S]]</f>
        <v>7.9050000000000002</v>
      </c>
      <c r="G65" s="6" t="str">
        <f>_xlfn.XLOOKUP(Input_Table[[#This Row],[INVOICE ID]],'SuperMarket Analysis'!A:A,'SuperMarket Analysis'!B:B)</f>
        <v>Alex</v>
      </c>
      <c r="H65" s="6" t="str">
        <f>_xlfn.XLOOKUP(Input_Table[[#This Row],[INVOICE ID]],'SuperMarket Analysis'!A:A,'SuperMarket Analysis'!F:F)</f>
        <v>Sports and travel</v>
      </c>
      <c r="I65" s="12">
        <f>_xlfn.XLOOKUP(Input_Table[[#This Row],[INVOICE ID]],'SuperMarket Analysis'!A:A,'SuperMarket Analysis'!G:G)</f>
        <v>15.81</v>
      </c>
      <c r="J65" s="12">
        <f>_xlfn.XLOOKUP(Input_Table[[#This Row],[INVOICE ID]],'SuperMarket Analysis'!A:A,'SuperMarket Analysis'!N:N)</f>
        <v>158.1</v>
      </c>
      <c r="K65" s="12">
        <f>_xlfn.XLOOKUP(Input_Table[[#This Row],[INVOICE ID]],'SuperMarket Analysis'!A:A,'SuperMarket Analysis'!J:J)</f>
        <v>166.005</v>
      </c>
      <c r="L65" s="6">
        <f>DAY(Input_Table[[#This Row],[DATE]])</f>
        <v>17</v>
      </c>
      <c r="M65" s="6" t="str">
        <f>TEXT(Input_Table[[#This Row],[DATE]],"mmmm")</f>
        <v>February</v>
      </c>
      <c r="N65" s="6">
        <f>YEAR(Input_Table[[#This Row],[DATE]])</f>
        <v>2019</v>
      </c>
    </row>
    <row r="66" spans="1:14" x14ac:dyDescent="0.3">
      <c r="A66" s="2">
        <f>_xlfn.XLOOKUP(B66,SuperMarket_Analysis[Invoice ID],SuperMarket_Analysis[Date])</f>
        <v>43514</v>
      </c>
      <c r="B66" s="6" t="s">
        <v>96</v>
      </c>
      <c r="C66" s="7">
        <f>_xlfn.XLOOKUP(B66,SuperMarket_Analysis[Invoice ID],SuperMarket_Analysis[Quantity])</f>
        <v>4</v>
      </c>
      <c r="D66" s="6" t="str">
        <f>_xlfn.XLOOKUP('Input data'!B66,'SuperMarket Analysis'!A:A,'SuperMarket Analysis'!F:F)</f>
        <v>Health and beauty</v>
      </c>
      <c r="E66" s="6" t="str">
        <f>_xlfn.XLOOKUP(B66,'SuperMarket Analysis'!A:A,'SuperMarket Analysis'!M:M)</f>
        <v>Cash</v>
      </c>
      <c r="F66" s="6">
        <f>0.05*Input_Table[[#This Row],[TOTAL C.O.G.S]]</f>
        <v>15.148</v>
      </c>
      <c r="G66" s="6" t="str">
        <f>_xlfn.XLOOKUP(Input_Table[[#This Row],[INVOICE ID]],'SuperMarket Analysis'!A:A,'SuperMarket Analysis'!B:B)</f>
        <v>Cairo</v>
      </c>
      <c r="H66" s="6" t="str">
        <f>_xlfn.XLOOKUP(Input_Table[[#This Row],[INVOICE ID]],'SuperMarket Analysis'!A:A,'SuperMarket Analysis'!F:F)</f>
        <v>Health and beauty</v>
      </c>
      <c r="I66" s="12">
        <f>_xlfn.XLOOKUP(Input_Table[[#This Row],[INVOICE ID]],'SuperMarket Analysis'!A:A,'SuperMarket Analysis'!G:G)</f>
        <v>75.739999999999995</v>
      </c>
      <c r="J66" s="12">
        <f>_xlfn.XLOOKUP(Input_Table[[#This Row],[INVOICE ID]],'SuperMarket Analysis'!A:A,'SuperMarket Analysis'!N:N)</f>
        <v>302.95999999999998</v>
      </c>
      <c r="K66" s="12">
        <f>_xlfn.XLOOKUP(Input_Table[[#This Row],[INVOICE ID]],'SuperMarket Analysis'!A:A,'SuperMarket Analysis'!J:J)</f>
        <v>318.108</v>
      </c>
      <c r="L66" s="6">
        <f>DAY(Input_Table[[#This Row],[DATE]])</f>
        <v>18</v>
      </c>
      <c r="M66" s="6" t="str">
        <f>TEXT(Input_Table[[#This Row],[DATE]],"mmmm")</f>
        <v>February</v>
      </c>
      <c r="N66" s="6">
        <f>YEAR(Input_Table[[#This Row],[DATE]])</f>
        <v>2019</v>
      </c>
    </row>
    <row r="67" spans="1:14" x14ac:dyDescent="0.3">
      <c r="A67" s="2">
        <f>_xlfn.XLOOKUP(B67,SuperMarket_Analysis[Invoice ID],SuperMarket_Analysis[Date])</f>
        <v>43483</v>
      </c>
      <c r="B67" s="6" t="s">
        <v>97</v>
      </c>
      <c r="C67" s="7">
        <f>_xlfn.XLOOKUP(B67,SuperMarket_Analysis[Invoice ID],SuperMarket_Analysis[Quantity])</f>
        <v>10</v>
      </c>
      <c r="D67" s="6" t="str">
        <f>_xlfn.XLOOKUP('Input data'!B67,'SuperMarket Analysis'!A:A,'SuperMarket Analysis'!F:F)</f>
        <v>Health and beauty</v>
      </c>
      <c r="E67" s="6" t="str">
        <f>_xlfn.XLOOKUP(B67,'SuperMarket Analysis'!A:A,'SuperMarket Analysis'!M:M)</f>
        <v>Cash</v>
      </c>
      <c r="F67" s="6">
        <f>0.05*Input_Table[[#This Row],[TOTAL C.O.G.S]]</f>
        <v>7.9349999999999996</v>
      </c>
      <c r="G67" s="6" t="str">
        <f>_xlfn.XLOOKUP(Input_Table[[#This Row],[INVOICE ID]],'SuperMarket Analysis'!A:A,'SuperMarket Analysis'!B:B)</f>
        <v>Alex</v>
      </c>
      <c r="H67" s="6" t="str">
        <f>_xlfn.XLOOKUP(Input_Table[[#This Row],[INVOICE ID]],'SuperMarket Analysis'!A:A,'SuperMarket Analysis'!F:F)</f>
        <v>Health and beauty</v>
      </c>
      <c r="I67" s="12">
        <f>_xlfn.XLOOKUP(Input_Table[[#This Row],[INVOICE ID]],'SuperMarket Analysis'!A:A,'SuperMarket Analysis'!G:G)</f>
        <v>15.87</v>
      </c>
      <c r="J67" s="12">
        <f>_xlfn.XLOOKUP(Input_Table[[#This Row],[INVOICE ID]],'SuperMarket Analysis'!A:A,'SuperMarket Analysis'!N:N)</f>
        <v>158.69999999999999</v>
      </c>
      <c r="K67" s="12">
        <f>_xlfn.XLOOKUP(Input_Table[[#This Row],[INVOICE ID]],'SuperMarket Analysis'!A:A,'SuperMarket Analysis'!J:J)</f>
        <v>166.63499999999999</v>
      </c>
      <c r="L67" s="6">
        <f>DAY(Input_Table[[#This Row],[DATE]])</f>
        <v>18</v>
      </c>
      <c r="M67" s="6" t="str">
        <f>TEXT(Input_Table[[#This Row],[DATE]],"mmmm")</f>
        <v>January</v>
      </c>
      <c r="N67" s="6">
        <f>YEAR(Input_Table[[#This Row],[DATE]])</f>
        <v>2019</v>
      </c>
    </row>
    <row r="68" spans="1:14" x14ac:dyDescent="0.3">
      <c r="A68" s="2">
        <f>_xlfn.XLOOKUP(B68,SuperMarket_Analysis[Invoice ID],SuperMarket_Analysis[Date])</f>
        <v>43514</v>
      </c>
      <c r="B68" s="6" t="s">
        <v>98</v>
      </c>
      <c r="C68" s="7">
        <f>_xlfn.XLOOKUP(B68,SuperMarket_Analysis[Invoice ID],SuperMarket_Analysis[Quantity])</f>
        <v>2</v>
      </c>
      <c r="D68" s="6" t="str">
        <f>_xlfn.XLOOKUP('Input data'!B68,'SuperMarket Analysis'!A:A,'SuperMarket Analysis'!F:F)</f>
        <v>Health and beauty</v>
      </c>
      <c r="E68" s="6" t="str">
        <f>_xlfn.XLOOKUP(B68,'SuperMarket Analysis'!A:A,'SuperMarket Analysis'!M:M)</f>
        <v>Ewallet</v>
      </c>
      <c r="F68" s="6">
        <f>0.05*Input_Table[[#This Row],[TOTAL C.O.G.S]]</f>
        <v>3.347</v>
      </c>
      <c r="G68" s="6" t="str">
        <f>_xlfn.XLOOKUP(Input_Table[[#This Row],[INVOICE ID]],'SuperMarket Analysis'!A:A,'SuperMarket Analysis'!B:B)</f>
        <v>Giza</v>
      </c>
      <c r="H68" s="6" t="str">
        <f>_xlfn.XLOOKUP(Input_Table[[#This Row],[INVOICE ID]],'SuperMarket Analysis'!A:A,'SuperMarket Analysis'!F:F)</f>
        <v>Health and beauty</v>
      </c>
      <c r="I68" s="12">
        <f>_xlfn.XLOOKUP(Input_Table[[#This Row],[INVOICE ID]],'SuperMarket Analysis'!A:A,'SuperMarket Analysis'!G:G)</f>
        <v>33.47</v>
      </c>
      <c r="J68" s="12">
        <f>_xlfn.XLOOKUP(Input_Table[[#This Row],[INVOICE ID]],'SuperMarket Analysis'!A:A,'SuperMarket Analysis'!N:N)</f>
        <v>66.94</v>
      </c>
      <c r="K68" s="12">
        <f>_xlfn.XLOOKUP(Input_Table[[#This Row],[INVOICE ID]],'SuperMarket Analysis'!A:A,'SuperMarket Analysis'!J:J)</f>
        <v>70.287000000000006</v>
      </c>
      <c r="L68" s="6">
        <f>DAY(Input_Table[[#This Row],[DATE]])</f>
        <v>18</v>
      </c>
      <c r="M68" s="6" t="str">
        <f>TEXT(Input_Table[[#This Row],[DATE]],"mmmm")</f>
        <v>February</v>
      </c>
      <c r="N68" s="6">
        <f>YEAR(Input_Table[[#This Row],[DATE]])</f>
        <v>2019</v>
      </c>
    </row>
    <row r="69" spans="1:14" x14ac:dyDescent="0.3">
      <c r="A69" s="2">
        <f>_xlfn.XLOOKUP(B69,SuperMarket_Analysis[Invoice ID],SuperMarket_Analysis[Date])</f>
        <v>43512</v>
      </c>
      <c r="B69" s="6" t="s">
        <v>99</v>
      </c>
      <c r="C69" s="7">
        <f>_xlfn.XLOOKUP(B69,SuperMarket_Analysis[Invoice ID],SuperMarket_Analysis[Quantity])</f>
        <v>6</v>
      </c>
      <c r="D69" s="6" t="str">
        <f>_xlfn.XLOOKUP('Input data'!B69,'SuperMarket Analysis'!A:A,'SuperMarket Analysis'!F:F)</f>
        <v>Fashion accessories</v>
      </c>
      <c r="E69" s="6" t="str">
        <f>_xlfn.XLOOKUP(B69,'SuperMarket Analysis'!A:A,'SuperMarket Analysis'!M:M)</f>
        <v>Ewallet</v>
      </c>
      <c r="F69" s="6">
        <f>0.05*Input_Table[[#This Row],[TOTAL C.O.G.S]]</f>
        <v>29.283000000000001</v>
      </c>
      <c r="G69" s="6" t="str">
        <f>_xlfn.XLOOKUP(Input_Table[[#This Row],[INVOICE ID]],'SuperMarket Analysis'!A:A,'SuperMarket Analysis'!B:B)</f>
        <v>Cairo</v>
      </c>
      <c r="H69" s="6" t="str">
        <f>_xlfn.XLOOKUP(Input_Table[[#This Row],[INVOICE ID]],'SuperMarket Analysis'!A:A,'SuperMarket Analysis'!F:F)</f>
        <v>Fashion accessories</v>
      </c>
      <c r="I69" s="12">
        <f>_xlfn.XLOOKUP(Input_Table[[#This Row],[INVOICE ID]],'SuperMarket Analysis'!A:A,'SuperMarket Analysis'!G:G)</f>
        <v>97.61</v>
      </c>
      <c r="J69" s="12">
        <f>_xlfn.XLOOKUP(Input_Table[[#This Row],[INVOICE ID]],'SuperMarket Analysis'!A:A,'SuperMarket Analysis'!N:N)</f>
        <v>585.66</v>
      </c>
      <c r="K69" s="12">
        <f>_xlfn.XLOOKUP(Input_Table[[#This Row],[INVOICE ID]],'SuperMarket Analysis'!A:A,'SuperMarket Analysis'!J:J)</f>
        <v>614.94299999999998</v>
      </c>
      <c r="L69" s="6">
        <f>DAY(Input_Table[[#This Row],[DATE]])</f>
        <v>16</v>
      </c>
      <c r="M69" s="6" t="str">
        <f>TEXT(Input_Table[[#This Row],[DATE]],"mmmm")</f>
        <v>February</v>
      </c>
      <c r="N69" s="6">
        <f>YEAR(Input_Table[[#This Row],[DATE]])</f>
        <v>2019</v>
      </c>
    </row>
    <row r="70" spans="1:14" x14ac:dyDescent="0.3">
      <c r="A70" s="2">
        <f>_xlfn.XLOOKUP(B70,SuperMarket_Analysis[Invoice ID],SuperMarket_Analysis[Date])</f>
        <v>43540</v>
      </c>
      <c r="B70" s="6" t="s">
        <v>100</v>
      </c>
      <c r="C70" s="7">
        <f>_xlfn.XLOOKUP(B70,SuperMarket_Analysis[Invoice ID],SuperMarket_Analysis[Quantity])</f>
        <v>10</v>
      </c>
      <c r="D70" s="6" t="str">
        <f>_xlfn.XLOOKUP('Input data'!B70,'SuperMarket Analysis'!A:A,'SuperMarket Analysis'!F:F)</f>
        <v>Sports and travel</v>
      </c>
      <c r="E70" s="6" t="str">
        <f>_xlfn.XLOOKUP(B70,'SuperMarket Analysis'!A:A,'SuperMarket Analysis'!M:M)</f>
        <v>Cash</v>
      </c>
      <c r="F70" s="6">
        <f>0.05*Input_Table[[#This Row],[TOTAL C.O.G.S]]</f>
        <v>39.385000000000005</v>
      </c>
      <c r="G70" s="6" t="str">
        <f>_xlfn.XLOOKUP(Input_Table[[#This Row],[INVOICE ID]],'SuperMarket Analysis'!A:A,'SuperMarket Analysis'!B:B)</f>
        <v>Alex</v>
      </c>
      <c r="H70" s="6" t="str">
        <f>_xlfn.XLOOKUP(Input_Table[[#This Row],[INVOICE ID]],'SuperMarket Analysis'!A:A,'SuperMarket Analysis'!F:F)</f>
        <v>Sports and travel</v>
      </c>
      <c r="I70" s="12">
        <f>_xlfn.XLOOKUP(Input_Table[[#This Row],[INVOICE ID]],'SuperMarket Analysis'!A:A,'SuperMarket Analysis'!G:G)</f>
        <v>78.77</v>
      </c>
      <c r="J70" s="12">
        <f>_xlfn.XLOOKUP(Input_Table[[#This Row],[INVOICE ID]],'SuperMarket Analysis'!A:A,'SuperMarket Analysis'!N:N)</f>
        <v>787.7</v>
      </c>
      <c r="K70" s="12">
        <f>_xlfn.XLOOKUP(Input_Table[[#This Row],[INVOICE ID]],'SuperMarket Analysis'!A:A,'SuperMarket Analysis'!J:J)</f>
        <v>827.08500000000004</v>
      </c>
      <c r="L70" s="6">
        <f>DAY(Input_Table[[#This Row],[DATE]])</f>
        <v>16</v>
      </c>
      <c r="M70" s="6" t="str">
        <f>TEXT(Input_Table[[#This Row],[DATE]],"mmmm")</f>
        <v>March</v>
      </c>
      <c r="N70" s="6">
        <f>YEAR(Input_Table[[#This Row],[DATE]])</f>
        <v>2019</v>
      </c>
    </row>
    <row r="71" spans="1:14" x14ac:dyDescent="0.3">
      <c r="A71" s="2">
        <f>_xlfn.XLOOKUP(B71,SuperMarket_Analysis[Invoice ID],SuperMarket_Analysis[Date])</f>
        <v>43488</v>
      </c>
      <c r="B71" s="6" t="s">
        <v>101</v>
      </c>
      <c r="C71" s="7">
        <f>_xlfn.XLOOKUP(B71,SuperMarket_Analysis[Invoice ID],SuperMarket_Analysis[Quantity])</f>
        <v>1</v>
      </c>
      <c r="D71" s="6" t="str">
        <f>_xlfn.XLOOKUP('Input data'!B71,'SuperMarket Analysis'!A:A,'SuperMarket Analysis'!F:F)</f>
        <v>Health and beauty</v>
      </c>
      <c r="E71" s="6" t="str">
        <f>_xlfn.XLOOKUP(B71,'SuperMarket Analysis'!A:A,'SuperMarket Analysis'!M:M)</f>
        <v>Cash</v>
      </c>
      <c r="F71" s="6">
        <f>0.05*Input_Table[[#This Row],[TOTAL C.O.G.S]]</f>
        <v>0.91649999999999998</v>
      </c>
      <c r="G71" s="6" t="str">
        <f>_xlfn.XLOOKUP(Input_Table[[#This Row],[INVOICE ID]],'SuperMarket Analysis'!A:A,'SuperMarket Analysis'!B:B)</f>
        <v>Alex</v>
      </c>
      <c r="H71" s="6" t="str">
        <f>_xlfn.XLOOKUP(Input_Table[[#This Row],[INVOICE ID]],'SuperMarket Analysis'!A:A,'SuperMarket Analysis'!F:F)</f>
        <v>Health and beauty</v>
      </c>
      <c r="I71" s="12">
        <f>_xlfn.XLOOKUP(Input_Table[[#This Row],[INVOICE ID]],'SuperMarket Analysis'!A:A,'SuperMarket Analysis'!G:G)</f>
        <v>18.329999999999998</v>
      </c>
      <c r="J71" s="12">
        <f>_xlfn.XLOOKUP(Input_Table[[#This Row],[INVOICE ID]],'SuperMarket Analysis'!A:A,'SuperMarket Analysis'!N:N)</f>
        <v>18.329999999999998</v>
      </c>
      <c r="K71" s="12">
        <f>_xlfn.XLOOKUP(Input_Table[[#This Row],[INVOICE ID]],'SuperMarket Analysis'!A:A,'SuperMarket Analysis'!J:J)</f>
        <v>19.246500000000001</v>
      </c>
      <c r="L71" s="6">
        <f>DAY(Input_Table[[#This Row],[DATE]])</f>
        <v>23</v>
      </c>
      <c r="M71" s="6" t="str">
        <f>TEXT(Input_Table[[#This Row],[DATE]],"mmmm")</f>
        <v>January</v>
      </c>
      <c r="N71" s="6">
        <f>YEAR(Input_Table[[#This Row],[DATE]])</f>
        <v>2019</v>
      </c>
    </row>
    <row r="72" spans="1:14" x14ac:dyDescent="0.3">
      <c r="A72" s="2">
        <f>_xlfn.XLOOKUP(B72,SuperMarket_Analysis[Invoice ID],SuperMarket_Analysis[Date])</f>
        <v>43490</v>
      </c>
      <c r="B72" s="6" t="s">
        <v>102</v>
      </c>
      <c r="C72" s="7">
        <f>_xlfn.XLOOKUP(B72,SuperMarket_Analysis[Invoice ID],SuperMarket_Analysis[Quantity])</f>
        <v>10</v>
      </c>
      <c r="D72" s="6" t="str">
        <f>_xlfn.XLOOKUP('Input data'!B72,'SuperMarket Analysis'!A:A,'SuperMarket Analysis'!F:F)</f>
        <v>Food and beverages</v>
      </c>
      <c r="E72" s="6" t="str">
        <f>_xlfn.XLOOKUP(B72,'SuperMarket Analysis'!A:A,'SuperMarket Analysis'!M:M)</f>
        <v>Credit card</v>
      </c>
      <c r="F72" s="6">
        <f>0.05*Input_Table[[#This Row],[TOTAL C.O.G.S]]</f>
        <v>44.74</v>
      </c>
      <c r="G72" s="6" t="str">
        <f>_xlfn.XLOOKUP(Input_Table[[#This Row],[INVOICE ID]],'SuperMarket Analysis'!A:A,'SuperMarket Analysis'!B:B)</f>
        <v>Giza</v>
      </c>
      <c r="H72" s="6" t="str">
        <f>_xlfn.XLOOKUP(Input_Table[[#This Row],[INVOICE ID]],'SuperMarket Analysis'!A:A,'SuperMarket Analysis'!F:F)</f>
        <v>Food and beverages</v>
      </c>
      <c r="I72" s="12">
        <f>_xlfn.XLOOKUP(Input_Table[[#This Row],[INVOICE ID]],'SuperMarket Analysis'!A:A,'SuperMarket Analysis'!G:G)</f>
        <v>89.48</v>
      </c>
      <c r="J72" s="12">
        <f>_xlfn.XLOOKUP(Input_Table[[#This Row],[INVOICE ID]],'SuperMarket Analysis'!A:A,'SuperMarket Analysis'!N:N)</f>
        <v>894.8</v>
      </c>
      <c r="K72" s="12">
        <f>_xlfn.XLOOKUP(Input_Table[[#This Row],[INVOICE ID]],'SuperMarket Analysis'!A:A,'SuperMarket Analysis'!J:J)</f>
        <v>939.54</v>
      </c>
      <c r="L72" s="6">
        <f>DAY(Input_Table[[#This Row],[DATE]])</f>
        <v>25</v>
      </c>
      <c r="M72" s="6" t="str">
        <f>TEXT(Input_Table[[#This Row],[DATE]],"mmmm")</f>
        <v>January</v>
      </c>
      <c r="N72" s="6">
        <f>YEAR(Input_Table[[#This Row],[DATE]])</f>
        <v>2019</v>
      </c>
    </row>
    <row r="73" spans="1:14" x14ac:dyDescent="0.3">
      <c r="A73" s="2">
        <f>_xlfn.XLOOKUP(B73,SuperMarket_Analysis[Invoice ID],SuperMarket_Analysis[Date])</f>
        <v>43518</v>
      </c>
      <c r="B73" s="6" t="s">
        <v>103</v>
      </c>
      <c r="C73" s="7">
        <f>_xlfn.XLOOKUP(B73,SuperMarket_Analysis[Invoice ID],SuperMarket_Analysis[Quantity])</f>
        <v>10</v>
      </c>
      <c r="D73" s="6" t="str">
        <f>_xlfn.XLOOKUP('Input data'!B73,'SuperMarket Analysis'!A:A,'SuperMarket Analysis'!F:F)</f>
        <v>Fashion accessories</v>
      </c>
      <c r="E73" s="6" t="str">
        <f>_xlfn.XLOOKUP(B73,'SuperMarket Analysis'!A:A,'SuperMarket Analysis'!M:M)</f>
        <v>Cash</v>
      </c>
      <c r="F73" s="6">
        <f>0.05*Input_Table[[#This Row],[TOTAL C.O.G.S]]</f>
        <v>31.060000000000002</v>
      </c>
      <c r="G73" s="6" t="str">
        <f>_xlfn.XLOOKUP(Input_Table[[#This Row],[INVOICE ID]],'SuperMarket Analysis'!A:A,'SuperMarket Analysis'!B:B)</f>
        <v>Giza</v>
      </c>
      <c r="H73" s="6" t="str">
        <f>_xlfn.XLOOKUP(Input_Table[[#This Row],[INVOICE ID]],'SuperMarket Analysis'!A:A,'SuperMarket Analysis'!F:F)</f>
        <v>Fashion accessories</v>
      </c>
      <c r="I73" s="12">
        <f>_xlfn.XLOOKUP(Input_Table[[#This Row],[INVOICE ID]],'SuperMarket Analysis'!A:A,'SuperMarket Analysis'!G:G)</f>
        <v>62.12</v>
      </c>
      <c r="J73" s="12">
        <f>_xlfn.XLOOKUP(Input_Table[[#This Row],[INVOICE ID]],'SuperMarket Analysis'!A:A,'SuperMarket Analysis'!N:N)</f>
        <v>621.20000000000005</v>
      </c>
      <c r="K73" s="12">
        <f>_xlfn.XLOOKUP(Input_Table[[#This Row],[INVOICE ID]],'SuperMarket Analysis'!A:A,'SuperMarket Analysis'!J:J)</f>
        <v>652.26</v>
      </c>
      <c r="L73" s="6">
        <f>DAY(Input_Table[[#This Row],[DATE]])</f>
        <v>22</v>
      </c>
      <c r="M73" s="6" t="str">
        <f>TEXT(Input_Table[[#This Row],[DATE]],"mmmm")</f>
        <v>February</v>
      </c>
      <c r="N73" s="6">
        <f>YEAR(Input_Table[[#This Row],[DATE]])</f>
        <v>2019</v>
      </c>
    </row>
    <row r="74" spans="1:14" x14ac:dyDescent="0.3">
      <c r="A74" s="2">
        <f>_xlfn.XLOOKUP(B74,SuperMarket_Analysis[Invoice ID],SuperMarket_Analysis[Date])</f>
        <v>43486</v>
      </c>
      <c r="B74" s="6" t="s">
        <v>104</v>
      </c>
      <c r="C74" s="7">
        <f>_xlfn.XLOOKUP(B74,SuperMarket_Analysis[Invoice ID],SuperMarket_Analysis[Quantity])</f>
        <v>3</v>
      </c>
      <c r="D74" s="6" t="str">
        <f>_xlfn.XLOOKUP('Input data'!B74,'SuperMarket Analysis'!A:A,'SuperMarket Analysis'!F:F)</f>
        <v>Food and beverages</v>
      </c>
      <c r="E74" s="6" t="str">
        <f>_xlfn.XLOOKUP(B74,'SuperMarket Analysis'!A:A,'SuperMarket Analysis'!M:M)</f>
        <v>Ewallet</v>
      </c>
      <c r="F74" s="6">
        <f>0.05*Input_Table[[#This Row],[TOTAL C.O.G.S]]</f>
        <v>7.2780000000000005</v>
      </c>
      <c r="G74" s="6" t="str">
        <f>_xlfn.XLOOKUP(Input_Table[[#This Row],[INVOICE ID]],'SuperMarket Analysis'!A:A,'SuperMarket Analysis'!B:B)</f>
        <v>Cairo</v>
      </c>
      <c r="H74" s="6" t="str">
        <f>_xlfn.XLOOKUP(Input_Table[[#This Row],[INVOICE ID]],'SuperMarket Analysis'!A:A,'SuperMarket Analysis'!F:F)</f>
        <v>Food and beverages</v>
      </c>
      <c r="I74" s="12">
        <f>_xlfn.XLOOKUP(Input_Table[[#This Row],[INVOICE ID]],'SuperMarket Analysis'!A:A,'SuperMarket Analysis'!G:G)</f>
        <v>48.52</v>
      </c>
      <c r="J74" s="12">
        <f>_xlfn.XLOOKUP(Input_Table[[#This Row],[INVOICE ID]],'SuperMarket Analysis'!A:A,'SuperMarket Analysis'!N:N)</f>
        <v>145.56</v>
      </c>
      <c r="K74" s="12">
        <f>_xlfn.XLOOKUP(Input_Table[[#This Row],[INVOICE ID]],'SuperMarket Analysis'!A:A,'SuperMarket Analysis'!J:J)</f>
        <v>152.83799999999999</v>
      </c>
      <c r="L74" s="6">
        <f>DAY(Input_Table[[#This Row],[DATE]])</f>
        <v>21</v>
      </c>
      <c r="M74" s="6" t="str">
        <f>TEXT(Input_Table[[#This Row],[DATE]],"mmmm")</f>
        <v>January</v>
      </c>
      <c r="N74" s="6">
        <f>YEAR(Input_Table[[#This Row],[DATE]])</f>
        <v>2019</v>
      </c>
    </row>
    <row r="75" spans="1:14" x14ac:dyDescent="0.3">
      <c r="A75" s="2">
        <f>_xlfn.XLOOKUP(B75,SuperMarket_Analysis[Invoice ID],SuperMarket_Analysis[Date])</f>
        <v>43543</v>
      </c>
      <c r="B75" s="6" t="s">
        <v>105</v>
      </c>
      <c r="C75" s="7">
        <f>_xlfn.XLOOKUP(B75,SuperMarket_Analysis[Invoice ID],SuperMarket_Analysis[Quantity])</f>
        <v>6</v>
      </c>
      <c r="D75" s="6" t="str">
        <f>_xlfn.XLOOKUP('Input data'!B75,'SuperMarket Analysis'!A:A,'SuperMarket Analysis'!F:F)</f>
        <v>Electronic accessories</v>
      </c>
      <c r="E75" s="6" t="str">
        <f>_xlfn.XLOOKUP(B75,'SuperMarket Analysis'!A:A,'SuperMarket Analysis'!M:M)</f>
        <v>Cash</v>
      </c>
      <c r="F75" s="6">
        <f>0.05*Input_Table[[#This Row],[TOTAL C.O.G.S]]</f>
        <v>22.773</v>
      </c>
      <c r="G75" s="6" t="str">
        <f>_xlfn.XLOOKUP(Input_Table[[#This Row],[INVOICE ID]],'SuperMarket Analysis'!A:A,'SuperMarket Analysis'!B:B)</f>
        <v>Giza</v>
      </c>
      <c r="H75" s="6" t="str">
        <f>_xlfn.XLOOKUP(Input_Table[[#This Row],[INVOICE ID]],'SuperMarket Analysis'!A:A,'SuperMarket Analysis'!F:F)</f>
        <v>Electronic accessories</v>
      </c>
      <c r="I75" s="12">
        <f>_xlfn.XLOOKUP(Input_Table[[#This Row],[INVOICE ID]],'SuperMarket Analysis'!A:A,'SuperMarket Analysis'!G:G)</f>
        <v>75.91</v>
      </c>
      <c r="J75" s="12">
        <f>_xlfn.XLOOKUP(Input_Table[[#This Row],[INVOICE ID]],'SuperMarket Analysis'!A:A,'SuperMarket Analysis'!N:N)</f>
        <v>455.46</v>
      </c>
      <c r="K75" s="12">
        <f>_xlfn.XLOOKUP(Input_Table[[#This Row],[INVOICE ID]],'SuperMarket Analysis'!A:A,'SuperMarket Analysis'!J:J)</f>
        <v>478.233</v>
      </c>
      <c r="L75" s="6">
        <f>DAY(Input_Table[[#This Row],[DATE]])</f>
        <v>19</v>
      </c>
      <c r="M75" s="6" t="str">
        <f>TEXT(Input_Table[[#This Row],[DATE]],"mmmm")</f>
        <v>March</v>
      </c>
      <c r="N75" s="6">
        <f>YEAR(Input_Table[[#This Row],[DATE]])</f>
        <v>2019</v>
      </c>
    </row>
    <row r="76" spans="1:14" x14ac:dyDescent="0.3">
      <c r="A76" s="2">
        <f>_xlfn.XLOOKUP(B76,SuperMarket_Analysis[Invoice ID],SuperMarket_Analysis[Date])</f>
        <v>43551</v>
      </c>
      <c r="B76" s="6" t="s">
        <v>106</v>
      </c>
      <c r="C76" s="7">
        <f>_xlfn.XLOOKUP(B76,SuperMarket_Analysis[Invoice ID],SuperMarket_Analysis[Quantity])</f>
        <v>9</v>
      </c>
      <c r="D76" s="6" t="str">
        <f>_xlfn.XLOOKUP('Input data'!B76,'SuperMarket Analysis'!A:A,'SuperMarket Analysis'!F:F)</f>
        <v>Home and lifestyle</v>
      </c>
      <c r="E76" s="6" t="str">
        <f>_xlfn.XLOOKUP(B76,'SuperMarket Analysis'!A:A,'SuperMarket Analysis'!M:M)</f>
        <v>Ewallet</v>
      </c>
      <c r="F76" s="6">
        <f>0.05*Input_Table[[#This Row],[TOTAL C.O.G.S]]</f>
        <v>33.601500000000001</v>
      </c>
      <c r="G76" s="6" t="str">
        <f>_xlfn.XLOOKUP(Input_Table[[#This Row],[INVOICE ID]],'SuperMarket Analysis'!A:A,'SuperMarket Analysis'!B:B)</f>
        <v>Alex</v>
      </c>
      <c r="H76" s="6" t="str">
        <f>_xlfn.XLOOKUP(Input_Table[[#This Row],[INVOICE ID]],'SuperMarket Analysis'!A:A,'SuperMarket Analysis'!F:F)</f>
        <v>Home and lifestyle</v>
      </c>
      <c r="I76" s="12">
        <f>_xlfn.XLOOKUP(Input_Table[[#This Row],[INVOICE ID]],'SuperMarket Analysis'!A:A,'SuperMarket Analysis'!G:G)</f>
        <v>74.67</v>
      </c>
      <c r="J76" s="12">
        <f>_xlfn.XLOOKUP(Input_Table[[#This Row],[INVOICE ID]],'SuperMarket Analysis'!A:A,'SuperMarket Analysis'!N:N)</f>
        <v>672.03</v>
      </c>
      <c r="K76" s="12">
        <f>_xlfn.XLOOKUP(Input_Table[[#This Row],[INVOICE ID]],'SuperMarket Analysis'!A:A,'SuperMarket Analysis'!J:J)</f>
        <v>705.63149999999996</v>
      </c>
      <c r="L76" s="6">
        <f>DAY(Input_Table[[#This Row],[DATE]])</f>
        <v>27</v>
      </c>
      <c r="M76" s="6" t="str">
        <f>TEXT(Input_Table[[#This Row],[DATE]],"mmmm")</f>
        <v>March</v>
      </c>
      <c r="N76" s="6">
        <f>YEAR(Input_Table[[#This Row],[DATE]])</f>
        <v>2019</v>
      </c>
    </row>
    <row r="77" spans="1:14" x14ac:dyDescent="0.3">
      <c r="A77" s="2">
        <f>_xlfn.XLOOKUP(B77,SuperMarket_Analysis[Invoice ID],SuperMarket_Analysis[Date])</f>
        <v>43547</v>
      </c>
      <c r="B77" s="6" t="s">
        <v>107</v>
      </c>
      <c r="C77" s="7">
        <f>_xlfn.XLOOKUP(B77,SuperMarket_Analysis[Invoice ID],SuperMarket_Analysis[Quantity])</f>
        <v>10</v>
      </c>
      <c r="D77" s="6" t="str">
        <f>_xlfn.XLOOKUP('Input data'!B77,'SuperMarket Analysis'!A:A,'SuperMarket Analysis'!F:F)</f>
        <v>Electronic accessories</v>
      </c>
      <c r="E77" s="6" t="str">
        <f>_xlfn.XLOOKUP(B77,'SuperMarket Analysis'!A:A,'SuperMarket Analysis'!M:M)</f>
        <v>Credit card</v>
      </c>
      <c r="F77" s="6">
        <f>0.05*Input_Table[[#This Row],[TOTAL C.O.G.S]]</f>
        <v>20.825000000000003</v>
      </c>
      <c r="G77" s="6" t="str">
        <f>_xlfn.XLOOKUP(Input_Table[[#This Row],[INVOICE ID]],'SuperMarket Analysis'!A:A,'SuperMarket Analysis'!B:B)</f>
        <v>Giza</v>
      </c>
      <c r="H77" s="6" t="str">
        <f>_xlfn.XLOOKUP(Input_Table[[#This Row],[INVOICE ID]],'SuperMarket Analysis'!A:A,'SuperMarket Analysis'!F:F)</f>
        <v>Electronic accessories</v>
      </c>
      <c r="I77" s="12">
        <f>_xlfn.XLOOKUP(Input_Table[[#This Row],[INVOICE ID]],'SuperMarket Analysis'!A:A,'SuperMarket Analysis'!G:G)</f>
        <v>41.65</v>
      </c>
      <c r="J77" s="12">
        <f>_xlfn.XLOOKUP(Input_Table[[#This Row],[INVOICE ID]],'SuperMarket Analysis'!A:A,'SuperMarket Analysis'!N:N)</f>
        <v>416.5</v>
      </c>
      <c r="K77" s="12">
        <f>_xlfn.XLOOKUP(Input_Table[[#This Row],[INVOICE ID]],'SuperMarket Analysis'!A:A,'SuperMarket Analysis'!J:J)</f>
        <v>437.32499999999999</v>
      </c>
      <c r="L77" s="6">
        <f>DAY(Input_Table[[#This Row],[DATE]])</f>
        <v>23</v>
      </c>
      <c r="M77" s="6" t="str">
        <f>TEXT(Input_Table[[#This Row],[DATE]],"mmmm")</f>
        <v>March</v>
      </c>
      <c r="N77" s="6">
        <f>YEAR(Input_Table[[#This Row],[DATE]])</f>
        <v>2019</v>
      </c>
    </row>
    <row r="78" spans="1:14" x14ac:dyDescent="0.3">
      <c r="A78" s="2">
        <f>_xlfn.XLOOKUP(B78,SuperMarket_Analysis[Invoice ID],SuperMarket_Analysis[Date])</f>
        <v>43494</v>
      </c>
      <c r="B78" s="6" t="s">
        <v>108</v>
      </c>
      <c r="C78" s="7">
        <f>_xlfn.XLOOKUP(B78,SuperMarket_Analysis[Invoice ID],SuperMarket_Analysis[Quantity])</f>
        <v>9</v>
      </c>
      <c r="D78" s="6" t="str">
        <f>_xlfn.XLOOKUP('Input data'!B78,'SuperMarket Analysis'!A:A,'SuperMarket Analysis'!F:F)</f>
        <v>Fashion accessories</v>
      </c>
      <c r="E78" s="6" t="str">
        <f>_xlfn.XLOOKUP(B78,'SuperMarket Analysis'!A:A,'SuperMarket Analysis'!M:M)</f>
        <v>Credit card</v>
      </c>
      <c r="F78" s="6">
        <f>0.05*Input_Table[[#This Row],[TOTAL C.O.G.S]]</f>
        <v>22.068000000000001</v>
      </c>
      <c r="G78" s="6" t="str">
        <f>_xlfn.XLOOKUP(Input_Table[[#This Row],[INVOICE ID]],'SuperMarket Analysis'!A:A,'SuperMarket Analysis'!B:B)</f>
        <v>Giza</v>
      </c>
      <c r="H78" s="6" t="str">
        <f>_xlfn.XLOOKUP(Input_Table[[#This Row],[INVOICE ID]],'SuperMarket Analysis'!A:A,'SuperMarket Analysis'!F:F)</f>
        <v>Fashion accessories</v>
      </c>
      <c r="I78" s="12">
        <f>_xlfn.XLOOKUP(Input_Table[[#This Row],[INVOICE ID]],'SuperMarket Analysis'!A:A,'SuperMarket Analysis'!G:G)</f>
        <v>49.04</v>
      </c>
      <c r="J78" s="12">
        <f>_xlfn.XLOOKUP(Input_Table[[#This Row],[INVOICE ID]],'SuperMarket Analysis'!A:A,'SuperMarket Analysis'!N:N)</f>
        <v>441.36</v>
      </c>
      <c r="K78" s="12">
        <f>_xlfn.XLOOKUP(Input_Table[[#This Row],[INVOICE ID]],'SuperMarket Analysis'!A:A,'SuperMarket Analysis'!J:J)</f>
        <v>463.428</v>
      </c>
      <c r="L78" s="6">
        <f>DAY(Input_Table[[#This Row],[DATE]])</f>
        <v>29</v>
      </c>
      <c r="M78" s="6" t="str">
        <f>TEXT(Input_Table[[#This Row],[DATE]],"mmmm")</f>
        <v>January</v>
      </c>
      <c r="N78" s="6">
        <f>YEAR(Input_Table[[#This Row],[DATE]])</f>
        <v>2019</v>
      </c>
    </row>
    <row r="79" spans="1:14" x14ac:dyDescent="0.3">
      <c r="A79" s="2">
        <f>_xlfn.XLOOKUP(B79,SuperMarket_Analysis[Invoice ID],SuperMarket_Analysis[Date])</f>
        <v>43493</v>
      </c>
      <c r="B79" s="6" t="s">
        <v>109</v>
      </c>
      <c r="C79" s="7">
        <f>_xlfn.XLOOKUP(B79,SuperMarket_Analysis[Invoice ID],SuperMarket_Analysis[Quantity])</f>
        <v>9</v>
      </c>
      <c r="D79" s="6" t="str">
        <f>_xlfn.XLOOKUP('Input data'!B79,'SuperMarket Analysis'!A:A,'SuperMarket Analysis'!F:F)</f>
        <v>Fashion accessories</v>
      </c>
      <c r="E79" s="6" t="str">
        <f>_xlfn.XLOOKUP(B79,'SuperMarket Analysis'!A:A,'SuperMarket Analysis'!M:M)</f>
        <v>Credit card</v>
      </c>
      <c r="F79" s="6">
        <f>0.05*Input_Table[[#This Row],[TOTAL C.O.G.S]]</f>
        <v>9.0045000000000002</v>
      </c>
      <c r="G79" s="6" t="str">
        <f>_xlfn.XLOOKUP(Input_Table[[#This Row],[INVOICE ID]],'SuperMarket Analysis'!A:A,'SuperMarket Analysis'!B:B)</f>
        <v>Alex</v>
      </c>
      <c r="H79" s="6" t="str">
        <f>_xlfn.XLOOKUP(Input_Table[[#This Row],[INVOICE ID]],'SuperMarket Analysis'!A:A,'SuperMarket Analysis'!F:F)</f>
        <v>Fashion accessories</v>
      </c>
      <c r="I79" s="12">
        <f>_xlfn.XLOOKUP(Input_Table[[#This Row],[INVOICE ID]],'SuperMarket Analysis'!A:A,'SuperMarket Analysis'!G:G)</f>
        <v>20.010000000000002</v>
      </c>
      <c r="J79" s="12">
        <f>_xlfn.XLOOKUP(Input_Table[[#This Row],[INVOICE ID]],'SuperMarket Analysis'!A:A,'SuperMarket Analysis'!N:N)</f>
        <v>180.09</v>
      </c>
      <c r="K79" s="12">
        <f>_xlfn.XLOOKUP(Input_Table[[#This Row],[INVOICE ID]],'SuperMarket Analysis'!A:A,'SuperMarket Analysis'!J:J)</f>
        <v>189.09450000000001</v>
      </c>
      <c r="L79" s="6">
        <f>DAY(Input_Table[[#This Row],[DATE]])</f>
        <v>28</v>
      </c>
      <c r="M79" s="6" t="str">
        <f>TEXT(Input_Table[[#This Row],[DATE]],"mmmm")</f>
        <v>January</v>
      </c>
      <c r="N79" s="6">
        <f>YEAR(Input_Table[[#This Row],[DATE]])</f>
        <v>2019</v>
      </c>
    </row>
    <row r="80" spans="1:14" x14ac:dyDescent="0.3">
      <c r="A80" s="2">
        <f>_xlfn.XLOOKUP(B80,SuperMarket_Analysis[Invoice ID],SuperMarket_Analysis[Date])</f>
        <v>43516</v>
      </c>
      <c r="B80" s="6" t="s">
        <v>110</v>
      </c>
      <c r="C80" s="7">
        <f>_xlfn.XLOOKUP(B80,SuperMarket_Analysis[Invoice ID],SuperMarket_Analysis[Quantity])</f>
        <v>10</v>
      </c>
      <c r="D80" s="6" t="str">
        <f>_xlfn.XLOOKUP('Input data'!B80,'SuperMarket Analysis'!A:A,'SuperMarket Analysis'!F:F)</f>
        <v>Food and beverages</v>
      </c>
      <c r="E80" s="6" t="str">
        <f>_xlfn.XLOOKUP(B80,'SuperMarket Analysis'!A:A,'SuperMarket Analysis'!M:M)</f>
        <v>Ewallet</v>
      </c>
      <c r="F80" s="6">
        <f>0.05*Input_Table[[#This Row],[TOTAL C.O.G.S]]</f>
        <v>39.155000000000001</v>
      </c>
      <c r="G80" s="6" t="str">
        <f>_xlfn.XLOOKUP(Input_Table[[#This Row],[INVOICE ID]],'SuperMarket Analysis'!A:A,'SuperMarket Analysis'!B:B)</f>
        <v>Giza</v>
      </c>
      <c r="H80" s="6" t="str">
        <f>_xlfn.XLOOKUP(Input_Table[[#This Row],[INVOICE ID]],'SuperMarket Analysis'!A:A,'SuperMarket Analysis'!F:F)</f>
        <v>Food and beverages</v>
      </c>
      <c r="I80" s="12">
        <f>_xlfn.XLOOKUP(Input_Table[[#This Row],[INVOICE ID]],'SuperMarket Analysis'!A:A,'SuperMarket Analysis'!G:G)</f>
        <v>78.31</v>
      </c>
      <c r="J80" s="12">
        <f>_xlfn.XLOOKUP(Input_Table[[#This Row],[INVOICE ID]],'SuperMarket Analysis'!A:A,'SuperMarket Analysis'!N:N)</f>
        <v>783.1</v>
      </c>
      <c r="K80" s="12">
        <f>_xlfn.XLOOKUP(Input_Table[[#This Row],[INVOICE ID]],'SuperMarket Analysis'!A:A,'SuperMarket Analysis'!J:J)</f>
        <v>822.255</v>
      </c>
      <c r="L80" s="6">
        <f>DAY(Input_Table[[#This Row],[DATE]])</f>
        <v>20</v>
      </c>
      <c r="M80" s="6" t="str">
        <f>TEXT(Input_Table[[#This Row],[DATE]],"mmmm")</f>
        <v>February</v>
      </c>
      <c r="N80" s="6">
        <f>YEAR(Input_Table[[#This Row],[DATE]])</f>
        <v>2019</v>
      </c>
    </row>
    <row r="81" spans="1:14" x14ac:dyDescent="0.3">
      <c r="A81" s="2">
        <f>_xlfn.XLOOKUP(B81,SuperMarket_Analysis[Invoice ID],SuperMarket_Analysis[Date])</f>
        <v>43554</v>
      </c>
      <c r="B81" s="6" t="s">
        <v>111</v>
      </c>
      <c r="C81" s="7">
        <f>_xlfn.XLOOKUP(B81,SuperMarket_Analysis[Invoice ID],SuperMarket_Analysis[Quantity])</f>
        <v>5</v>
      </c>
      <c r="D81" s="6" t="str">
        <f>_xlfn.XLOOKUP('Input data'!B81,'SuperMarket Analysis'!A:A,'SuperMarket Analysis'!F:F)</f>
        <v>Health and beauty</v>
      </c>
      <c r="E81" s="6" t="str">
        <f>_xlfn.XLOOKUP(B81,'SuperMarket Analysis'!A:A,'SuperMarket Analysis'!M:M)</f>
        <v>Cash</v>
      </c>
      <c r="F81" s="6">
        <f>0.05*Input_Table[[#This Row],[TOTAL C.O.G.S]]</f>
        <v>5.0950000000000006</v>
      </c>
      <c r="G81" s="6" t="str">
        <f>_xlfn.XLOOKUP(Input_Table[[#This Row],[INVOICE ID]],'SuperMarket Analysis'!A:A,'SuperMarket Analysis'!B:B)</f>
        <v>Giza</v>
      </c>
      <c r="H81" s="6" t="str">
        <f>_xlfn.XLOOKUP(Input_Table[[#This Row],[INVOICE ID]],'SuperMarket Analysis'!A:A,'SuperMarket Analysis'!F:F)</f>
        <v>Health and beauty</v>
      </c>
      <c r="I81" s="12">
        <f>_xlfn.XLOOKUP(Input_Table[[#This Row],[INVOICE ID]],'SuperMarket Analysis'!A:A,'SuperMarket Analysis'!G:G)</f>
        <v>20.38</v>
      </c>
      <c r="J81" s="12">
        <f>_xlfn.XLOOKUP(Input_Table[[#This Row],[INVOICE ID]],'SuperMarket Analysis'!A:A,'SuperMarket Analysis'!N:N)</f>
        <v>101.9</v>
      </c>
      <c r="K81" s="12">
        <f>_xlfn.XLOOKUP(Input_Table[[#This Row],[INVOICE ID]],'SuperMarket Analysis'!A:A,'SuperMarket Analysis'!J:J)</f>
        <v>106.995</v>
      </c>
      <c r="L81" s="6">
        <f>DAY(Input_Table[[#This Row],[DATE]])</f>
        <v>30</v>
      </c>
      <c r="M81" s="6" t="str">
        <f>TEXT(Input_Table[[#This Row],[DATE]],"mmmm")</f>
        <v>March</v>
      </c>
      <c r="N81" s="6">
        <f>YEAR(Input_Table[[#This Row],[DATE]])</f>
        <v>2019</v>
      </c>
    </row>
    <row r="82" spans="1:14" x14ac:dyDescent="0.3">
      <c r="A82" s="2">
        <f>_xlfn.XLOOKUP(B82,SuperMarket_Analysis[Invoice ID],SuperMarket_Analysis[Date])</f>
        <v>43551</v>
      </c>
      <c r="B82" s="6" t="s">
        <v>112</v>
      </c>
      <c r="C82" s="7">
        <f>_xlfn.XLOOKUP(B82,SuperMarket_Analysis[Invoice ID],SuperMarket_Analysis[Quantity])</f>
        <v>6</v>
      </c>
      <c r="D82" s="6" t="str">
        <f>_xlfn.XLOOKUP('Input data'!B82,'SuperMarket Analysis'!A:A,'SuperMarket Analysis'!F:F)</f>
        <v>Health and beauty</v>
      </c>
      <c r="E82" s="6" t="str">
        <f>_xlfn.XLOOKUP(B82,'SuperMarket Analysis'!A:A,'SuperMarket Analysis'!M:M)</f>
        <v>Credit card</v>
      </c>
      <c r="F82" s="6">
        <f>0.05*Input_Table[[#This Row],[TOTAL C.O.G.S]]</f>
        <v>29.757000000000001</v>
      </c>
      <c r="G82" s="6" t="str">
        <f>_xlfn.XLOOKUP(Input_Table[[#This Row],[INVOICE ID]],'SuperMarket Analysis'!A:A,'SuperMarket Analysis'!B:B)</f>
        <v>Giza</v>
      </c>
      <c r="H82" s="6" t="str">
        <f>_xlfn.XLOOKUP(Input_Table[[#This Row],[INVOICE ID]],'SuperMarket Analysis'!A:A,'SuperMarket Analysis'!F:F)</f>
        <v>Health and beauty</v>
      </c>
      <c r="I82" s="12">
        <f>_xlfn.XLOOKUP(Input_Table[[#This Row],[INVOICE ID]],'SuperMarket Analysis'!A:A,'SuperMarket Analysis'!G:G)</f>
        <v>99.19</v>
      </c>
      <c r="J82" s="12">
        <f>_xlfn.XLOOKUP(Input_Table[[#This Row],[INVOICE ID]],'SuperMarket Analysis'!A:A,'SuperMarket Analysis'!N:N)</f>
        <v>595.14</v>
      </c>
      <c r="K82" s="12">
        <f>_xlfn.XLOOKUP(Input_Table[[#This Row],[INVOICE ID]],'SuperMarket Analysis'!A:A,'SuperMarket Analysis'!J:J)</f>
        <v>624.89700000000005</v>
      </c>
      <c r="L82" s="6">
        <f>DAY(Input_Table[[#This Row],[DATE]])</f>
        <v>27</v>
      </c>
      <c r="M82" s="6" t="str">
        <f>TEXT(Input_Table[[#This Row],[DATE]],"mmmm")</f>
        <v>March</v>
      </c>
      <c r="N82" s="6">
        <f>YEAR(Input_Table[[#This Row],[DATE]])</f>
        <v>2019</v>
      </c>
    </row>
    <row r="83" spans="1:14" x14ac:dyDescent="0.3">
      <c r="A83" s="2">
        <f>_xlfn.XLOOKUP(B83,SuperMarket_Analysis[Invoice ID],SuperMarket_Analysis[Date])</f>
        <v>43484</v>
      </c>
      <c r="B83" s="6" t="s">
        <v>113</v>
      </c>
      <c r="C83" s="7">
        <f>_xlfn.XLOOKUP(B83,SuperMarket_Analysis[Invoice ID],SuperMarket_Analysis[Quantity])</f>
        <v>3</v>
      </c>
      <c r="D83" s="6" t="str">
        <f>_xlfn.XLOOKUP('Input data'!B83,'SuperMarket Analysis'!A:A,'SuperMarket Analysis'!F:F)</f>
        <v>Food and beverages</v>
      </c>
      <c r="E83" s="6" t="str">
        <f>_xlfn.XLOOKUP(B83,'SuperMarket Analysis'!A:A,'SuperMarket Analysis'!M:M)</f>
        <v>Ewallet</v>
      </c>
      <c r="F83" s="6">
        <f>0.05*Input_Table[[#This Row],[TOTAL C.O.G.S]]</f>
        <v>14.502000000000002</v>
      </c>
      <c r="G83" s="6" t="str">
        <f>_xlfn.XLOOKUP(Input_Table[[#This Row],[INVOICE ID]],'SuperMarket Analysis'!A:A,'SuperMarket Analysis'!B:B)</f>
        <v>Cairo</v>
      </c>
      <c r="H83" s="6" t="str">
        <f>_xlfn.XLOOKUP(Input_Table[[#This Row],[INVOICE ID]],'SuperMarket Analysis'!A:A,'SuperMarket Analysis'!F:F)</f>
        <v>Food and beverages</v>
      </c>
      <c r="I83" s="12">
        <f>_xlfn.XLOOKUP(Input_Table[[#This Row],[INVOICE ID]],'SuperMarket Analysis'!A:A,'SuperMarket Analysis'!G:G)</f>
        <v>96.68</v>
      </c>
      <c r="J83" s="12">
        <f>_xlfn.XLOOKUP(Input_Table[[#This Row],[INVOICE ID]],'SuperMarket Analysis'!A:A,'SuperMarket Analysis'!N:N)</f>
        <v>290.04000000000002</v>
      </c>
      <c r="K83" s="12">
        <f>_xlfn.XLOOKUP(Input_Table[[#This Row],[INVOICE ID]],'SuperMarket Analysis'!A:A,'SuperMarket Analysis'!J:J)</f>
        <v>304.54199999999997</v>
      </c>
      <c r="L83" s="6">
        <f>DAY(Input_Table[[#This Row],[DATE]])</f>
        <v>19</v>
      </c>
      <c r="M83" s="6" t="str">
        <f>TEXT(Input_Table[[#This Row],[DATE]],"mmmm")</f>
        <v>January</v>
      </c>
      <c r="N83" s="6">
        <f>YEAR(Input_Table[[#This Row],[DATE]])</f>
        <v>2019</v>
      </c>
    </row>
    <row r="84" spans="1:14" x14ac:dyDescent="0.3">
      <c r="A84" s="2">
        <f>_xlfn.XLOOKUP(B84,SuperMarket_Analysis[Invoice ID],SuperMarket_Analysis[Date])</f>
        <v>43521</v>
      </c>
      <c r="B84" s="6" t="s">
        <v>114</v>
      </c>
      <c r="C84" s="7">
        <f>_xlfn.XLOOKUP(B84,SuperMarket_Analysis[Invoice ID],SuperMarket_Analysis[Quantity])</f>
        <v>8</v>
      </c>
      <c r="D84" s="6" t="str">
        <f>_xlfn.XLOOKUP('Input data'!B84,'SuperMarket Analysis'!A:A,'SuperMarket Analysis'!F:F)</f>
        <v>Food and beverages</v>
      </c>
      <c r="E84" s="6" t="str">
        <f>_xlfn.XLOOKUP(B84,'SuperMarket Analysis'!A:A,'SuperMarket Analysis'!M:M)</f>
        <v>Ewallet</v>
      </c>
      <c r="F84" s="6">
        <f>0.05*Input_Table[[#This Row],[TOTAL C.O.G.S]]</f>
        <v>7.7</v>
      </c>
      <c r="G84" s="6" t="str">
        <f>_xlfn.XLOOKUP(Input_Table[[#This Row],[INVOICE ID]],'SuperMarket Analysis'!A:A,'SuperMarket Analysis'!B:B)</f>
        <v>Giza</v>
      </c>
      <c r="H84" s="6" t="str">
        <f>_xlfn.XLOOKUP(Input_Table[[#This Row],[INVOICE ID]],'SuperMarket Analysis'!A:A,'SuperMarket Analysis'!F:F)</f>
        <v>Food and beverages</v>
      </c>
      <c r="I84" s="12">
        <f>_xlfn.XLOOKUP(Input_Table[[#This Row],[INVOICE ID]],'SuperMarket Analysis'!A:A,'SuperMarket Analysis'!G:G)</f>
        <v>19.25</v>
      </c>
      <c r="J84" s="12">
        <f>_xlfn.XLOOKUP(Input_Table[[#This Row],[INVOICE ID]],'SuperMarket Analysis'!A:A,'SuperMarket Analysis'!N:N)</f>
        <v>154</v>
      </c>
      <c r="K84" s="12">
        <f>_xlfn.XLOOKUP(Input_Table[[#This Row],[INVOICE ID]],'SuperMarket Analysis'!A:A,'SuperMarket Analysis'!J:J)</f>
        <v>161.69999999999999</v>
      </c>
      <c r="L84" s="6">
        <f>DAY(Input_Table[[#This Row],[DATE]])</f>
        <v>25</v>
      </c>
      <c r="M84" s="6" t="str">
        <f>TEXT(Input_Table[[#This Row],[DATE]],"mmmm")</f>
        <v>February</v>
      </c>
      <c r="N84" s="6">
        <f>YEAR(Input_Table[[#This Row],[DATE]])</f>
        <v>2019</v>
      </c>
    </row>
    <row r="85" spans="1:14" x14ac:dyDescent="0.3">
      <c r="A85" s="2">
        <f>_xlfn.XLOOKUP(B85,SuperMarket_Analysis[Invoice ID],SuperMarket_Analysis[Date])</f>
        <v>43537</v>
      </c>
      <c r="B85" s="6" t="s">
        <v>115</v>
      </c>
      <c r="C85" s="7">
        <f>_xlfn.XLOOKUP(B85,SuperMarket_Analysis[Invoice ID],SuperMarket_Analysis[Quantity])</f>
        <v>4</v>
      </c>
      <c r="D85" s="6" t="str">
        <f>_xlfn.XLOOKUP('Input data'!B85,'SuperMarket Analysis'!A:A,'SuperMarket Analysis'!F:F)</f>
        <v>Food and beverages</v>
      </c>
      <c r="E85" s="6" t="str">
        <f>_xlfn.XLOOKUP(B85,'SuperMarket Analysis'!A:A,'SuperMarket Analysis'!M:M)</f>
        <v>Credit card</v>
      </c>
      <c r="F85" s="6">
        <f>0.05*Input_Table[[#This Row],[TOTAL C.O.G.S]]</f>
        <v>16.071999999999999</v>
      </c>
      <c r="G85" s="6" t="str">
        <f>_xlfn.XLOOKUP(Input_Table[[#This Row],[INVOICE ID]],'SuperMarket Analysis'!A:A,'SuperMarket Analysis'!B:B)</f>
        <v>Giza</v>
      </c>
      <c r="H85" s="6" t="str">
        <f>_xlfn.XLOOKUP(Input_Table[[#This Row],[INVOICE ID]],'SuperMarket Analysis'!A:A,'SuperMarket Analysis'!F:F)</f>
        <v>Food and beverages</v>
      </c>
      <c r="I85" s="12">
        <f>_xlfn.XLOOKUP(Input_Table[[#This Row],[INVOICE ID]],'SuperMarket Analysis'!A:A,'SuperMarket Analysis'!G:G)</f>
        <v>80.36</v>
      </c>
      <c r="J85" s="12">
        <f>_xlfn.XLOOKUP(Input_Table[[#This Row],[INVOICE ID]],'SuperMarket Analysis'!A:A,'SuperMarket Analysis'!N:N)</f>
        <v>321.44</v>
      </c>
      <c r="K85" s="12">
        <f>_xlfn.XLOOKUP(Input_Table[[#This Row],[INVOICE ID]],'SuperMarket Analysis'!A:A,'SuperMarket Analysis'!J:J)</f>
        <v>337.512</v>
      </c>
      <c r="L85" s="6">
        <f>DAY(Input_Table[[#This Row],[DATE]])</f>
        <v>13</v>
      </c>
      <c r="M85" s="6" t="str">
        <f>TEXT(Input_Table[[#This Row],[DATE]],"mmmm")</f>
        <v>March</v>
      </c>
      <c r="N85" s="6">
        <f>YEAR(Input_Table[[#This Row],[DATE]])</f>
        <v>2019</v>
      </c>
    </row>
    <row r="86" spans="1:14" x14ac:dyDescent="0.3">
      <c r="A86" s="2">
        <f>_xlfn.XLOOKUP(B86,SuperMarket_Analysis[Invoice ID],SuperMarket_Analysis[Date])</f>
        <v>43495</v>
      </c>
      <c r="B86" s="6" t="s">
        <v>116</v>
      </c>
      <c r="C86" s="7">
        <f>_xlfn.XLOOKUP(B86,SuperMarket_Analysis[Invoice ID],SuperMarket_Analysis[Quantity])</f>
        <v>5</v>
      </c>
      <c r="D86" s="6" t="str">
        <f>_xlfn.XLOOKUP('Input data'!B86,'SuperMarket Analysis'!A:A,'SuperMarket Analysis'!F:F)</f>
        <v>Sports and travel</v>
      </c>
      <c r="E86" s="6" t="str">
        <f>_xlfn.XLOOKUP(B86,'SuperMarket Analysis'!A:A,'SuperMarket Analysis'!M:M)</f>
        <v>Cash</v>
      </c>
      <c r="F86" s="6">
        <f>0.05*Input_Table[[#This Row],[TOTAL C.O.G.S]]</f>
        <v>12.227500000000001</v>
      </c>
      <c r="G86" s="6" t="str">
        <f>_xlfn.XLOOKUP(Input_Table[[#This Row],[INVOICE ID]],'SuperMarket Analysis'!A:A,'SuperMarket Analysis'!B:B)</f>
        <v>Giza</v>
      </c>
      <c r="H86" s="6" t="str">
        <f>_xlfn.XLOOKUP(Input_Table[[#This Row],[INVOICE ID]],'SuperMarket Analysis'!A:A,'SuperMarket Analysis'!F:F)</f>
        <v>Sports and travel</v>
      </c>
      <c r="I86" s="12">
        <f>_xlfn.XLOOKUP(Input_Table[[#This Row],[INVOICE ID]],'SuperMarket Analysis'!A:A,'SuperMarket Analysis'!G:G)</f>
        <v>48.91</v>
      </c>
      <c r="J86" s="12">
        <f>_xlfn.XLOOKUP(Input_Table[[#This Row],[INVOICE ID]],'SuperMarket Analysis'!A:A,'SuperMarket Analysis'!N:N)</f>
        <v>244.55</v>
      </c>
      <c r="K86" s="12">
        <f>_xlfn.XLOOKUP(Input_Table[[#This Row],[INVOICE ID]],'SuperMarket Analysis'!A:A,'SuperMarket Analysis'!J:J)</f>
        <v>256.77749999999997</v>
      </c>
      <c r="L86" s="6">
        <f>DAY(Input_Table[[#This Row],[DATE]])</f>
        <v>30</v>
      </c>
      <c r="M86" s="6" t="str">
        <f>TEXT(Input_Table[[#This Row],[DATE]],"mmmm")</f>
        <v>January</v>
      </c>
      <c r="N86" s="6">
        <f>YEAR(Input_Table[[#This Row],[DATE]])</f>
        <v>2019</v>
      </c>
    </row>
    <row r="87" spans="1:14" x14ac:dyDescent="0.3">
      <c r="A87" s="2">
        <f>_xlfn.XLOOKUP(B87,SuperMarket_Analysis[Invoice ID],SuperMarket_Analysis[Date])</f>
        <v>43516</v>
      </c>
      <c r="B87" s="6" t="s">
        <v>117</v>
      </c>
      <c r="C87" s="7">
        <f>_xlfn.XLOOKUP(B87,SuperMarket_Analysis[Invoice ID],SuperMarket_Analysis[Quantity])</f>
        <v>7</v>
      </c>
      <c r="D87" s="6" t="str">
        <f>_xlfn.XLOOKUP('Input data'!B87,'SuperMarket Analysis'!A:A,'SuperMarket Analysis'!F:F)</f>
        <v>Sports and travel</v>
      </c>
      <c r="E87" s="6" t="str">
        <f>_xlfn.XLOOKUP(B87,'SuperMarket Analysis'!A:A,'SuperMarket Analysis'!M:M)</f>
        <v>Ewallet</v>
      </c>
      <c r="F87" s="6">
        <f>0.05*Input_Table[[#This Row],[TOTAL C.O.G.S]]</f>
        <v>29.070999999999998</v>
      </c>
      <c r="G87" s="6" t="str">
        <f>_xlfn.XLOOKUP(Input_Table[[#This Row],[INVOICE ID]],'SuperMarket Analysis'!A:A,'SuperMarket Analysis'!B:B)</f>
        <v>Giza</v>
      </c>
      <c r="H87" s="6" t="str">
        <f>_xlfn.XLOOKUP(Input_Table[[#This Row],[INVOICE ID]],'SuperMarket Analysis'!A:A,'SuperMarket Analysis'!F:F)</f>
        <v>Sports and travel</v>
      </c>
      <c r="I87" s="12">
        <f>_xlfn.XLOOKUP(Input_Table[[#This Row],[INVOICE ID]],'SuperMarket Analysis'!A:A,'SuperMarket Analysis'!G:G)</f>
        <v>83.06</v>
      </c>
      <c r="J87" s="12">
        <f>_xlfn.XLOOKUP(Input_Table[[#This Row],[INVOICE ID]],'SuperMarket Analysis'!A:A,'SuperMarket Analysis'!N:N)</f>
        <v>581.41999999999996</v>
      </c>
      <c r="K87" s="12">
        <f>_xlfn.XLOOKUP(Input_Table[[#This Row],[INVOICE ID]],'SuperMarket Analysis'!A:A,'SuperMarket Analysis'!J:J)</f>
        <v>610.49099999999999</v>
      </c>
      <c r="L87" s="6">
        <f>DAY(Input_Table[[#This Row],[DATE]])</f>
        <v>20</v>
      </c>
      <c r="M87" s="6" t="str">
        <f>TEXT(Input_Table[[#This Row],[DATE]],"mmmm")</f>
        <v>February</v>
      </c>
      <c r="N87" s="6">
        <f>YEAR(Input_Table[[#This Row],[DATE]])</f>
        <v>2019</v>
      </c>
    </row>
    <row r="88" spans="1:14" x14ac:dyDescent="0.3">
      <c r="A88" s="2">
        <f>_xlfn.XLOOKUP(B88,SuperMarket_Analysis[Invoice ID],SuperMarket_Analysis[Date])</f>
        <v>43521</v>
      </c>
      <c r="B88" s="6" t="s">
        <v>118</v>
      </c>
      <c r="C88" s="7">
        <f>_xlfn.XLOOKUP(B88,SuperMarket_Analysis[Invoice ID],SuperMarket_Analysis[Quantity])</f>
        <v>5</v>
      </c>
      <c r="D88" s="6" t="str">
        <f>_xlfn.XLOOKUP('Input data'!B88,'SuperMarket Analysis'!A:A,'SuperMarket Analysis'!F:F)</f>
        <v>Fashion accessories</v>
      </c>
      <c r="E88" s="6" t="str">
        <f>_xlfn.XLOOKUP(B88,'SuperMarket Analysis'!A:A,'SuperMarket Analysis'!M:M)</f>
        <v>Cash</v>
      </c>
      <c r="F88" s="6">
        <f>0.05*Input_Table[[#This Row],[TOTAL C.O.G.S]]</f>
        <v>19.130000000000003</v>
      </c>
      <c r="G88" s="6" t="str">
        <f>_xlfn.XLOOKUP(Input_Table[[#This Row],[INVOICE ID]],'SuperMarket Analysis'!A:A,'SuperMarket Analysis'!B:B)</f>
        <v>Giza</v>
      </c>
      <c r="H88" s="6" t="str">
        <f>_xlfn.XLOOKUP(Input_Table[[#This Row],[INVOICE ID]],'SuperMarket Analysis'!A:A,'SuperMarket Analysis'!F:F)</f>
        <v>Fashion accessories</v>
      </c>
      <c r="I88" s="12">
        <f>_xlfn.XLOOKUP(Input_Table[[#This Row],[INVOICE ID]],'SuperMarket Analysis'!A:A,'SuperMarket Analysis'!G:G)</f>
        <v>76.52</v>
      </c>
      <c r="J88" s="12">
        <f>_xlfn.XLOOKUP(Input_Table[[#This Row],[INVOICE ID]],'SuperMarket Analysis'!A:A,'SuperMarket Analysis'!N:N)</f>
        <v>382.6</v>
      </c>
      <c r="K88" s="12">
        <f>_xlfn.XLOOKUP(Input_Table[[#This Row],[INVOICE ID]],'SuperMarket Analysis'!A:A,'SuperMarket Analysis'!J:J)</f>
        <v>401.73</v>
      </c>
      <c r="L88" s="6">
        <f>DAY(Input_Table[[#This Row],[DATE]])</f>
        <v>25</v>
      </c>
      <c r="M88" s="6" t="str">
        <f>TEXT(Input_Table[[#This Row],[DATE]],"mmmm")</f>
        <v>February</v>
      </c>
      <c r="N88" s="6">
        <f>YEAR(Input_Table[[#This Row],[DATE]])</f>
        <v>2019</v>
      </c>
    </row>
    <row r="89" spans="1:14" x14ac:dyDescent="0.3">
      <c r="A89" s="2">
        <f>_xlfn.XLOOKUP(B89,SuperMarket_Analysis[Invoice ID],SuperMarket_Analysis[Date])</f>
        <v>43481</v>
      </c>
      <c r="B89" s="6" t="s">
        <v>119</v>
      </c>
      <c r="C89" s="7">
        <f>_xlfn.XLOOKUP(B89,SuperMarket_Analysis[Invoice ID],SuperMarket_Analysis[Quantity])</f>
        <v>7</v>
      </c>
      <c r="D89" s="6" t="str">
        <f>_xlfn.XLOOKUP('Input data'!B89,'SuperMarket Analysis'!A:A,'SuperMarket Analysis'!F:F)</f>
        <v>Food and beverages</v>
      </c>
      <c r="E89" s="6" t="str">
        <f>_xlfn.XLOOKUP(B89,'SuperMarket Analysis'!A:A,'SuperMarket Analysis'!M:M)</f>
        <v>Credit card</v>
      </c>
      <c r="F89" s="6">
        <f>0.05*Input_Table[[#This Row],[TOTAL C.O.G.S]]</f>
        <v>17.283000000000001</v>
      </c>
      <c r="G89" s="6" t="str">
        <f>_xlfn.XLOOKUP(Input_Table[[#This Row],[INVOICE ID]],'SuperMarket Analysis'!A:A,'SuperMarket Analysis'!B:B)</f>
        <v>Alex</v>
      </c>
      <c r="H89" s="6" t="str">
        <f>_xlfn.XLOOKUP(Input_Table[[#This Row],[INVOICE ID]],'SuperMarket Analysis'!A:A,'SuperMarket Analysis'!F:F)</f>
        <v>Food and beverages</v>
      </c>
      <c r="I89" s="12">
        <f>_xlfn.XLOOKUP(Input_Table[[#This Row],[INVOICE ID]],'SuperMarket Analysis'!A:A,'SuperMarket Analysis'!G:G)</f>
        <v>49.38</v>
      </c>
      <c r="J89" s="12">
        <f>_xlfn.XLOOKUP(Input_Table[[#This Row],[INVOICE ID]],'SuperMarket Analysis'!A:A,'SuperMarket Analysis'!N:N)</f>
        <v>345.66</v>
      </c>
      <c r="K89" s="12">
        <f>_xlfn.XLOOKUP(Input_Table[[#This Row],[INVOICE ID]],'SuperMarket Analysis'!A:A,'SuperMarket Analysis'!J:J)</f>
        <v>362.94299999999998</v>
      </c>
      <c r="L89" s="6">
        <f>DAY(Input_Table[[#This Row],[DATE]])</f>
        <v>16</v>
      </c>
      <c r="M89" s="6" t="str">
        <f>TEXT(Input_Table[[#This Row],[DATE]],"mmmm")</f>
        <v>January</v>
      </c>
      <c r="N89" s="6">
        <f>YEAR(Input_Table[[#This Row],[DATE]])</f>
        <v>2019</v>
      </c>
    </row>
    <row r="90" spans="1:14" x14ac:dyDescent="0.3">
      <c r="A90" s="2">
        <f>_xlfn.XLOOKUP(B90,SuperMarket_Analysis[Invoice ID],SuperMarket_Analysis[Date])</f>
        <v>43484</v>
      </c>
      <c r="B90" s="6" t="s">
        <v>120</v>
      </c>
      <c r="C90" s="7">
        <f>_xlfn.XLOOKUP(B90,SuperMarket_Analysis[Invoice ID],SuperMarket_Analysis[Quantity])</f>
        <v>1</v>
      </c>
      <c r="D90" s="6" t="str">
        <f>_xlfn.XLOOKUP('Input data'!B90,'SuperMarket Analysis'!A:A,'SuperMarket Analysis'!F:F)</f>
        <v>Sports and travel</v>
      </c>
      <c r="E90" s="6" t="str">
        <f>_xlfn.XLOOKUP(B90,'SuperMarket Analysis'!A:A,'SuperMarket Analysis'!M:M)</f>
        <v>Cash</v>
      </c>
      <c r="F90" s="6">
        <f>0.05*Input_Table[[#This Row],[TOTAL C.O.G.S]]</f>
        <v>2.1234999999999999</v>
      </c>
      <c r="G90" s="6" t="str">
        <f>_xlfn.XLOOKUP(Input_Table[[#This Row],[INVOICE ID]],'SuperMarket Analysis'!A:A,'SuperMarket Analysis'!B:B)</f>
        <v>Alex</v>
      </c>
      <c r="H90" s="6" t="str">
        <f>_xlfn.XLOOKUP(Input_Table[[#This Row],[INVOICE ID]],'SuperMarket Analysis'!A:A,'SuperMarket Analysis'!F:F)</f>
        <v>Sports and travel</v>
      </c>
      <c r="I90" s="12">
        <f>_xlfn.XLOOKUP(Input_Table[[#This Row],[INVOICE ID]],'SuperMarket Analysis'!A:A,'SuperMarket Analysis'!G:G)</f>
        <v>42.47</v>
      </c>
      <c r="J90" s="12">
        <f>_xlfn.XLOOKUP(Input_Table[[#This Row],[INVOICE ID]],'SuperMarket Analysis'!A:A,'SuperMarket Analysis'!N:N)</f>
        <v>42.47</v>
      </c>
      <c r="K90" s="12">
        <f>_xlfn.XLOOKUP(Input_Table[[#This Row],[INVOICE ID]],'SuperMarket Analysis'!A:A,'SuperMarket Analysis'!J:J)</f>
        <v>44.593499999999999</v>
      </c>
      <c r="L90" s="6">
        <f>DAY(Input_Table[[#This Row],[DATE]])</f>
        <v>19</v>
      </c>
      <c r="M90" s="6" t="str">
        <f>TEXT(Input_Table[[#This Row],[DATE]],"mmmm")</f>
        <v>January</v>
      </c>
      <c r="N90" s="6">
        <f>YEAR(Input_Table[[#This Row],[DATE]])</f>
        <v>2019</v>
      </c>
    </row>
    <row r="91" spans="1:14" x14ac:dyDescent="0.3">
      <c r="A91" s="2">
        <f>_xlfn.XLOOKUP(B91,SuperMarket_Analysis[Invoice ID],SuperMarket_Analysis[Date])</f>
        <v>43491</v>
      </c>
      <c r="B91" s="6" t="s">
        <v>121</v>
      </c>
      <c r="C91" s="7">
        <f>_xlfn.XLOOKUP(B91,SuperMarket_Analysis[Invoice ID],SuperMarket_Analysis[Quantity])</f>
        <v>6</v>
      </c>
      <c r="D91" s="6" t="str">
        <f>_xlfn.XLOOKUP('Input data'!B91,'SuperMarket Analysis'!A:A,'SuperMarket Analysis'!F:F)</f>
        <v>Health and beauty</v>
      </c>
      <c r="E91" s="6" t="str">
        <f>_xlfn.XLOOKUP(B91,'SuperMarket Analysis'!A:A,'SuperMarket Analysis'!M:M)</f>
        <v>Cash</v>
      </c>
      <c r="F91" s="6">
        <f>0.05*Input_Table[[#This Row],[TOTAL C.O.G.S]]</f>
        <v>23.097000000000001</v>
      </c>
      <c r="G91" s="6" t="str">
        <f>_xlfn.XLOOKUP(Input_Table[[#This Row],[INVOICE ID]],'SuperMarket Analysis'!A:A,'SuperMarket Analysis'!B:B)</f>
        <v>Cairo</v>
      </c>
      <c r="H91" s="6" t="str">
        <f>_xlfn.XLOOKUP(Input_Table[[#This Row],[INVOICE ID]],'SuperMarket Analysis'!A:A,'SuperMarket Analysis'!F:F)</f>
        <v>Health and beauty</v>
      </c>
      <c r="I91" s="12">
        <f>_xlfn.XLOOKUP(Input_Table[[#This Row],[INVOICE ID]],'SuperMarket Analysis'!A:A,'SuperMarket Analysis'!G:G)</f>
        <v>76.989999999999995</v>
      </c>
      <c r="J91" s="12">
        <f>_xlfn.XLOOKUP(Input_Table[[#This Row],[INVOICE ID]],'SuperMarket Analysis'!A:A,'SuperMarket Analysis'!N:N)</f>
        <v>461.94</v>
      </c>
      <c r="K91" s="12">
        <f>_xlfn.XLOOKUP(Input_Table[[#This Row],[INVOICE ID]],'SuperMarket Analysis'!A:A,'SuperMarket Analysis'!J:J)</f>
        <v>485.03699999999998</v>
      </c>
      <c r="L91" s="6">
        <f>DAY(Input_Table[[#This Row],[DATE]])</f>
        <v>26</v>
      </c>
      <c r="M91" s="6" t="str">
        <f>TEXT(Input_Table[[#This Row],[DATE]],"mmmm")</f>
        <v>January</v>
      </c>
      <c r="N91" s="6">
        <f>YEAR(Input_Table[[#This Row],[DATE]])</f>
        <v>2019</v>
      </c>
    </row>
    <row r="92" spans="1:14" x14ac:dyDescent="0.3">
      <c r="A92" s="2">
        <f>_xlfn.XLOOKUP(B92,SuperMarket_Analysis[Invoice ID],SuperMarket_Analysis[Date])</f>
        <v>43484</v>
      </c>
      <c r="B92" s="6" t="s">
        <v>122</v>
      </c>
      <c r="C92" s="7">
        <f>_xlfn.XLOOKUP(B92,SuperMarket_Analysis[Invoice ID],SuperMarket_Analysis[Quantity])</f>
        <v>4</v>
      </c>
      <c r="D92" s="6" t="str">
        <f>_xlfn.XLOOKUP('Input data'!B92,'SuperMarket Analysis'!A:A,'SuperMarket Analysis'!F:F)</f>
        <v>Home and lifestyle</v>
      </c>
      <c r="E92" s="6" t="str">
        <f>_xlfn.XLOOKUP(B92,'SuperMarket Analysis'!A:A,'SuperMarket Analysis'!M:M)</f>
        <v>Cash</v>
      </c>
      <c r="F92" s="6">
        <f>0.05*Input_Table[[#This Row],[TOTAL C.O.G.S]]</f>
        <v>9.4760000000000009</v>
      </c>
      <c r="G92" s="6" t="str">
        <f>_xlfn.XLOOKUP(Input_Table[[#This Row],[INVOICE ID]],'SuperMarket Analysis'!A:A,'SuperMarket Analysis'!B:B)</f>
        <v>Giza</v>
      </c>
      <c r="H92" s="6" t="str">
        <f>_xlfn.XLOOKUP(Input_Table[[#This Row],[INVOICE ID]],'SuperMarket Analysis'!A:A,'SuperMarket Analysis'!F:F)</f>
        <v>Home and lifestyle</v>
      </c>
      <c r="I92" s="12">
        <f>_xlfn.XLOOKUP(Input_Table[[#This Row],[INVOICE ID]],'SuperMarket Analysis'!A:A,'SuperMarket Analysis'!G:G)</f>
        <v>47.38</v>
      </c>
      <c r="J92" s="12">
        <f>_xlfn.XLOOKUP(Input_Table[[#This Row],[INVOICE ID]],'SuperMarket Analysis'!A:A,'SuperMarket Analysis'!N:N)</f>
        <v>189.52</v>
      </c>
      <c r="K92" s="12">
        <f>_xlfn.XLOOKUP(Input_Table[[#This Row],[INVOICE ID]],'SuperMarket Analysis'!A:A,'SuperMarket Analysis'!J:J)</f>
        <v>198.99600000000001</v>
      </c>
      <c r="L92" s="6">
        <f>DAY(Input_Table[[#This Row],[DATE]])</f>
        <v>19</v>
      </c>
      <c r="M92" s="6" t="str">
        <f>TEXT(Input_Table[[#This Row],[DATE]],"mmmm")</f>
        <v>January</v>
      </c>
      <c r="N92" s="6">
        <f>YEAR(Input_Table[[#This Row],[DATE]])</f>
        <v>2019</v>
      </c>
    </row>
    <row r="93" spans="1:14" x14ac:dyDescent="0.3">
      <c r="A93" s="2">
        <f>_xlfn.XLOOKUP(B93,SuperMarket_Analysis[Invoice ID],SuperMarket_Analysis[Date])</f>
        <v>43483</v>
      </c>
      <c r="B93" s="6" t="s">
        <v>123</v>
      </c>
      <c r="C93" s="7">
        <f>_xlfn.XLOOKUP(B93,SuperMarket_Analysis[Invoice ID],SuperMarket_Analysis[Quantity])</f>
        <v>10</v>
      </c>
      <c r="D93" s="6" t="str">
        <f>_xlfn.XLOOKUP('Input data'!B93,'SuperMarket Analysis'!A:A,'SuperMarket Analysis'!F:F)</f>
        <v>Sports and travel</v>
      </c>
      <c r="E93" s="6" t="str">
        <f>_xlfn.XLOOKUP(B93,'SuperMarket Analysis'!A:A,'SuperMarket Analysis'!M:M)</f>
        <v>Ewallet</v>
      </c>
      <c r="F93" s="6">
        <f>0.05*Input_Table[[#This Row],[TOTAL C.O.G.S]]</f>
        <v>22.430000000000003</v>
      </c>
      <c r="G93" s="6" t="str">
        <f>_xlfn.XLOOKUP(Input_Table[[#This Row],[INVOICE ID]],'SuperMarket Analysis'!A:A,'SuperMarket Analysis'!B:B)</f>
        <v>Giza</v>
      </c>
      <c r="H93" s="6" t="str">
        <f>_xlfn.XLOOKUP(Input_Table[[#This Row],[INVOICE ID]],'SuperMarket Analysis'!A:A,'SuperMarket Analysis'!F:F)</f>
        <v>Sports and travel</v>
      </c>
      <c r="I93" s="12">
        <f>_xlfn.XLOOKUP(Input_Table[[#This Row],[INVOICE ID]],'SuperMarket Analysis'!A:A,'SuperMarket Analysis'!G:G)</f>
        <v>44.86</v>
      </c>
      <c r="J93" s="12">
        <f>_xlfn.XLOOKUP(Input_Table[[#This Row],[INVOICE ID]],'SuperMarket Analysis'!A:A,'SuperMarket Analysis'!N:N)</f>
        <v>448.6</v>
      </c>
      <c r="K93" s="12">
        <f>_xlfn.XLOOKUP(Input_Table[[#This Row],[INVOICE ID]],'SuperMarket Analysis'!A:A,'SuperMarket Analysis'!J:J)</f>
        <v>471.03</v>
      </c>
      <c r="L93" s="6">
        <f>DAY(Input_Table[[#This Row],[DATE]])</f>
        <v>18</v>
      </c>
      <c r="M93" s="6" t="str">
        <f>TEXT(Input_Table[[#This Row],[DATE]],"mmmm")</f>
        <v>January</v>
      </c>
      <c r="N93" s="6">
        <f>YEAR(Input_Table[[#This Row],[DATE]])</f>
        <v>2019</v>
      </c>
    </row>
    <row r="94" spans="1:14" x14ac:dyDescent="0.3">
      <c r="A94" s="2">
        <f>_xlfn.XLOOKUP(B94,SuperMarket_Analysis[Invoice ID],SuperMarket_Analysis[Date])</f>
        <v>43545</v>
      </c>
      <c r="B94" s="6" t="s">
        <v>124</v>
      </c>
      <c r="C94" s="7">
        <f>_xlfn.XLOOKUP(B94,SuperMarket_Analysis[Invoice ID],SuperMarket_Analysis[Quantity])</f>
        <v>7</v>
      </c>
      <c r="D94" s="6" t="str">
        <f>_xlfn.XLOOKUP('Input data'!B94,'SuperMarket Analysis'!A:A,'SuperMarket Analysis'!F:F)</f>
        <v>Sports and travel</v>
      </c>
      <c r="E94" s="6" t="str">
        <f>_xlfn.XLOOKUP(B94,'SuperMarket Analysis'!A:A,'SuperMarket Analysis'!M:M)</f>
        <v>Ewallet</v>
      </c>
      <c r="F94" s="6">
        <f>0.05*Input_Table[[#This Row],[TOTAL C.O.G.S]]</f>
        <v>7.6930000000000014</v>
      </c>
      <c r="G94" s="6" t="str">
        <f>_xlfn.XLOOKUP(Input_Table[[#This Row],[INVOICE ID]],'SuperMarket Analysis'!A:A,'SuperMarket Analysis'!B:B)</f>
        <v>Alex</v>
      </c>
      <c r="H94" s="6" t="str">
        <f>_xlfn.XLOOKUP(Input_Table[[#This Row],[INVOICE ID]],'SuperMarket Analysis'!A:A,'SuperMarket Analysis'!F:F)</f>
        <v>Sports and travel</v>
      </c>
      <c r="I94" s="12">
        <f>_xlfn.XLOOKUP(Input_Table[[#This Row],[INVOICE ID]],'SuperMarket Analysis'!A:A,'SuperMarket Analysis'!G:G)</f>
        <v>21.98</v>
      </c>
      <c r="J94" s="12">
        <f>_xlfn.XLOOKUP(Input_Table[[#This Row],[INVOICE ID]],'SuperMarket Analysis'!A:A,'SuperMarket Analysis'!N:N)</f>
        <v>153.86000000000001</v>
      </c>
      <c r="K94" s="12">
        <f>_xlfn.XLOOKUP(Input_Table[[#This Row],[INVOICE ID]],'SuperMarket Analysis'!A:A,'SuperMarket Analysis'!J:J)</f>
        <v>161.553</v>
      </c>
      <c r="L94" s="6">
        <f>DAY(Input_Table[[#This Row],[DATE]])</f>
        <v>21</v>
      </c>
      <c r="M94" s="6" t="str">
        <f>TEXT(Input_Table[[#This Row],[DATE]],"mmmm")</f>
        <v>March</v>
      </c>
      <c r="N94" s="6">
        <f>YEAR(Input_Table[[#This Row],[DATE]])</f>
        <v>2019</v>
      </c>
    </row>
    <row r="95" spans="1:14" x14ac:dyDescent="0.3">
      <c r="A95" s="2">
        <f>_xlfn.XLOOKUP(B95,SuperMarket_Analysis[Invoice ID],SuperMarket_Analysis[Date])</f>
        <v>43509</v>
      </c>
      <c r="B95" s="6" t="s">
        <v>125</v>
      </c>
      <c r="C95" s="7">
        <f>_xlfn.XLOOKUP(B95,SuperMarket_Analysis[Invoice ID],SuperMarket_Analysis[Quantity])</f>
        <v>9</v>
      </c>
      <c r="D95" s="6" t="str">
        <f>_xlfn.XLOOKUP('Input data'!B95,'SuperMarket Analysis'!A:A,'SuperMarket Analysis'!F:F)</f>
        <v>Health and beauty</v>
      </c>
      <c r="E95" s="6" t="str">
        <f>_xlfn.XLOOKUP(B95,'SuperMarket Analysis'!A:A,'SuperMarket Analysis'!M:M)</f>
        <v>Credit card</v>
      </c>
      <c r="F95" s="6">
        <f>0.05*Input_Table[[#This Row],[TOTAL C.O.G.S]]</f>
        <v>28.962000000000003</v>
      </c>
      <c r="G95" s="6" t="str">
        <f>_xlfn.XLOOKUP(Input_Table[[#This Row],[INVOICE ID]],'SuperMarket Analysis'!A:A,'SuperMarket Analysis'!B:B)</f>
        <v>Cairo</v>
      </c>
      <c r="H95" s="6" t="str">
        <f>_xlfn.XLOOKUP(Input_Table[[#This Row],[INVOICE ID]],'SuperMarket Analysis'!A:A,'SuperMarket Analysis'!F:F)</f>
        <v>Health and beauty</v>
      </c>
      <c r="I95" s="12">
        <f>_xlfn.XLOOKUP(Input_Table[[#This Row],[INVOICE ID]],'SuperMarket Analysis'!A:A,'SuperMarket Analysis'!G:G)</f>
        <v>64.36</v>
      </c>
      <c r="J95" s="12">
        <f>_xlfn.XLOOKUP(Input_Table[[#This Row],[INVOICE ID]],'SuperMarket Analysis'!A:A,'SuperMarket Analysis'!N:N)</f>
        <v>579.24</v>
      </c>
      <c r="K95" s="12">
        <f>_xlfn.XLOOKUP(Input_Table[[#This Row],[INVOICE ID]],'SuperMarket Analysis'!A:A,'SuperMarket Analysis'!J:J)</f>
        <v>608.202</v>
      </c>
      <c r="L95" s="6">
        <f>DAY(Input_Table[[#This Row],[DATE]])</f>
        <v>13</v>
      </c>
      <c r="M95" s="6" t="str">
        <f>TEXT(Input_Table[[#This Row],[DATE]],"mmmm")</f>
        <v>February</v>
      </c>
      <c r="N95" s="6">
        <f>YEAR(Input_Table[[#This Row],[DATE]])</f>
        <v>2019</v>
      </c>
    </row>
    <row r="96" spans="1:14" x14ac:dyDescent="0.3">
      <c r="A96" s="2">
        <f>_xlfn.XLOOKUP(B96,SuperMarket_Analysis[Invoice ID],SuperMarket_Analysis[Date])</f>
        <v>43547</v>
      </c>
      <c r="B96" s="6" t="s">
        <v>126</v>
      </c>
      <c r="C96" s="7">
        <f>_xlfn.XLOOKUP(B96,SuperMarket_Analysis[Invoice ID],SuperMarket_Analysis[Quantity])</f>
        <v>1</v>
      </c>
      <c r="D96" s="6" t="str">
        <f>_xlfn.XLOOKUP('Input data'!B96,'SuperMarket Analysis'!A:A,'SuperMarket Analysis'!F:F)</f>
        <v>Health and beauty</v>
      </c>
      <c r="E96" s="6" t="str">
        <f>_xlfn.XLOOKUP(B96,'SuperMarket Analysis'!A:A,'SuperMarket Analysis'!M:M)</f>
        <v>Credit card</v>
      </c>
      <c r="F96" s="6">
        <f>0.05*Input_Table[[#This Row],[TOTAL C.O.G.S]]</f>
        <v>4.4874999999999998</v>
      </c>
      <c r="G96" s="6" t="str">
        <f>_xlfn.XLOOKUP(Input_Table[[#This Row],[INVOICE ID]],'SuperMarket Analysis'!A:A,'SuperMarket Analysis'!B:B)</f>
        <v>Giza</v>
      </c>
      <c r="H96" s="6" t="str">
        <f>_xlfn.XLOOKUP(Input_Table[[#This Row],[INVOICE ID]],'SuperMarket Analysis'!A:A,'SuperMarket Analysis'!F:F)</f>
        <v>Health and beauty</v>
      </c>
      <c r="I96" s="12">
        <f>_xlfn.XLOOKUP(Input_Table[[#This Row],[INVOICE ID]],'SuperMarket Analysis'!A:A,'SuperMarket Analysis'!G:G)</f>
        <v>89.75</v>
      </c>
      <c r="J96" s="12">
        <f>_xlfn.XLOOKUP(Input_Table[[#This Row],[INVOICE ID]],'SuperMarket Analysis'!A:A,'SuperMarket Analysis'!N:N)</f>
        <v>89.75</v>
      </c>
      <c r="K96" s="12">
        <f>_xlfn.XLOOKUP(Input_Table[[#This Row],[INVOICE ID]],'SuperMarket Analysis'!A:A,'SuperMarket Analysis'!J:J)</f>
        <v>94.237499999999997</v>
      </c>
      <c r="L96" s="6">
        <f>DAY(Input_Table[[#This Row],[DATE]])</f>
        <v>23</v>
      </c>
      <c r="M96" s="6" t="str">
        <f>TEXT(Input_Table[[#This Row],[DATE]],"mmmm")</f>
        <v>March</v>
      </c>
      <c r="N96" s="6">
        <f>YEAR(Input_Table[[#This Row],[DATE]])</f>
        <v>2019</v>
      </c>
    </row>
    <row r="97" spans="1:14" x14ac:dyDescent="0.3">
      <c r="A97" s="2">
        <f>_xlfn.XLOOKUP(B97,SuperMarket_Analysis[Invoice ID],SuperMarket_Analysis[Date])</f>
        <v>43493</v>
      </c>
      <c r="B97" s="6" t="s">
        <v>127</v>
      </c>
      <c r="C97" s="7">
        <f>_xlfn.XLOOKUP(B97,SuperMarket_Analysis[Invoice ID],SuperMarket_Analysis[Quantity])</f>
        <v>1</v>
      </c>
      <c r="D97" s="6" t="str">
        <f>_xlfn.XLOOKUP('Input data'!B97,'SuperMarket Analysis'!A:A,'SuperMarket Analysis'!F:F)</f>
        <v>Electronic accessories</v>
      </c>
      <c r="E97" s="6" t="str">
        <f>_xlfn.XLOOKUP(B97,'SuperMarket Analysis'!A:A,'SuperMarket Analysis'!M:M)</f>
        <v>Ewallet</v>
      </c>
      <c r="F97" s="6">
        <f>0.05*Input_Table[[#This Row],[TOTAL C.O.G.S]]</f>
        <v>4.8580000000000005</v>
      </c>
      <c r="G97" s="6" t="str">
        <f>_xlfn.XLOOKUP(Input_Table[[#This Row],[INVOICE ID]],'SuperMarket Analysis'!A:A,'SuperMarket Analysis'!B:B)</f>
        <v>Alex</v>
      </c>
      <c r="H97" s="6" t="str">
        <f>_xlfn.XLOOKUP(Input_Table[[#This Row],[INVOICE ID]],'SuperMarket Analysis'!A:A,'SuperMarket Analysis'!F:F)</f>
        <v>Electronic accessories</v>
      </c>
      <c r="I97" s="12">
        <f>_xlfn.XLOOKUP(Input_Table[[#This Row],[INVOICE ID]],'SuperMarket Analysis'!A:A,'SuperMarket Analysis'!G:G)</f>
        <v>97.16</v>
      </c>
      <c r="J97" s="12">
        <f>_xlfn.XLOOKUP(Input_Table[[#This Row],[INVOICE ID]],'SuperMarket Analysis'!A:A,'SuperMarket Analysis'!N:N)</f>
        <v>97.16</v>
      </c>
      <c r="K97" s="12">
        <f>_xlfn.XLOOKUP(Input_Table[[#This Row],[INVOICE ID]],'SuperMarket Analysis'!A:A,'SuperMarket Analysis'!J:J)</f>
        <v>102.018</v>
      </c>
      <c r="L97" s="6">
        <f>DAY(Input_Table[[#This Row],[DATE]])</f>
        <v>28</v>
      </c>
      <c r="M97" s="6" t="str">
        <f>TEXT(Input_Table[[#This Row],[DATE]],"mmmm")</f>
        <v>January</v>
      </c>
      <c r="N97" s="6">
        <f>YEAR(Input_Table[[#This Row],[DATE]])</f>
        <v>2019</v>
      </c>
    </row>
    <row r="98" spans="1:14" x14ac:dyDescent="0.3">
      <c r="A98" s="2">
        <f>_xlfn.XLOOKUP(B98,SuperMarket_Analysis[Invoice ID],SuperMarket_Analysis[Date])</f>
        <v>43488</v>
      </c>
      <c r="B98" s="6" t="s">
        <v>128</v>
      </c>
      <c r="C98" s="7">
        <f>_xlfn.XLOOKUP(B98,SuperMarket_Analysis[Invoice ID],SuperMarket_Analysis[Quantity])</f>
        <v>10</v>
      </c>
      <c r="D98" s="6" t="str">
        <f>_xlfn.XLOOKUP('Input data'!B98,'SuperMarket Analysis'!A:A,'SuperMarket Analysis'!F:F)</f>
        <v>Health and beauty</v>
      </c>
      <c r="E98" s="6" t="str">
        <f>_xlfn.XLOOKUP(B98,'SuperMarket Analysis'!A:A,'SuperMarket Analysis'!M:M)</f>
        <v>Ewallet</v>
      </c>
      <c r="F98" s="6">
        <f>0.05*Input_Table[[#This Row],[TOTAL C.O.G.S]]</f>
        <v>43.935000000000002</v>
      </c>
      <c r="G98" s="6" t="str">
        <f>_xlfn.XLOOKUP(Input_Table[[#This Row],[INVOICE ID]],'SuperMarket Analysis'!A:A,'SuperMarket Analysis'!B:B)</f>
        <v>Cairo</v>
      </c>
      <c r="H98" s="6" t="str">
        <f>_xlfn.XLOOKUP(Input_Table[[#This Row],[INVOICE ID]],'SuperMarket Analysis'!A:A,'SuperMarket Analysis'!F:F)</f>
        <v>Health and beauty</v>
      </c>
      <c r="I98" s="12">
        <f>_xlfn.XLOOKUP(Input_Table[[#This Row],[INVOICE ID]],'SuperMarket Analysis'!A:A,'SuperMarket Analysis'!G:G)</f>
        <v>87.87</v>
      </c>
      <c r="J98" s="12">
        <f>_xlfn.XLOOKUP(Input_Table[[#This Row],[INVOICE ID]],'SuperMarket Analysis'!A:A,'SuperMarket Analysis'!N:N)</f>
        <v>878.7</v>
      </c>
      <c r="K98" s="12">
        <f>_xlfn.XLOOKUP(Input_Table[[#This Row],[INVOICE ID]],'SuperMarket Analysis'!A:A,'SuperMarket Analysis'!J:J)</f>
        <v>922.63499999999999</v>
      </c>
      <c r="L98" s="6">
        <f>DAY(Input_Table[[#This Row],[DATE]])</f>
        <v>23</v>
      </c>
      <c r="M98" s="6" t="str">
        <f>TEXT(Input_Table[[#This Row],[DATE]],"mmmm")</f>
        <v>January</v>
      </c>
      <c r="N98" s="6">
        <f>YEAR(Input_Table[[#This Row],[DATE]])</f>
        <v>2019</v>
      </c>
    </row>
    <row r="99" spans="1:14" x14ac:dyDescent="0.3">
      <c r="A99" s="2">
        <f>_xlfn.XLOOKUP(B99,SuperMarket_Analysis[Invoice ID],SuperMarket_Analysis[Date])</f>
        <v>43547</v>
      </c>
      <c r="B99" s="6" t="s">
        <v>129</v>
      </c>
      <c r="C99" s="7">
        <f>_xlfn.XLOOKUP(B99,SuperMarket_Analysis[Invoice ID],SuperMarket_Analysis[Quantity])</f>
        <v>6</v>
      </c>
      <c r="D99" s="6" t="str">
        <f>_xlfn.XLOOKUP('Input data'!B99,'SuperMarket Analysis'!A:A,'SuperMarket Analysis'!F:F)</f>
        <v>Electronic accessories</v>
      </c>
      <c r="E99" s="6" t="str">
        <f>_xlfn.XLOOKUP(B99,'SuperMarket Analysis'!A:A,'SuperMarket Analysis'!M:M)</f>
        <v>Cash</v>
      </c>
      <c r="F99" s="6">
        <f>0.05*Input_Table[[#This Row],[TOTAL C.O.G.S]]</f>
        <v>3.7350000000000003</v>
      </c>
      <c r="G99" s="6" t="str">
        <f>_xlfn.XLOOKUP(Input_Table[[#This Row],[INVOICE ID]],'SuperMarket Analysis'!A:A,'SuperMarket Analysis'!B:B)</f>
        <v>Giza</v>
      </c>
      <c r="H99" s="6" t="str">
        <f>_xlfn.XLOOKUP(Input_Table[[#This Row],[INVOICE ID]],'SuperMarket Analysis'!A:A,'SuperMarket Analysis'!F:F)</f>
        <v>Electronic accessories</v>
      </c>
      <c r="I99" s="12">
        <f>_xlfn.XLOOKUP(Input_Table[[#This Row],[INVOICE ID]],'SuperMarket Analysis'!A:A,'SuperMarket Analysis'!G:G)</f>
        <v>12.45</v>
      </c>
      <c r="J99" s="12">
        <f>_xlfn.XLOOKUP(Input_Table[[#This Row],[INVOICE ID]],'SuperMarket Analysis'!A:A,'SuperMarket Analysis'!N:N)</f>
        <v>74.7</v>
      </c>
      <c r="K99" s="12">
        <f>_xlfn.XLOOKUP(Input_Table[[#This Row],[INVOICE ID]],'SuperMarket Analysis'!A:A,'SuperMarket Analysis'!J:J)</f>
        <v>78.435000000000002</v>
      </c>
      <c r="L99" s="6">
        <f>DAY(Input_Table[[#This Row],[DATE]])</f>
        <v>23</v>
      </c>
      <c r="M99" s="6" t="str">
        <f>TEXT(Input_Table[[#This Row],[DATE]],"mmmm")</f>
        <v>March</v>
      </c>
      <c r="N99" s="6">
        <f>YEAR(Input_Table[[#This Row],[DATE]])</f>
        <v>2019</v>
      </c>
    </row>
    <row r="100" spans="1:14" x14ac:dyDescent="0.3">
      <c r="A100" s="2">
        <f>_xlfn.XLOOKUP(B100,SuperMarket_Analysis[Invoice ID],SuperMarket_Analysis[Date])</f>
        <v>43490</v>
      </c>
      <c r="B100" s="6" t="s">
        <v>130</v>
      </c>
      <c r="C100" s="7">
        <f>_xlfn.XLOOKUP(B100,SuperMarket_Analysis[Invoice ID],SuperMarket_Analysis[Quantity])</f>
        <v>3</v>
      </c>
      <c r="D100" s="6" t="str">
        <f>_xlfn.XLOOKUP('Input data'!B100,'SuperMarket Analysis'!A:A,'SuperMarket Analysis'!F:F)</f>
        <v>Food and beverages</v>
      </c>
      <c r="E100" s="6" t="str">
        <f>_xlfn.XLOOKUP(B100,'SuperMarket Analysis'!A:A,'SuperMarket Analysis'!M:M)</f>
        <v>Ewallet</v>
      </c>
      <c r="F100" s="6">
        <f>0.05*Input_Table[[#This Row],[TOTAL C.O.G.S]]</f>
        <v>7.9125000000000005</v>
      </c>
      <c r="G100" s="6" t="str">
        <f>_xlfn.XLOOKUP(Input_Table[[#This Row],[INVOICE ID]],'SuperMarket Analysis'!A:A,'SuperMarket Analysis'!B:B)</f>
        <v>Alex</v>
      </c>
      <c r="H100" s="6" t="str">
        <f>_xlfn.XLOOKUP(Input_Table[[#This Row],[INVOICE ID]],'SuperMarket Analysis'!A:A,'SuperMarket Analysis'!F:F)</f>
        <v>Food and beverages</v>
      </c>
      <c r="I100" s="12">
        <f>_xlfn.XLOOKUP(Input_Table[[#This Row],[INVOICE ID]],'SuperMarket Analysis'!A:A,'SuperMarket Analysis'!G:G)</f>
        <v>52.75</v>
      </c>
      <c r="J100" s="12">
        <f>_xlfn.XLOOKUP(Input_Table[[#This Row],[INVOICE ID]],'SuperMarket Analysis'!A:A,'SuperMarket Analysis'!N:N)</f>
        <v>158.25</v>
      </c>
      <c r="K100" s="12">
        <f>_xlfn.XLOOKUP(Input_Table[[#This Row],[INVOICE ID]],'SuperMarket Analysis'!A:A,'SuperMarket Analysis'!J:J)</f>
        <v>166.16249999999999</v>
      </c>
      <c r="L100" s="6">
        <f>DAY(Input_Table[[#This Row],[DATE]])</f>
        <v>25</v>
      </c>
      <c r="M100" s="6" t="str">
        <f>TEXT(Input_Table[[#This Row],[DATE]],"mmmm")</f>
        <v>January</v>
      </c>
      <c r="N100" s="6">
        <f>YEAR(Input_Table[[#This Row],[DATE]])</f>
        <v>2019</v>
      </c>
    </row>
    <row r="101" spans="1:14" x14ac:dyDescent="0.3">
      <c r="A101" s="2">
        <f>_xlfn.XLOOKUP(B101,SuperMarket_Analysis[Invoice ID],SuperMarket_Analysis[Date])</f>
        <v>43493</v>
      </c>
      <c r="B101" s="6" t="s">
        <v>131</v>
      </c>
      <c r="C101" s="7">
        <f>_xlfn.XLOOKUP(B101,SuperMarket_Analysis[Invoice ID],SuperMarket_Analysis[Quantity])</f>
        <v>6</v>
      </c>
      <c r="D101" s="6" t="str">
        <f>_xlfn.XLOOKUP('Input data'!B101,'SuperMarket Analysis'!A:A,'SuperMarket Analysis'!F:F)</f>
        <v>Home and lifestyle</v>
      </c>
      <c r="E101" s="6" t="str">
        <f>_xlfn.XLOOKUP(B101,'SuperMarket Analysis'!A:A,'SuperMarket Analysis'!M:M)</f>
        <v>Cash</v>
      </c>
      <c r="F101" s="6">
        <f>0.05*Input_Table[[#This Row],[TOTAL C.O.G.S]]</f>
        <v>24.810000000000002</v>
      </c>
      <c r="G101" s="6" t="str">
        <f>_xlfn.XLOOKUP(Input_Table[[#This Row],[INVOICE ID]],'SuperMarket Analysis'!A:A,'SuperMarket Analysis'!B:B)</f>
        <v>Cairo</v>
      </c>
      <c r="H101" s="6" t="str">
        <f>_xlfn.XLOOKUP(Input_Table[[#This Row],[INVOICE ID]],'SuperMarket Analysis'!A:A,'SuperMarket Analysis'!F:F)</f>
        <v>Home and lifestyle</v>
      </c>
      <c r="I101" s="12">
        <f>_xlfn.XLOOKUP(Input_Table[[#This Row],[INVOICE ID]],'SuperMarket Analysis'!A:A,'SuperMarket Analysis'!G:G)</f>
        <v>82.7</v>
      </c>
      <c r="J101" s="12">
        <f>_xlfn.XLOOKUP(Input_Table[[#This Row],[INVOICE ID]],'SuperMarket Analysis'!A:A,'SuperMarket Analysis'!N:N)</f>
        <v>496.2</v>
      </c>
      <c r="K101" s="12">
        <f>_xlfn.XLOOKUP(Input_Table[[#This Row],[INVOICE ID]],'SuperMarket Analysis'!A:A,'SuperMarket Analysis'!J:J)</f>
        <v>521.01</v>
      </c>
      <c r="L101" s="6">
        <f>DAY(Input_Table[[#This Row],[DATE]])</f>
        <v>28</v>
      </c>
      <c r="M101" s="6" t="str">
        <f>TEXT(Input_Table[[#This Row],[DATE]],"mmmm")</f>
        <v>January</v>
      </c>
      <c r="N101" s="6">
        <f>YEAR(Input_Table[[#This Row],[DATE]])</f>
        <v>2019</v>
      </c>
    </row>
    <row r="102" spans="1:14" x14ac:dyDescent="0.3">
      <c r="A102" s="2">
        <f>_xlfn.XLOOKUP(B102,SuperMarket_Analysis[Invoice ID],SuperMarket_Analysis[Date])</f>
        <v>43480</v>
      </c>
      <c r="B102" s="6" t="s">
        <v>132</v>
      </c>
      <c r="C102" s="7">
        <f>_xlfn.XLOOKUP(B102,SuperMarket_Analysis[Invoice ID],SuperMarket_Analysis[Quantity])</f>
        <v>1</v>
      </c>
      <c r="D102" s="6" t="str">
        <f>_xlfn.XLOOKUP('Input data'!B102,'SuperMarket Analysis'!A:A,'SuperMarket Analysis'!F:F)</f>
        <v>Fashion accessories</v>
      </c>
      <c r="E102" s="6" t="str">
        <f>_xlfn.XLOOKUP(B102,'SuperMarket Analysis'!A:A,'SuperMarket Analysis'!M:M)</f>
        <v>Cash</v>
      </c>
      <c r="F102" s="6">
        <f>0.05*Input_Table[[#This Row],[TOTAL C.O.G.S]]</f>
        <v>2.4355000000000002</v>
      </c>
      <c r="G102" s="6" t="str">
        <f>_xlfn.XLOOKUP(Input_Table[[#This Row],[INVOICE ID]],'SuperMarket Analysis'!A:A,'SuperMarket Analysis'!B:B)</f>
        <v>Giza</v>
      </c>
      <c r="H102" s="6" t="str">
        <f>_xlfn.XLOOKUP(Input_Table[[#This Row],[INVOICE ID]],'SuperMarket Analysis'!A:A,'SuperMarket Analysis'!F:F)</f>
        <v>Fashion accessories</v>
      </c>
      <c r="I102" s="12">
        <f>_xlfn.XLOOKUP(Input_Table[[#This Row],[INVOICE ID]],'SuperMarket Analysis'!A:A,'SuperMarket Analysis'!G:G)</f>
        <v>48.71</v>
      </c>
      <c r="J102" s="12">
        <f>_xlfn.XLOOKUP(Input_Table[[#This Row],[INVOICE ID]],'SuperMarket Analysis'!A:A,'SuperMarket Analysis'!N:N)</f>
        <v>48.71</v>
      </c>
      <c r="K102" s="12">
        <f>_xlfn.XLOOKUP(Input_Table[[#This Row],[INVOICE ID]],'SuperMarket Analysis'!A:A,'SuperMarket Analysis'!J:J)</f>
        <v>51.145499999999998</v>
      </c>
      <c r="L102" s="6">
        <f>DAY(Input_Table[[#This Row],[DATE]])</f>
        <v>15</v>
      </c>
      <c r="M102" s="6" t="str">
        <f>TEXT(Input_Table[[#This Row],[DATE]],"mmmm")</f>
        <v>January</v>
      </c>
      <c r="N102" s="6">
        <f>YEAR(Input_Table[[#This Row],[DATE]])</f>
        <v>2019</v>
      </c>
    </row>
    <row r="103" spans="1:14" x14ac:dyDescent="0.3">
      <c r="A103" s="2">
        <f>_xlfn.XLOOKUP(B103,SuperMarket_Analysis[Invoice ID],SuperMarket_Analysis[Date])</f>
        <v>43540</v>
      </c>
      <c r="B103" s="6" t="s">
        <v>133</v>
      </c>
      <c r="C103" s="7">
        <f>_xlfn.XLOOKUP(B103,SuperMarket_Analysis[Invoice ID],SuperMarket_Analysis[Quantity])</f>
        <v>9</v>
      </c>
      <c r="D103" s="6" t="str">
        <f>_xlfn.XLOOKUP('Input data'!B103,'SuperMarket Analysis'!A:A,'SuperMarket Analysis'!F:F)</f>
        <v>Fashion accessories</v>
      </c>
      <c r="E103" s="6" t="str">
        <f>_xlfn.XLOOKUP(B103,'SuperMarket Analysis'!A:A,'SuperMarket Analysis'!M:M)</f>
        <v>Cash</v>
      </c>
      <c r="F103" s="6">
        <f>0.05*Input_Table[[#This Row],[TOTAL C.O.G.S]]</f>
        <v>35.347500000000004</v>
      </c>
      <c r="G103" s="6" t="str">
        <f>_xlfn.XLOOKUP(Input_Table[[#This Row],[INVOICE ID]],'SuperMarket Analysis'!A:A,'SuperMarket Analysis'!B:B)</f>
        <v>Giza</v>
      </c>
      <c r="H103" s="6" t="str">
        <f>_xlfn.XLOOKUP(Input_Table[[#This Row],[INVOICE ID]],'SuperMarket Analysis'!A:A,'SuperMarket Analysis'!F:F)</f>
        <v>Fashion accessories</v>
      </c>
      <c r="I103" s="12">
        <f>_xlfn.XLOOKUP(Input_Table[[#This Row],[INVOICE ID]],'SuperMarket Analysis'!A:A,'SuperMarket Analysis'!G:G)</f>
        <v>78.55</v>
      </c>
      <c r="J103" s="12">
        <f>_xlfn.XLOOKUP(Input_Table[[#This Row],[INVOICE ID]],'SuperMarket Analysis'!A:A,'SuperMarket Analysis'!N:N)</f>
        <v>706.95</v>
      </c>
      <c r="K103" s="12">
        <f>_xlfn.XLOOKUP(Input_Table[[#This Row],[INVOICE ID]],'SuperMarket Analysis'!A:A,'SuperMarket Analysis'!J:J)</f>
        <v>742.29750000000001</v>
      </c>
      <c r="L103" s="6">
        <f>DAY(Input_Table[[#This Row],[DATE]])</f>
        <v>16</v>
      </c>
      <c r="M103" s="6" t="str">
        <f>TEXT(Input_Table[[#This Row],[DATE]],"mmmm")</f>
        <v>March</v>
      </c>
      <c r="N103" s="6">
        <f>YEAR(Input_Table[[#This Row],[DATE]])</f>
        <v>2019</v>
      </c>
    </row>
    <row r="104" spans="1:14" x14ac:dyDescent="0.3">
      <c r="A104" s="2">
        <f>_xlfn.XLOOKUP(B104,SuperMarket_Analysis[Invoice ID],SuperMarket_Analysis[Date])</f>
        <v>43491</v>
      </c>
      <c r="B104" s="6" t="s">
        <v>134</v>
      </c>
      <c r="C104" s="7">
        <f>_xlfn.XLOOKUP(B104,SuperMarket_Analysis[Invoice ID],SuperMarket_Analysis[Quantity])</f>
        <v>9</v>
      </c>
      <c r="D104" s="6" t="str">
        <f>_xlfn.XLOOKUP('Input data'!B104,'SuperMarket Analysis'!A:A,'SuperMarket Analysis'!F:F)</f>
        <v>Electronic accessories</v>
      </c>
      <c r="E104" s="6" t="str">
        <f>_xlfn.XLOOKUP(B104,'SuperMarket Analysis'!A:A,'SuperMarket Analysis'!M:M)</f>
        <v>Cash</v>
      </c>
      <c r="F104" s="6">
        <f>0.05*Input_Table[[#This Row],[TOTAL C.O.G.S]]</f>
        <v>10.381500000000001</v>
      </c>
      <c r="G104" s="6" t="str">
        <f>_xlfn.XLOOKUP(Input_Table[[#This Row],[INVOICE ID]],'SuperMarket Analysis'!A:A,'SuperMarket Analysis'!B:B)</f>
        <v>Giza</v>
      </c>
      <c r="H104" s="6" t="str">
        <f>_xlfn.XLOOKUP(Input_Table[[#This Row],[INVOICE ID]],'SuperMarket Analysis'!A:A,'SuperMarket Analysis'!F:F)</f>
        <v>Electronic accessories</v>
      </c>
      <c r="I104" s="12">
        <f>_xlfn.XLOOKUP(Input_Table[[#This Row],[INVOICE ID]],'SuperMarket Analysis'!A:A,'SuperMarket Analysis'!G:G)</f>
        <v>23.07</v>
      </c>
      <c r="J104" s="12">
        <f>_xlfn.XLOOKUP(Input_Table[[#This Row],[INVOICE ID]],'SuperMarket Analysis'!A:A,'SuperMarket Analysis'!N:N)</f>
        <v>207.63</v>
      </c>
      <c r="K104" s="12">
        <f>_xlfn.XLOOKUP(Input_Table[[#This Row],[INVOICE ID]],'SuperMarket Analysis'!A:A,'SuperMarket Analysis'!J:J)</f>
        <v>218.01150000000001</v>
      </c>
      <c r="L104" s="6">
        <f>DAY(Input_Table[[#This Row],[DATE]])</f>
        <v>26</v>
      </c>
      <c r="M104" s="6" t="str">
        <f>TEXT(Input_Table[[#This Row],[DATE]],"mmmm")</f>
        <v>January</v>
      </c>
      <c r="N104" s="6">
        <f>YEAR(Input_Table[[#This Row],[DATE]])</f>
        <v>2019</v>
      </c>
    </row>
    <row r="105" spans="1:14" x14ac:dyDescent="0.3">
      <c r="A105" s="2">
        <f>_xlfn.XLOOKUP(B105,SuperMarket_Analysis[Invoice ID],SuperMarket_Analysis[Date])</f>
        <v>43543</v>
      </c>
      <c r="B105" s="6" t="s">
        <v>135</v>
      </c>
      <c r="C105" s="7">
        <f>_xlfn.XLOOKUP(B105,SuperMarket_Analysis[Invoice ID],SuperMarket_Analysis[Quantity])</f>
        <v>6</v>
      </c>
      <c r="D105" s="6" t="str">
        <f>_xlfn.XLOOKUP('Input data'!B105,'SuperMarket Analysis'!A:A,'SuperMarket Analysis'!F:F)</f>
        <v>Food and beverages</v>
      </c>
      <c r="E105" s="6" t="str">
        <f>_xlfn.XLOOKUP(B105,'SuperMarket Analysis'!A:A,'SuperMarket Analysis'!M:M)</f>
        <v>Cash</v>
      </c>
      <c r="F105" s="6">
        <f>0.05*Input_Table[[#This Row],[TOTAL C.O.G.S]]</f>
        <v>17.478000000000002</v>
      </c>
      <c r="G105" s="6" t="str">
        <f>_xlfn.XLOOKUP(Input_Table[[#This Row],[INVOICE ID]],'SuperMarket Analysis'!A:A,'SuperMarket Analysis'!B:B)</f>
        <v>Alex</v>
      </c>
      <c r="H105" s="6" t="str">
        <f>_xlfn.XLOOKUP(Input_Table[[#This Row],[INVOICE ID]],'SuperMarket Analysis'!A:A,'SuperMarket Analysis'!F:F)</f>
        <v>Food and beverages</v>
      </c>
      <c r="I105" s="12">
        <f>_xlfn.XLOOKUP(Input_Table[[#This Row],[INVOICE ID]],'SuperMarket Analysis'!A:A,'SuperMarket Analysis'!G:G)</f>
        <v>58.26</v>
      </c>
      <c r="J105" s="12">
        <f>_xlfn.XLOOKUP(Input_Table[[#This Row],[INVOICE ID]],'SuperMarket Analysis'!A:A,'SuperMarket Analysis'!N:N)</f>
        <v>349.56</v>
      </c>
      <c r="K105" s="12">
        <f>_xlfn.XLOOKUP(Input_Table[[#This Row],[INVOICE ID]],'SuperMarket Analysis'!A:A,'SuperMarket Analysis'!J:J)</f>
        <v>367.03800000000001</v>
      </c>
      <c r="L105" s="6">
        <f>DAY(Input_Table[[#This Row],[DATE]])</f>
        <v>19</v>
      </c>
      <c r="M105" s="6" t="str">
        <f>TEXT(Input_Table[[#This Row],[DATE]],"mmmm")</f>
        <v>March</v>
      </c>
      <c r="N105" s="6">
        <f>YEAR(Input_Table[[#This Row],[DATE]])</f>
        <v>2019</v>
      </c>
    </row>
    <row r="106" spans="1:14" x14ac:dyDescent="0.3">
      <c r="A106" s="2">
        <f>_xlfn.XLOOKUP(B106,SuperMarket_Analysis[Invoice ID],SuperMarket_Analysis[Date])</f>
        <v>43478</v>
      </c>
      <c r="B106" s="6" t="s">
        <v>136</v>
      </c>
      <c r="C106" s="7">
        <f>_xlfn.XLOOKUP(B106,SuperMarket_Analysis[Invoice ID],SuperMarket_Analysis[Quantity])</f>
        <v>7</v>
      </c>
      <c r="D106" s="6" t="str">
        <f>_xlfn.XLOOKUP('Input data'!B106,'SuperMarket Analysis'!A:A,'SuperMarket Analysis'!F:F)</f>
        <v>Health and beauty</v>
      </c>
      <c r="E106" s="6" t="str">
        <f>_xlfn.XLOOKUP(B106,'SuperMarket Analysis'!A:A,'SuperMarket Analysis'!M:M)</f>
        <v>Cash</v>
      </c>
      <c r="F106" s="6">
        <f>0.05*Input_Table[[#This Row],[TOTAL C.O.G.S]]</f>
        <v>10.6225</v>
      </c>
      <c r="G106" s="6" t="str">
        <f>_xlfn.XLOOKUP(Input_Table[[#This Row],[INVOICE ID]],'SuperMarket Analysis'!A:A,'SuperMarket Analysis'!B:B)</f>
        <v>Cairo</v>
      </c>
      <c r="H106" s="6" t="str">
        <f>_xlfn.XLOOKUP(Input_Table[[#This Row],[INVOICE ID]],'SuperMarket Analysis'!A:A,'SuperMarket Analysis'!F:F)</f>
        <v>Health and beauty</v>
      </c>
      <c r="I106" s="12">
        <f>_xlfn.XLOOKUP(Input_Table[[#This Row],[INVOICE ID]],'SuperMarket Analysis'!A:A,'SuperMarket Analysis'!G:G)</f>
        <v>30.35</v>
      </c>
      <c r="J106" s="12">
        <f>_xlfn.XLOOKUP(Input_Table[[#This Row],[INVOICE ID]],'SuperMarket Analysis'!A:A,'SuperMarket Analysis'!N:N)</f>
        <v>212.45</v>
      </c>
      <c r="K106" s="12">
        <f>_xlfn.XLOOKUP(Input_Table[[#This Row],[INVOICE ID]],'SuperMarket Analysis'!A:A,'SuperMarket Analysis'!J:J)</f>
        <v>223.07249999999999</v>
      </c>
      <c r="L106" s="6">
        <f>DAY(Input_Table[[#This Row],[DATE]])</f>
        <v>13</v>
      </c>
      <c r="M106" s="6" t="str">
        <f>TEXT(Input_Table[[#This Row],[DATE]],"mmmm")</f>
        <v>January</v>
      </c>
      <c r="N106" s="6">
        <f>YEAR(Input_Table[[#This Row],[DATE]])</f>
        <v>2019</v>
      </c>
    </row>
    <row r="107" spans="1:14" x14ac:dyDescent="0.3">
      <c r="A107" s="2">
        <f>_xlfn.XLOOKUP(B107,SuperMarket_Analysis[Invoice ID],SuperMarket_Analysis[Date])</f>
        <v>43550</v>
      </c>
      <c r="B107" s="6" t="s">
        <v>137</v>
      </c>
      <c r="C107" s="7">
        <f>_xlfn.XLOOKUP(B107,SuperMarket_Analysis[Invoice ID],SuperMarket_Analysis[Quantity])</f>
        <v>10</v>
      </c>
      <c r="D107" s="6" t="str">
        <f>_xlfn.XLOOKUP('Input data'!B107,'SuperMarket Analysis'!A:A,'SuperMarket Analysis'!F:F)</f>
        <v>Electronic accessories</v>
      </c>
      <c r="E107" s="6" t="str">
        <f>_xlfn.XLOOKUP(B107,'SuperMarket Analysis'!A:A,'SuperMarket Analysis'!M:M)</f>
        <v>Ewallet</v>
      </c>
      <c r="F107" s="6">
        <f>0.05*Input_Table[[#This Row],[TOTAL C.O.G.S]]</f>
        <v>44.335000000000008</v>
      </c>
      <c r="G107" s="6" t="str">
        <f>_xlfn.XLOOKUP(Input_Table[[#This Row],[INVOICE ID]],'SuperMarket Analysis'!A:A,'SuperMarket Analysis'!B:B)</f>
        <v>Alex</v>
      </c>
      <c r="H107" s="6" t="str">
        <f>_xlfn.XLOOKUP(Input_Table[[#This Row],[INVOICE ID]],'SuperMarket Analysis'!A:A,'SuperMarket Analysis'!F:F)</f>
        <v>Electronic accessories</v>
      </c>
      <c r="I107" s="12">
        <f>_xlfn.XLOOKUP(Input_Table[[#This Row],[INVOICE ID]],'SuperMarket Analysis'!A:A,'SuperMarket Analysis'!G:G)</f>
        <v>88.67</v>
      </c>
      <c r="J107" s="12">
        <f>_xlfn.XLOOKUP(Input_Table[[#This Row],[INVOICE ID]],'SuperMarket Analysis'!A:A,'SuperMarket Analysis'!N:N)</f>
        <v>886.7</v>
      </c>
      <c r="K107" s="12">
        <f>_xlfn.XLOOKUP(Input_Table[[#This Row],[INVOICE ID]],'SuperMarket Analysis'!A:A,'SuperMarket Analysis'!J:J)</f>
        <v>931.03499999999997</v>
      </c>
      <c r="L107" s="6">
        <f>DAY(Input_Table[[#This Row],[DATE]])</f>
        <v>26</v>
      </c>
      <c r="M107" s="6" t="str">
        <f>TEXT(Input_Table[[#This Row],[DATE]],"mmmm")</f>
        <v>March</v>
      </c>
      <c r="N107" s="6">
        <f>YEAR(Input_Table[[#This Row],[DATE]])</f>
        <v>2019</v>
      </c>
    </row>
    <row r="108" spans="1:14" x14ac:dyDescent="0.3">
      <c r="A108" s="2">
        <f>_xlfn.XLOOKUP(B108,SuperMarket_Analysis[Invoice ID],SuperMarket_Analysis[Date])</f>
        <v>43547</v>
      </c>
      <c r="B108" s="6" t="s">
        <v>138</v>
      </c>
      <c r="C108" s="7">
        <f>_xlfn.XLOOKUP(B108,SuperMarket_Analysis[Invoice ID],SuperMarket_Analysis[Quantity])</f>
        <v>6</v>
      </c>
      <c r="D108" s="6" t="str">
        <f>_xlfn.XLOOKUP('Input data'!B108,'SuperMarket Analysis'!A:A,'SuperMarket Analysis'!F:F)</f>
        <v>Fashion accessories</v>
      </c>
      <c r="E108" s="6" t="str">
        <f>_xlfn.XLOOKUP(B108,'SuperMarket Analysis'!A:A,'SuperMarket Analysis'!M:M)</f>
        <v>Credit card</v>
      </c>
      <c r="F108" s="6">
        <f>0.05*Input_Table[[#This Row],[TOTAL C.O.G.S]]</f>
        <v>8.2140000000000004</v>
      </c>
      <c r="G108" s="6" t="str">
        <f>_xlfn.XLOOKUP(Input_Table[[#This Row],[INVOICE ID]],'SuperMarket Analysis'!A:A,'SuperMarket Analysis'!B:B)</f>
        <v>Giza</v>
      </c>
      <c r="H108" s="6" t="str">
        <f>_xlfn.XLOOKUP(Input_Table[[#This Row],[INVOICE ID]],'SuperMarket Analysis'!A:A,'SuperMarket Analysis'!F:F)</f>
        <v>Fashion accessories</v>
      </c>
      <c r="I108" s="12">
        <f>_xlfn.XLOOKUP(Input_Table[[#This Row],[INVOICE ID]],'SuperMarket Analysis'!A:A,'SuperMarket Analysis'!G:G)</f>
        <v>27.38</v>
      </c>
      <c r="J108" s="12">
        <f>_xlfn.XLOOKUP(Input_Table[[#This Row],[INVOICE ID]],'SuperMarket Analysis'!A:A,'SuperMarket Analysis'!N:N)</f>
        <v>164.28</v>
      </c>
      <c r="K108" s="12">
        <f>_xlfn.XLOOKUP(Input_Table[[#This Row],[INVOICE ID]],'SuperMarket Analysis'!A:A,'SuperMarket Analysis'!J:J)</f>
        <v>172.494</v>
      </c>
      <c r="L108" s="6">
        <f>DAY(Input_Table[[#This Row],[DATE]])</f>
        <v>23</v>
      </c>
      <c r="M108" s="6" t="str">
        <f>TEXT(Input_Table[[#This Row],[DATE]],"mmmm")</f>
        <v>March</v>
      </c>
      <c r="N108" s="6">
        <f>YEAR(Input_Table[[#This Row],[DATE]])</f>
        <v>2019</v>
      </c>
    </row>
    <row r="109" spans="1:14" x14ac:dyDescent="0.3">
      <c r="A109" s="2">
        <f>_xlfn.XLOOKUP(B109,SuperMarket_Analysis[Invoice ID],SuperMarket_Analysis[Date])</f>
        <v>43513</v>
      </c>
      <c r="B109" s="6" t="s">
        <v>139</v>
      </c>
      <c r="C109" s="7">
        <f>_xlfn.XLOOKUP(B109,SuperMarket_Analysis[Invoice ID],SuperMarket_Analysis[Quantity])</f>
        <v>6</v>
      </c>
      <c r="D109" s="6" t="str">
        <f>_xlfn.XLOOKUP('Input data'!B109,'SuperMarket Analysis'!A:A,'SuperMarket Analysis'!F:F)</f>
        <v>Sports and travel</v>
      </c>
      <c r="E109" s="6" t="str">
        <f>_xlfn.XLOOKUP(B109,'SuperMarket Analysis'!A:A,'SuperMarket Analysis'!M:M)</f>
        <v>Cash</v>
      </c>
      <c r="F109" s="6">
        <f>0.05*Input_Table[[#This Row],[TOTAL C.O.G.S]]</f>
        <v>18.638999999999999</v>
      </c>
      <c r="G109" s="6" t="str">
        <f>_xlfn.XLOOKUP(Input_Table[[#This Row],[INVOICE ID]],'SuperMarket Analysis'!A:A,'SuperMarket Analysis'!B:B)</f>
        <v>Alex</v>
      </c>
      <c r="H109" s="6" t="str">
        <f>_xlfn.XLOOKUP(Input_Table[[#This Row],[INVOICE ID]],'SuperMarket Analysis'!A:A,'SuperMarket Analysis'!F:F)</f>
        <v>Sports and travel</v>
      </c>
      <c r="I109" s="12">
        <f>_xlfn.XLOOKUP(Input_Table[[#This Row],[INVOICE ID]],'SuperMarket Analysis'!A:A,'SuperMarket Analysis'!G:G)</f>
        <v>62.13</v>
      </c>
      <c r="J109" s="12">
        <f>_xlfn.XLOOKUP(Input_Table[[#This Row],[INVOICE ID]],'SuperMarket Analysis'!A:A,'SuperMarket Analysis'!N:N)</f>
        <v>372.78</v>
      </c>
      <c r="K109" s="12">
        <f>_xlfn.XLOOKUP(Input_Table[[#This Row],[INVOICE ID]],'SuperMarket Analysis'!A:A,'SuperMarket Analysis'!J:J)</f>
        <v>391.41899999999998</v>
      </c>
      <c r="L109" s="6">
        <f>DAY(Input_Table[[#This Row],[DATE]])</f>
        <v>17</v>
      </c>
      <c r="M109" s="6" t="str">
        <f>TEXT(Input_Table[[#This Row],[DATE]],"mmmm")</f>
        <v>February</v>
      </c>
      <c r="N109" s="6">
        <f>YEAR(Input_Table[[#This Row],[DATE]])</f>
        <v>2019</v>
      </c>
    </row>
    <row r="110" spans="1:14" x14ac:dyDescent="0.3">
      <c r="A110" s="2">
        <f>_xlfn.XLOOKUP(B110,SuperMarket_Analysis[Invoice ID],SuperMarket_Analysis[Date])</f>
        <v>43494</v>
      </c>
      <c r="B110" s="6" t="s">
        <v>140</v>
      </c>
      <c r="C110" s="7">
        <f>_xlfn.XLOOKUP(B110,SuperMarket_Analysis[Invoice ID],SuperMarket_Analysis[Quantity])</f>
        <v>9</v>
      </c>
      <c r="D110" s="6" t="str">
        <f>_xlfn.XLOOKUP('Input data'!B110,'SuperMarket Analysis'!A:A,'SuperMarket Analysis'!F:F)</f>
        <v>Food and beverages</v>
      </c>
      <c r="E110" s="6" t="str">
        <f>_xlfn.XLOOKUP(B110,'SuperMarket Analysis'!A:A,'SuperMarket Analysis'!M:M)</f>
        <v>Cash</v>
      </c>
      <c r="F110" s="6">
        <f>0.05*Input_Table[[#This Row],[TOTAL C.O.G.S]]</f>
        <v>15.291</v>
      </c>
      <c r="G110" s="6" t="str">
        <f>_xlfn.XLOOKUP(Input_Table[[#This Row],[INVOICE ID]],'SuperMarket Analysis'!A:A,'SuperMarket Analysis'!B:B)</f>
        <v>Giza</v>
      </c>
      <c r="H110" s="6" t="str">
        <f>_xlfn.XLOOKUP(Input_Table[[#This Row],[INVOICE ID]],'SuperMarket Analysis'!A:A,'SuperMarket Analysis'!F:F)</f>
        <v>Food and beverages</v>
      </c>
      <c r="I110" s="12">
        <f>_xlfn.XLOOKUP(Input_Table[[#This Row],[INVOICE ID]],'SuperMarket Analysis'!A:A,'SuperMarket Analysis'!G:G)</f>
        <v>33.979999999999997</v>
      </c>
      <c r="J110" s="12">
        <f>_xlfn.XLOOKUP(Input_Table[[#This Row],[INVOICE ID]],'SuperMarket Analysis'!A:A,'SuperMarket Analysis'!N:N)</f>
        <v>305.82</v>
      </c>
      <c r="K110" s="12">
        <f>_xlfn.XLOOKUP(Input_Table[[#This Row],[INVOICE ID]],'SuperMarket Analysis'!A:A,'SuperMarket Analysis'!J:J)</f>
        <v>321.11099999999999</v>
      </c>
      <c r="L110" s="6">
        <f>DAY(Input_Table[[#This Row],[DATE]])</f>
        <v>29</v>
      </c>
      <c r="M110" s="6" t="str">
        <f>TEXT(Input_Table[[#This Row],[DATE]],"mmmm")</f>
        <v>January</v>
      </c>
      <c r="N110" s="6">
        <f>YEAR(Input_Table[[#This Row],[DATE]])</f>
        <v>2019</v>
      </c>
    </row>
    <row r="111" spans="1:14" x14ac:dyDescent="0.3">
      <c r="A111" s="2">
        <f>_xlfn.XLOOKUP(B111,SuperMarket_Analysis[Invoice ID],SuperMarket_Analysis[Date])</f>
        <v>43539</v>
      </c>
      <c r="B111" s="6" t="s">
        <v>141</v>
      </c>
      <c r="C111" s="7">
        <f>_xlfn.XLOOKUP(B111,SuperMarket_Analysis[Invoice ID],SuperMarket_Analysis[Quantity])</f>
        <v>10</v>
      </c>
      <c r="D111" s="6" t="str">
        <f>_xlfn.XLOOKUP('Input data'!B111,'SuperMarket Analysis'!A:A,'SuperMarket Analysis'!F:F)</f>
        <v>Electronic accessories</v>
      </c>
      <c r="E111" s="6" t="str">
        <f>_xlfn.XLOOKUP(B111,'SuperMarket Analysis'!A:A,'SuperMarket Analysis'!M:M)</f>
        <v>Cash</v>
      </c>
      <c r="F111" s="6">
        <f>0.05*Input_Table[[#This Row],[TOTAL C.O.G.S]]</f>
        <v>40.985000000000007</v>
      </c>
      <c r="G111" s="6" t="str">
        <f>_xlfn.XLOOKUP(Input_Table[[#This Row],[INVOICE ID]],'SuperMarket Analysis'!A:A,'SuperMarket Analysis'!B:B)</f>
        <v>Giza</v>
      </c>
      <c r="H111" s="6" t="str">
        <f>_xlfn.XLOOKUP(Input_Table[[#This Row],[INVOICE ID]],'SuperMarket Analysis'!A:A,'SuperMarket Analysis'!F:F)</f>
        <v>Electronic accessories</v>
      </c>
      <c r="I111" s="12">
        <f>_xlfn.XLOOKUP(Input_Table[[#This Row],[INVOICE ID]],'SuperMarket Analysis'!A:A,'SuperMarket Analysis'!G:G)</f>
        <v>81.97</v>
      </c>
      <c r="J111" s="12">
        <f>_xlfn.XLOOKUP(Input_Table[[#This Row],[INVOICE ID]],'SuperMarket Analysis'!A:A,'SuperMarket Analysis'!N:N)</f>
        <v>819.7</v>
      </c>
      <c r="K111" s="12">
        <f>_xlfn.XLOOKUP(Input_Table[[#This Row],[INVOICE ID]],'SuperMarket Analysis'!A:A,'SuperMarket Analysis'!J:J)</f>
        <v>860.68499999999995</v>
      </c>
      <c r="L111" s="6">
        <f>DAY(Input_Table[[#This Row],[DATE]])</f>
        <v>15</v>
      </c>
      <c r="M111" s="6" t="str">
        <f>TEXT(Input_Table[[#This Row],[DATE]],"mmmm")</f>
        <v>March</v>
      </c>
      <c r="N111" s="6">
        <f>YEAR(Input_Table[[#This Row],[DATE]])</f>
        <v>2019</v>
      </c>
    </row>
    <row r="112" spans="1:14" x14ac:dyDescent="0.3">
      <c r="A112" s="2">
        <f>_xlfn.XLOOKUP(B112,SuperMarket_Analysis[Invoice ID],SuperMarket_Analysis[Date])</f>
        <v>43479</v>
      </c>
      <c r="B112" s="6" t="s">
        <v>142</v>
      </c>
      <c r="C112" s="7">
        <f>_xlfn.XLOOKUP(B112,SuperMarket_Analysis[Invoice ID],SuperMarket_Analysis[Quantity])</f>
        <v>2</v>
      </c>
      <c r="D112" s="6" t="str">
        <f>_xlfn.XLOOKUP('Input data'!B112,'SuperMarket Analysis'!A:A,'SuperMarket Analysis'!F:F)</f>
        <v>Sports and travel</v>
      </c>
      <c r="E112" s="6" t="str">
        <f>_xlfn.XLOOKUP(B112,'SuperMarket Analysis'!A:A,'SuperMarket Analysis'!M:M)</f>
        <v>Ewallet</v>
      </c>
      <c r="F112" s="6">
        <f>0.05*Input_Table[[#This Row],[TOTAL C.O.G.S]]</f>
        <v>1.649</v>
      </c>
      <c r="G112" s="6" t="str">
        <f>_xlfn.XLOOKUP(Input_Table[[#This Row],[INVOICE ID]],'SuperMarket Analysis'!A:A,'SuperMarket Analysis'!B:B)</f>
        <v>Cairo</v>
      </c>
      <c r="H112" s="6" t="str">
        <f>_xlfn.XLOOKUP(Input_Table[[#This Row],[INVOICE ID]],'SuperMarket Analysis'!A:A,'SuperMarket Analysis'!F:F)</f>
        <v>Sports and travel</v>
      </c>
      <c r="I112" s="12">
        <f>_xlfn.XLOOKUP(Input_Table[[#This Row],[INVOICE ID]],'SuperMarket Analysis'!A:A,'SuperMarket Analysis'!G:G)</f>
        <v>16.489999999999998</v>
      </c>
      <c r="J112" s="12">
        <f>_xlfn.XLOOKUP(Input_Table[[#This Row],[INVOICE ID]],'SuperMarket Analysis'!A:A,'SuperMarket Analysis'!N:N)</f>
        <v>32.979999999999997</v>
      </c>
      <c r="K112" s="12">
        <f>_xlfn.XLOOKUP(Input_Table[[#This Row],[INVOICE ID]],'SuperMarket Analysis'!A:A,'SuperMarket Analysis'!J:J)</f>
        <v>34.628999999999998</v>
      </c>
      <c r="L112" s="6">
        <f>DAY(Input_Table[[#This Row],[DATE]])</f>
        <v>14</v>
      </c>
      <c r="M112" s="6" t="str">
        <f>TEXT(Input_Table[[#This Row],[DATE]],"mmmm")</f>
        <v>January</v>
      </c>
      <c r="N112" s="6">
        <f>YEAR(Input_Table[[#This Row],[DATE]])</f>
        <v>2019</v>
      </c>
    </row>
    <row r="113" spans="1:14" x14ac:dyDescent="0.3">
      <c r="A113" s="2">
        <f>_xlfn.XLOOKUP(B113,SuperMarket_Analysis[Invoice ID],SuperMarket_Analysis[Date])</f>
        <v>43511</v>
      </c>
      <c r="B113" s="6" t="s">
        <v>143</v>
      </c>
      <c r="C113" s="7">
        <f>_xlfn.XLOOKUP(B113,SuperMarket_Analysis[Invoice ID],SuperMarket_Analysis[Quantity])</f>
        <v>3</v>
      </c>
      <c r="D113" s="6" t="str">
        <f>_xlfn.XLOOKUP('Input data'!B113,'SuperMarket Analysis'!A:A,'SuperMarket Analysis'!F:F)</f>
        <v>Health and beauty</v>
      </c>
      <c r="E113" s="6" t="str">
        <f>_xlfn.XLOOKUP(B113,'SuperMarket Analysis'!A:A,'SuperMarket Analysis'!M:M)</f>
        <v>Credit card</v>
      </c>
      <c r="F113" s="6">
        <f>0.05*Input_Table[[#This Row],[TOTAL C.O.G.S]]</f>
        <v>14.7315</v>
      </c>
      <c r="G113" s="6" t="str">
        <f>_xlfn.XLOOKUP(Input_Table[[#This Row],[INVOICE ID]],'SuperMarket Analysis'!A:A,'SuperMarket Analysis'!B:B)</f>
        <v>Giza</v>
      </c>
      <c r="H113" s="6" t="str">
        <f>_xlfn.XLOOKUP(Input_Table[[#This Row],[INVOICE ID]],'SuperMarket Analysis'!A:A,'SuperMarket Analysis'!F:F)</f>
        <v>Health and beauty</v>
      </c>
      <c r="I113" s="12">
        <f>_xlfn.XLOOKUP(Input_Table[[#This Row],[INVOICE ID]],'SuperMarket Analysis'!A:A,'SuperMarket Analysis'!G:G)</f>
        <v>98.21</v>
      </c>
      <c r="J113" s="12">
        <f>_xlfn.XLOOKUP(Input_Table[[#This Row],[INVOICE ID]],'SuperMarket Analysis'!A:A,'SuperMarket Analysis'!N:N)</f>
        <v>294.63</v>
      </c>
      <c r="K113" s="12">
        <f>_xlfn.XLOOKUP(Input_Table[[#This Row],[INVOICE ID]],'SuperMarket Analysis'!A:A,'SuperMarket Analysis'!J:J)</f>
        <v>309.36149999999998</v>
      </c>
      <c r="L113" s="6">
        <f>DAY(Input_Table[[#This Row],[DATE]])</f>
        <v>15</v>
      </c>
      <c r="M113" s="6" t="str">
        <f>TEXT(Input_Table[[#This Row],[DATE]],"mmmm")</f>
        <v>February</v>
      </c>
      <c r="N113" s="6">
        <f>YEAR(Input_Table[[#This Row],[DATE]])</f>
        <v>2019</v>
      </c>
    </row>
    <row r="114" spans="1:14" x14ac:dyDescent="0.3">
      <c r="A114" s="2">
        <f>_xlfn.XLOOKUP(B114,SuperMarket_Analysis[Invoice ID],SuperMarket_Analysis[Date])</f>
        <v>43542</v>
      </c>
      <c r="B114" s="6" t="s">
        <v>144</v>
      </c>
      <c r="C114" s="7">
        <f>_xlfn.XLOOKUP(B114,SuperMarket_Analysis[Invoice ID],SuperMarket_Analysis[Quantity])</f>
        <v>7</v>
      </c>
      <c r="D114" s="6" t="str">
        <f>_xlfn.XLOOKUP('Input data'!B114,'SuperMarket Analysis'!A:A,'SuperMarket Analysis'!F:F)</f>
        <v>Fashion accessories</v>
      </c>
      <c r="E114" s="6" t="str">
        <f>_xlfn.XLOOKUP(B114,'SuperMarket Analysis'!A:A,'SuperMarket Analysis'!M:M)</f>
        <v>Cash</v>
      </c>
      <c r="F114" s="6">
        <f>0.05*Input_Table[[#This Row],[TOTAL C.O.G.S]]</f>
        <v>25.494</v>
      </c>
      <c r="G114" s="6" t="str">
        <f>_xlfn.XLOOKUP(Input_Table[[#This Row],[INVOICE ID]],'SuperMarket Analysis'!A:A,'SuperMarket Analysis'!B:B)</f>
        <v>Cairo</v>
      </c>
      <c r="H114" s="6" t="str">
        <f>_xlfn.XLOOKUP(Input_Table[[#This Row],[INVOICE ID]],'SuperMarket Analysis'!A:A,'SuperMarket Analysis'!F:F)</f>
        <v>Fashion accessories</v>
      </c>
      <c r="I114" s="12">
        <f>_xlfn.XLOOKUP(Input_Table[[#This Row],[INVOICE ID]],'SuperMarket Analysis'!A:A,'SuperMarket Analysis'!G:G)</f>
        <v>72.84</v>
      </c>
      <c r="J114" s="12">
        <f>_xlfn.XLOOKUP(Input_Table[[#This Row],[INVOICE ID]],'SuperMarket Analysis'!A:A,'SuperMarket Analysis'!N:N)</f>
        <v>509.88</v>
      </c>
      <c r="K114" s="12">
        <f>_xlfn.XLOOKUP(Input_Table[[#This Row],[INVOICE ID]],'SuperMarket Analysis'!A:A,'SuperMarket Analysis'!J:J)</f>
        <v>535.37400000000002</v>
      </c>
      <c r="L114" s="6">
        <f>DAY(Input_Table[[#This Row],[DATE]])</f>
        <v>18</v>
      </c>
      <c r="M114" s="6" t="str">
        <f>TEXT(Input_Table[[#This Row],[DATE]],"mmmm")</f>
        <v>March</v>
      </c>
      <c r="N114" s="6">
        <f>YEAR(Input_Table[[#This Row],[DATE]])</f>
        <v>2019</v>
      </c>
    </row>
    <row r="115" spans="1:14" x14ac:dyDescent="0.3">
      <c r="A115" s="2">
        <f>_xlfn.XLOOKUP(B115,SuperMarket_Analysis[Invoice ID],SuperMarket_Analysis[Date])</f>
        <v>43552</v>
      </c>
      <c r="B115" s="6" t="s">
        <v>145</v>
      </c>
      <c r="C115" s="7">
        <f>_xlfn.XLOOKUP(B115,SuperMarket_Analysis[Invoice ID],SuperMarket_Analysis[Quantity])</f>
        <v>9</v>
      </c>
      <c r="D115" s="6" t="str">
        <f>_xlfn.XLOOKUP('Input data'!B115,'SuperMarket Analysis'!A:A,'SuperMarket Analysis'!F:F)</f>
        <v>Home and lifestyle</v>
      </c>
      <c r="E115" s="6" t="str">
        <f>_xlfn.XLOOKUP(B115,'SuperMarket Analysis'!A:A,'SuperMarket Analysis'!M:M)</f>
        <v>Ewallet</v>
      </c>
      <c r="F115" s="6">
        <f>0.05*Input_Table[[#This Row],[TOTAL C.O.G.S]]</f>
        <v>26.131500000000003</v>
      </c>
      <c r="G115" s="6" t="str">
        <f>_xlfn.XLOOKUP(Input_Table[[#This Row],[INVOICE ID]],'SuperMarket Analysis'!A:A,'SuperMarket Analysis'!B:B)</f>
        <v>Alex</v>
      </c>
      <c r="H115" s="6" t="str">
        <f>_xlfn.XLOOKUP(Input_Table[[#This Row],[INVOICE ID]],'SuperMarket Analysis'!A:A,'SuperMarket Analysis'!F:F)</f>
        <v>Home and lifestyle</v>
      </c>
      <c r="I115" s="12">
        <f>_xlfn.XLOOKUP(Input_Table[[#This Row],[INVOICE ID]],'SuperMarket Analysis'!A:A,'SuperMarket Analysis'!G:G)</f>
        <v>58.07</v>
      </c>
      <c r="J115" s="12">
        <f>_xlfn.XLOOKUP(Input_Table[[#This Row],[INVOICE ID]],'SuperMarket Analysis'!A:A,'SuperMarket Analysis'!N:N)</f>
        <v>522.63</v>
      </c>
      <c r="K115" s="12">
        <f>_xlfn.XLOOKUP(Input_Table[[#This Row],[INVOICE ID]],'SuperMarket Analysis'!A:A,'SuperMarket Analysis'!J:J)</f>
        <v>548.76149999999996</v>
      </c>
      <c r="L115" s="6">
        <f>DAY(Input_Table[[#This Row],[DATE]])</f>
        <v>28</v>
      </c>
      <c r="M115" s="6" t="str">
        <f>TEXT(Input_Table[[#This Row],[DATE]],"mmmm")</f>
        <v>March</v>
      </c>
      <c r="N115" s="6">
        <f>YEAR(Input_Table[[#This Row],[DATE]])</f>
        <v>2019</v>
      </c>
    </row>
    <row r="116" spans="1:14" x14ac:dyDescent="0.3">
      <c r="A116" s="2">
        <f>_xlfn.XLOOKUP(B116,SuperMarket_Analysis[Invoice ID],SuperMarket_Analysis[Date])</f>
        <v>43490</v>
      </c>
      <c r="B116" s="6" t="s">
        <v>146</v>
      </c>
      <c r="C116" s="7">
        <f>_xlfn.XLOOKUP(B116,SuperMarket_Analysis[Invoice ID],SuperMarket_Analysis[Quantity])</f>
        <v>9</v>
      </c>
      <c r="D116" s="6" t="str">
        <f>_xlfn.XLOOKUP('Input data'!B116,'SuperMarket Analysis'!A:A,'SuperMarket Analysis'!F:F)</f>
        <v>Home and lifestyle</v>
      </c>
      <c r="E116" s="6" t="str">
        <f>_xlfn.XLOOKUP(B116,'SuperMarket Analysis'!A:A,'SuperMarket Analysis'!M:M)</f>
        <v>Credit card</v>
      </c>
      <c r="F116" s="6">
        <f>0.05*Input_Table[[#This Row],[TOTAL C.O.G.S]]</f>
        <v>36.355499999999999</v>
      </c>
      <c r="G116" s="6" t="str">
        <f>_xlfn.XLOOKUP(Input_Table[[#This Row],[INVOICE ID]],'SuperMarket Analysis'!A:A,'SuperMarket Analysis'!B:B)</f>
        <v>Giza</v>
      </c>
      <c r="H116" s="6" t="str">
        <f>_xlfn.XLOOKUP(Input_Table[[#This Row],[INVOICE ID]],'SuperMarket Analysis'!A:A,'SuperMarket Analysis'!F:F)</f>
        <v>Home and lifestyle</v>
      </c>
      <c r="I116" s="12">
        <f>_xlfn.XLOOKUP(Input_Table[[#This Row],[INVOICE ID]],'SuperMarket Analysis'!A:A,'SuperMarket Analysis'!G:G)</f>
        <v>80.790000000000006</v>
      </c>
      <c r="J116" s="12">
        <f>_xlfn.XLOOKUP(Input_Table[[#This Row],[INVOICE ID]],'SuperMarket Analysis'!A:A,'SuperMarket Analysis'!N:N)</f>
        <v>727.11</v>
      </c>
      <c r="K116" s="12">
        <f>_xlfn.XLOOKUP(Input_Table[[#This Row],[INVOICE ID]],'SuperMarket Analysis'!A:A,'SuperMarket Analysis'!J:J)</f>
        <v>763.46550000000002</v>
      </c>
      <c r="L116" s="6">
        <f>DAY(Input_Table[[#This Row],[DATE]])</f>
        <v>25</v>
      </c>
      <c r="M116" s="6" t="str">
        <f>TEXT(Input_Table[[#This Row],[DATE]],"mmmm")</f>
        <v>January</v>
      </c>
      <c r="N116" s="6">
        <f>YEAR(Input_Table[[#This Row],[DATE]])</f>
        <v>2019</v>
      </c>
    </row>
    <row r="117" spans="1:14" x14ac:dyDescent="0.3">
      <c r="A117" s="2">
        <f>_xlfn.XLOOKUP(B117,SuperMarket_Analysis[Invoice ID],SuperMarket_Analysis[Date])</f>
        <v>43481</v>
      </c>
      <c r="B117" s="6" t="s">
        <v>147</v>
      </c>
      <c r="C117" s="7">
        <f>_xlfn.XLOOKUP(B117,SuperMarket_Analysis[Invoice ID],SuperMarket_Analysis[Quantity])</f>
        <v>3</v>
      </c>
      <c r="D117" s="6" t="str">
        <f>_xlfn.XLOOKUP('Input data'!B117,'SuperMarket Analysis'!A:A,'SuperMarket Analysis'!F:F)</f>
        <v>Fashion accessories</v>
      </c>
      <c r="E117" s="6" t="str">
        <f>_xlfn.XLOOKUP(B117,'SuperMarket Analysis'!A:A,'SuperMarket Analysis'!M:M)</f>
        <v>Credit card</v>
      </c>
      <c r="F117" s="6">
        <f>0.05*Input_Table[[#This Row],[TOTAL C.O.G.S]]</f>
        <v>4.0529999999999999</v>
      </c>
      <c r="G117" s="6" t="str">
        <f>_xlfn.XLOOKUP(Input_Table[[#This Row],[INVOICE ID]],'SuperMarket Analysis'!A:A,'SuperMarket Analysis'!B:B)</f>
        <v>Giza</v>
      </c>
      <c r="H117" s="6" t="str">
        <f>_xlfn.XLOOKUP(Input_Table[[#This Row],[INVOICE ID]],'SuperMarket Analysis'!A:A,'SuperMarket Analysis'!F:F)</f>
        <v>Fashion accessories</v>
      </c>
      <c r="I117" s="12">
        <f>_xlfn.XLOOKUP(Input_Table[[#This Row],[INVOICE ID]],'SuperMarket Analysis'!A:A,'SuperMarket Analysis'!G:G)</f>
        <v>27.02</v>
      </c>
      <c r="J117" s="12">
        <f>_xlfn.XLOOKUP(Input_Table[[#This Row],[INVOICE ID]],'SuperMarket Analysis'!A:A,'SuperMarket Analysis'!N:N)</f>
        <v>81.06</v>
      </c>
      <c r="K117" s="12">
        <f>_xlfn.XLOOKUP(Input_Table[[#This Row],[INVOICE ID]],'SuperMarket Analysis'!A:A,'SuperMarket Analysis'!J:J)</f>
        <v>85.113</v>
      </c>
      <c r="L117" s="6">
        <f>DAY(Input_Table[[#This Row],[DATE]])</f>
        <v>16</v>
      </c>
      <c r="M117" s="6" t="str">
        <f>TEXT(Input_Table[[#This Row],[DATE]],"mmmm")</f>
        <v>January</v>
      </c>
      <c r="N117" s="6">
        <f>YEAR(Input_Table[[#This Row],[DATE]])</f>
        <v>2019</v>
      </c>
    </row>
    <row r="118" spans="1:14" x14ac:dyDescent="0.3">
      <c r="A118" s="2">
        <f>_xlfn.XLOOKUP(B118,SuperMarket_Analysis[Invoice ID],SuperMarket_Analysis[Date])</f>
        <v>43544</v>
      </c>
      <c r="B118" s="6" t="s">
        <v>148</v>
      </c>
      <c r="C118" s="7">
        <f>_xlfn.XLOOKUP(B118,SuperMarket_Analysis[Invoice ID],SuperMarket_Analysis[Quantity])</f>
        <v>5</v>
      </c>
      <c r="D118" s="6" t="str">
        <f>_xlfn.XLOOKUP('Input data'!B118,'SuperMarket Analysis'!A:A,'SuperMarket Analysis'!F:F)</f>
        <v>Fashion accessories</v>
      </c>
      <c r="E118" s="6" t="str">
        <f>_xlfn.XLOOKUP(B118,'SuperMarket Analysis'!A:A,'SuperMarket Analysis'!M:M)</f>
        <v>Ewallet</v>
      </c>
      <c r="F118" s="6">
        <f>0.05*Input_Table[[#This Row],[TOTAL C.O.G.S]]</f>
        <v>5.4850000000000003</v>
      </c>
      <c r="G118" s="6" t="str">
        <f>_xlfn.XLOOKUP(Input_Table[[#This Row],[INVOICE ID]],'SuperMarket Analysis'!A:A,'SuperMarket Analysis'!B:B)</f>
        <v>Cairo</v>
      </c>
      <c r="H118" s="6" t="str">
        <f>_xlfn.XLOOKUP(Input_Table[[#This Row],[INVOICE ID]],'SuperMarket Analysis'!A:A,'SuperMarket Analysis'!F:F)</f>
        <v>Fashion accessories</v>
      </c>
      <c r="I118" s="12">
        <f>_xlfn.XLOOKUP(Input_Table[[#This Row],[INVOICE ID]],'SuperMarket Analysis'!A:A,'SuperMarket Analysis'!G:G)</f>
        <v>21.94</v>
      </c>
      <c r="J118" s="12">
        <f>_xlfn.XLOOKUP(Input_Table[[#This Row],[INVOICE ID]],'SuperMarket Analysis'!A:A,'SuperMarket Analysis'!N:N)</f>
        <v>109.7</v>
      </c>
      <c r="K118" s="12">
        <f>_xlfn.XLOOKUP(Input_Table[[#This Row],[INVOICE ID]],'SuperMarket Analysis'!A:A,'SuperMarket Analysis'!J:J)</f>
        <v>115.185</v>
      </c>
      <c r="L118" s="6">
        <f>DAY(Input_Table[[#This Row],[DATE]])</f>
        <v>20</v>
      </c>
      <c r="M118" s="6" t="str">
        <f>TEXT(Input_Table[[#This Row],[DATE]],"mmmm")</f>
        <v>March</v>
      </c>
      <c r="N118" s="6">
        <f>YEAR(Input_Table[[#This Row],[DATE]])</f>
        <v>2019</v>
      </c>
    </row>
    <row r="119" spans="1:14" x14ac:dyDescent="0.3">
      <c r="A119" s="2">
        <f>_xlfn.XLOOKUP(B119,SuperMarket_Analysis[Invoice ID],SuperMarket_Analysis[Date])</f>
        <v>43546</v>
      </c>
      <c r="B119" s="6" t="s">
        <v>149</v>
      </c>
      <c r="C119" s="7">
        <f>_xlfn.XLOOKUP(B119,SuperMarket_Analysis[Invoice ID],SuperMarket_Analysis[Quantity])</f>
        <v>1</v>
      </c>
      <c r="D119" s="6" t="str">
        <f>_xlfn.XLOOKUP('Input data'!B119,'SuperMarket Analysis'!A:A,'SuperMarket Analysis'!F:F)</f>
        <v>Fashion accessories</v>
      </c>
      <c r="E119" s="6" t="str">
        <f>_xlfn.XLOOKUP(B119,'SuperMarket Analysis'!A:A,'SuperMarket Analysis'!M:M)</f>
        <v>Ewallet</v>
      </c>
      <c r="F119" s="6">
        <f>0.05*Input_Table[[#This Row],[TOTAL C.O.G.S]]</f>
        <v>2.5680000000000001</v>
      </c>
      <c r="G119" s="6" t="str">
        <f>_xlfn.XLOOKUP(Input_Table[[#This Row],[INVOICE ID]],'SuperMarket Analysis'!A:A,'SuperMarket Analysis'!B:B)</f>
        <v>Cairo</v>
      </c>
      <c r="H119" s="6" t="str">
        <f>_xlfn.XLOOKUP(Input_Table[[#This Row],[INVOICE ID]],'SuperMarket Analysis'!A:A,'SuperMarket Analysis'!F:F)</f>
        <v>Fashion accessories</v>
      </c>
      <c r="I119" s="12">
        <f>_xlfn.XLOOKUP(Input_Table[[#This Row],[INVOICE ID]],'SuperMarket Analysis'!A:A,'SuperMarket Analysis'!G:G)</f>
        <v>51.36</v>
      </c>
      <c r="J119" s="12">
        <f>_xlfn.XLOOKUP(Input_Table[[#This Row],[INVOICE ID]],'SuperMarket Analysis'!A:A,'SuperMarket Analysis'!N:N)</f>
        <v>51.36</v>
      </c>
      <c r="K119" s="12">
        <f>_xlfn.XLOOKUP(Input_Table[[#This Row],[INVOICE ID]],'SuperMarket Analysis'!A:A,'SuperMarket Analysis'!J:J)</f>
        <v>53.927999999999997</v>
      </c>
      <c r="L119" s="6">
        <f>DAY(Input_Table[[#This Row],[DATE]])</f>
        <v>22</v>
      </c>
      <c r="M119" s="6" t="str">
        <f>TEXT(Input_Table[[#This Row],[DATE]],"mmmm")</f>
        <v>March</v>
      </c>
      <c r="N119" s="6">
        <f>YEAR(Input_Table[[#This Row],[DATE]])</f>
        <v>2019</v>
      </c>
    </row>
    <row r="120" spans="1:14" x14ac:dyDescent="0.3">
      <c r="A120" s="2">
        <f>_xlfn.XLOOKUP(B120,SuperMarket_Analysis[Invoice ID],SuperMarket_Analysis[Date])</f>
        <v>43548</v>
      </c>
      <c r="B120" s="6" t="s">
        <v>150</v>
      </c>
      <c r="C120" s="7">
        <f>_xlfn.XLOOKUP(B120,SuperMarket_Analysis[Invoice ID],SuperMarket_Analysis[Quantity])</f>
        <v>10</v>
      </c>
      <c r="D120" s="6" t="str">
        <f>_xlfn.XLOOKUP('Input data'!B120,'SuperMarket Analysis'!A:A,'SuperMarket Analysis'!F:F)</f>
        <v>Food and beverages</v>
      </c>
      <c r="E120" s="6" t="str">
        <f>_xlfn.XLOOKUP(B120,'SuperMarket Analysis'!A:A,'SuperMarket Analysis'!M:M)</f>
        <v>Ewallet</v>
      </c>
      <c r="F120" s="6">
        <f>0.05*Input_Table[[#This Row],[TOTAL C.O.G.S]]</f>
        <v>5.48</v>
      </c>
      <c r="G120" s="6" t="str">
        <f>_xlfn.XLOOKUP(Input_Table[[#This Row],[INVOICE ID]],'SuperMarket Analysis'!A:A,'SuperMarket Analysis'!B:B)</f>
        <v>Alex</v>
      </c>
      <c r="H120" s="6" t="str">
        <f>_xlfn.XLOOKUP(Input_Table[[#This Row],[INVOICE ID]],'SuperMarket Analysis'!A:A,'SuperMarket Analysis'!F:F)</f>
        <v>Food and beverages</v>
      </c>
      <c r="I120" s="12">
        <f>_xlfn.XLOOKUP(Input_Table[[#This Row],[INVOICE ID]],'SuperMarket Analysis'!A:A,'SuperMarket Analysis'!G:G)</f>
        <v>10.96</v>
      </c>
      <c r="J120" s="12">
        <f>_xlfn.XLOOKUP(Input_Table[[#This Row],[INVOICE ID]],'SuperMarket Analysis'!A:A,'SuperMarket Analysis'!N:N)</f>
        <v>109.6</v>
      </c>
      <c r="K120" s="12">
        <f>_xlfn.XLOOKUP(Input_Table[[#This Row],[INVOICE ID]],'SuperMarket Analysis'!A:A,'SuperMarket Analysis'!J:J)</f>
        <v>115.08</v>
      </c>
      <c r="L120" s="6">
        <f>DAY(Input_Table[[#This Row],[DATE]])</f>
        <v>24</v>
      </c>
      <c r="M120" s="6" t="str">
        <f>TEXT(Input_Table[[#This Row],[DATE]],"mmmm")</f>
        <v>March</v>
      </c>
      <c r="N120" s="6">
        <f>YEAR(Input_Table[[#This Row],[DATE]])</f>
        <v>2019</v>
      </c>
    </row>
    <row r="121" spans="1:14" x14ac:dyDescent="0.3">
      <c r="A121" s="2">
        <f>_xlfn.XLOOKUP(B121,SuperMarket_Analysis[Invoice ID],SuperMarket_Analysis[Date])</f>
        <v>43517</v>
      </c>
      <c r="B121" s="6" t="s">
        <v>151</v>
      </c>
      <c r="C121" s="7">
        <f>_xlfn.XLOOKUP(B121,SuperMarket_Analysis[Invoice ID],SuperMarket_Analysis[Quantity])</f>
        <v>2</v>
      </c>
      <c r="D121" s="6" t="str">
        <f>_xlfn.XLOOKUP('Input data'!B121,'SuperMarket Analysis'!A:A,'SuperMarket Analysis'!F:F)</f>
        <v>Home and lifestyle</v>
      </c>
      <c r="E121" s="6" t="str">
        <f>_xlfn.XLOOKUP(B121,'SuperMarket Analysis'!A:A,'SuperMarket Analysis'!M:M)</f>
        <v>Ewallet</v>
      </c>
      <c r="F121" s="6">
        <f>0.05*Input_Table[[#This Row],[TOTAL C.O.G.S]]</f>
        <v>5.3440000000000003</v>
      </c>
      <c r="G121" s="6" t="str">
        <f>_xlfn.XLOOKUP(Input_Table[[#This Row],[INVOICE ID]],'SuperMarket Analysis'!A:A,'SuperMarket Analysis'!B:B)</f>
        <v>Cairo</v>
      </c>
      <c r="H121" s="6" t="str">
        <f>_xlfn.XLOOKUP(Input_Table[[#This Row],[INVOICE ID]],'SuperMarket Analysis'!A:A,'SuperMarket Analysis'!F:F)</f>
        <v>Home and lifestyle</v>
      </c>
      <c r="I121" s="12">
        <f>_xlfn.XLOOKUP(Input_Table[[#This Row],[INVOICE ID]],'SuperMarket Analysis'!A:A,'SuperMarket Analysis'!G:G)</f>
        <v>53.44</v>
      </c>
      <c r="J121" s="12">
        <f>_xlfn.XLOOKUP(Input_Table[[#This Row],[INVOICE ID]],'SuperMarket Analysis'!A:A,'SuperMarket Analysis'!N:N)</f>
        <v>106.88</v>
      </c>
      <c r="K121" s="12">
        <f>_xlfn.XLOOKUP(Input_Table[[#This Row],[INVOICE ID]],'SuperMarket Analysis'!A:A,'SuperMarket Analysis'!J:J)</f>
        <v>112.224</v>
      </c>
      <c r="L121" s="6">
        <f>DAY(Input_Table[[#This Row],[DATE]])</f>
        <v>21</v>
      </c>
      <c r="M121" s="6" t="str">
        <f>TEXT(Input_Table[[#This Row],[DATE]],"mmmm")</f>
        <v>February</v>
      </c>
      <c r="N121" s="6">
        <f>YEAR(Input_Table[[#This Row],[DATE]])</f>
        <v>2019</v>
      </c>
    </row>
    <row r="122" spans="1:14" x14ac:dyDescent="0.3">
      <c r="A122" s="2">
        <f>_xlfn.XLOOKUP(B122,SuperMarket_Analysis[Invoice ID],SuperMarket_Analysis[Date])</f>
        <v>43496</v>
      </c>
      <c r="B122" s="6" t="s">
        <v>152</v>
      </c>
      <c r="C122" s="7">
        <f>_xlfn.XLOOKUP(B122,SuperMarket_Analysis[Invoice ID],SuperMarket_Analysis[Quantity])</f>
        <v>8</v>
      </c>
      <c r="D122" s="6" t="str">
        <f>_xlfn.XLOOKUP('Input data'!B122,'SuperMarket Analysis'!A:A,'SuperMarket Analysis'!F:F)</f>
        <v>Electronic accessories</v>
      </c>
      <c r="E122" s="6" t="str">
        <f>_xlfn.XLOOKUP(B122,'SuperMarket Analysis'!A:A,'SuperMarket Analysis'!M:M)</f>
        <v>Credit card</v>
      </c>
      <c r="F122" s="6">
        <f>0.05*Input_Table[[#This Row],[TOTAL C.O.G.S]]</f>
        <v>39.824000000000005</v>
      </c>
      <c r="G122" s="6" t="str">
        <f>_xlfn.XLOOKUP(Input_Table[[#This Row],[INVOICE ID]],'SuperMarket Analysis'!A:A,'SuperMarket Analysis'!B:B)</f>
        <v>Alex</v>
      </c>
      <c r="H122" s="6" t="str">
        <f>_xlfn.XLOOKUP(Input_Table[[#This Row],[INVOICE ID]],'SuperMarket Analysis'!A:A,'SuperMarket Analysis'!F:F)</f>
        <v>Electronic accessories</v>
      </c>
      <c r="I122" s="12">
        <f>_xlfn.XLOOKUP(Input_Table[[#This Row],[INVOICE ID]],'SuperMarket Analysis'!A:A,'SuperMarket Analysis'!G:G)</f>
        <v>99.56</v>
      </c>
      <c r="J122" s="12">
        <f>_xlfn.XLOOKUP(Input_Table[[#This Row],[INVOICE ID]],'SuperMarket Analysis'!A:A,'SuperMarket Analysis'!N:N)</f>
        <v>796.48</v>
      </c>
      <c r="K122" s="12">
        <f>_xlfn.XLOOKUP(Input_Table[[#This Row],[INVOICE ID]],'SuperMarket Analysis'!A:A,'SuperMarket Analysis'!J:J)</f>
        <v>836.30399999999997</v>
      </c>
      <c r="L122" s="6">
        <f>DAY(Input_Table[[#This Row],[DATE]])</f>
        <v>31</v>
      </c>
      <c r="M122" s="6" t="str">
        <f>TEXT(Input_Table[[#This Row],[DATE]],"mmmm")</f>
        <v>January</v>
      </c>
      <c r="N122" s="6">
        <f>YEAR(Input_Table[[#This Row],[DATE]])</f>
        <v>2019</v>
      </c>
    </row>
    <row r="123" spans="1:14" x14ac:dyDescent="0.3">
      <c r="A123" s="2">
        <f>_xlfn.XLOOKUP(B123,SuperMarket_Analysis[Invoice ID],SuperMarket_Analysis[Date])</f>
        <v>43513</v>
      </c>
      <c r="B123" s="6" t="s">
        <v>153</v>
      </c>
      <c r="C123" s="7">
        <f>_xlfn.XLOOKUP(B123,SuperMarket_Analysis[Invoice ID],SuperMarket_Analysis[Quantity])</f>
        <v>7</v>
      </c>
      <c r="D123" s="6" t="str">
        <f>_xlfn.XLOOKUP('Input data'!B123,'SuperMarket Analysis'!A:A,'SuperMarket Analysis'!F:F)</f>
        <v>Sports and travel</v>
      </c>
      <c r="E123" s="6" t="str">
        <f>_xlfn.XLOOKUP(B123,'SuperMarket Analysis'!A:A,'SuperMarket Analysis'!M:M)</f>
        <v>Credit card</v>
      </c>
      <c r="F123" s="6">
        <f>0.05*Input_Table[[#This Row],[TOTAL C.O.G.S]]</f>
        <v>19.992000000000001</v>
      </c>
      <c r="G123" s="6" t="str">
        <f>_xlfn.XLOOKUP(Input_Table[[#This Row],[INVOICE ID]],'SuperMarket Analysis'!A:A,'SuperMarket Analysis'!B:B)</f>
        <v>Giza</v>
      </c>
      <c r="H123" s="6" t="str">
        <f>_xlfn.XLOOKUP(Input_Table[[#This Row],[INVOICE ID]],'SuperMarket Analysis'!A:A,'SuperMarket Analysis'!F:F)</f>
        <v>Sports and travel</v>
      </c>
      <c r="I123" s="12">
        <f>_xlfn.XLOOKUP(Input_Table[[#This Row],[INVOICE ID]],'SuperMarket Analysis'!A:A,'SuperMarket Analysis'!G:G)</f>
        <v>57.12</v>
      </c>
      <c r="J123" s="12">
        <f>_xlfn.XLOOKUP(Input_Table[[#This Row],[INVOICE ID]],'SuperMarket Analysis'!A:A,'SuperMarket Analysis'!N:N)</f>
        <v>399.84</v>
      </c>
      <c r="K123" s="12">
        <f>_xlfn.XLOOKUP(Input_Table[[#This Row],[INVOICE ID]],'SuperMarket Analysis'!A:A,'SuperMarket Analysis'!J:J)</f>
        <v>419.83199999999999</v>
      </c>
      <c r="L123" s="6">
        <f>DAY(Input_Table[[#This Row],[DATE]])</f>
        <v>17</v>
      </c>
      <c r="M123" s="6" t="str">
        <f>TEXT(Input_Table[[#This Row],[DATE]],"mmmm")</f>
        <v>February</v>
      </c>
      <c r="N123" s="6">
        <f>YEAR(Input_Table[[#This Row],[DATE]])</f>
        <v>2019</v>
      </c>
    </row>
    <row r="124" spans="1:14" x14ac:dyDescent="0.3">
      <c r="A124" s="2">
        <f>_xlfn.XLOOKUP(B124,SuperMarket_Analysis[Invoice ID],SuperMarket_Analysis[Date])</f>
        <v>43517</v>
      </c>
      <c r="B124" s="6" t="s">
        <v>154</v>
      </c>
      <c r="C124" s="7">
        <f>_xlfn.XLOOKUP(B124,SuperMarket_Analysis[Invoice ID],SuperMarket_Analysis[Quantity])</f>
        <v>9</v>
      </c>
      <c r="D124" s="6" t="str">
        <f>_xlfn.XLOOKUP('Input data'!B124,'SuperMarket Analysis'!A:A,'SuperMarket Analysis'!F:F)</f>
        <v>Sports and travel</v>
      </c>
      <c r="E124" s="6" t="str">
        <f>_xlfn.XLOOKUP(B124,'SuperMarket Analysis'!A:A,'SuperMarket Analysis'!M:M)</f>
        <v>Credit card</v>
      </c>
      <c r="F124" s="6">
        <f>0.05*Input_Table[[#This Row],[TOTAL C.O.G.S]]</f>
        <v>44.981999999999999</v>
      </c>
      <c r="G124" s="6" t="str">
        <f>_xlfn.XLOOKUP(Input_Table[[#This Row],[INVOICE ID]],'SuperMarket Analysis'!A:A,'SuperMarket Analysis'!B:B)</f>
        <v>Cairo</v>
      </c>
      <c r="H124" s="6" t="str">
        <f>_xlfn.XLOOKUP(Input_Table[[#This Row],[INVOICE ID]],'SuperMarket Analysis'!A:A,'SuperMarket Analysis'!F:F)</f>
        <v>Sports and travel</v>
      </c>
      <c r="I124" s="12">
        <f>_xlfn.XLOOKUP(Input_Table[[#This Row],[INVOICE ID]],'SuperMarket Analysis'!A:A,'SuperMarket Analysis'!G:G)</f>
        <v>99.96</v>
      </c>
      <c r="J124" s="12">
        <f>_xlfn.XLOOKUP(Input_Table[[#This Row],[INVOICE ID]],'SuperMarket Analysis'!A:A,'SuperMarket Analysis'!N:N)</f>
        <v>899.64</v>
      </c>
      <c r="K124" s="12">
        <f>_xlfn.XLOOKUP(Input_Table[[#This Row],[INVOICE ID]],'SuperMarket Analysis'!A:A,'SuperMarket Analysis'!J:J)</f>
        <v>944.62199999999996</v>
      </c>
      <c r="L124" s="6">
        <f>DAY(Input_Table[[#This Row],[DATE]])</f>
        <v>21</v>
      </c>
      <c r="M124" s="6" t="str">
        <f>TEXT(Input_Table[[#This Row],[DATE]],"mmmm")</f>
        <v>February</v>
      </c>
      <c r="N124" s="6">
        <f>YEAR(Input_Table[[#This Row],[DATE]])</f>
        <v>2019</v>
      </c>
    </row>
    <row r="125" spans="1:14" x14ac:dyDescent="0.3">
      <c r="A125" s="2">
        <f>_xlfn.XLOOKUP(B125,SuperMarket_Analysis[Invoice ID],SuperMarket_Analysis[Date])</f>
        <v>43544</v>
      </c>
      <c r="B125" s="6" t="s">
        <v>155</v>
      </c>
      <c r="C125" s="7">
        <f>_xlfn.XLOOKUP(B125,SuperMarket_Analysis[Invoice ID],SuperMarket_Analysis[Quantity])</f>
        <v>8</v>
      </c>
      <c r="D125" s="6" t="str">
        <f>_xlfn.XLOOKUP('Input data'!B125,'SuperMarket Analysis'!A:A,'SuperMarket Analysis'!F:F)</f>
        <v>Home and lifestyle</v>
      </c>
      <c r="E125" s="6" t="str">
        <f>_xlfn.XLOOKUP(B125,'SuperMarket Analysis'!A:A,'SuperMarket Analysis'!M:M)</f>
        <v>Credit card</v>
      </c>
      <c r="F125" s="6">
        <f>0.05*Input_Table[[#This Row],[TOTAL C.O.G.S]]</f>
        <v>25.564</v>
      </c>
      <c r="G125" s="6" t="str">
        <f>_xlfn.XLOOKUP(Input_Table[[#This Row],[INVOICE ID]],'SuperMarket Analysis'!A:A,'SuperMarket Analysis'!B:B)</f>
        <v>Giza</v>
      </c>
      <c r="H125" s="6" t="str">
        <f>_xlfn.XLOOKUP(Input_Table[[#This Row],[INVOICE ID]],'SuperMarket Analysis'!A:A,'SuperMarket Analysis'!F:F)</f>
        <v>Home and lifestyle</v>
      </c>
      <c r="I125" s="12">
        <f>_xlfn.XLOOKUP(Input_Table[[#This Row],[INVOICE ID]],'SuperMarket Analysis'!A:A,'SuperMarket Analysis'!G:G)</f>
        <v>63.91</v>
      </c>
      <c r="J125" s="12">
        <f>_xlfn.XLOOKUP(Input_Table[[#This Row],[INVOICE ID]],'SuperMarket Analysis'!A:A,'SuperMarket Analysis'!N:N)</f>
        <v>511.28</v>
      </c>
      <c r="K125" s="12">
        <f>_xlfn.XLOOKUP(Input_Table[[#This Row],[INVOICE ID]],'SuperMarket Analysis'!A:A,'SuperMarket Analysis'!J:J)</f>
        <v>536.84400000000005</v>
      </c>
      <c r="L125" s="6">
        <f>DAY(Input_Table[[#This Row],[DATE]])</f>
        <v>20</v>
      </c>
      <c r="M125" s="6" t="str">
        <f>TEXT(Input_Table[[#This Row],[DATE]],"mmmm")</f>
        <v>March</v>
      </c>
      <c r="N125" s="6">
        <f>YEAR(Input_Table[[#This Row],[DATE]])</f>
        <v>2019</v>
      </c>
    </row>
    <row r="126" spans="1:14" x14ac:dyDescent="0.3">
      <c r="A126" s="2">
        <f>_xlfn.XLOOKUP(B126,SuperMarket_Analysis[Invoice ID],SuperMarket_Analysis[Date])</f>
        <v>43491</v>
      </c>
      <c r="B126" s="6" t="s">
        <v>156</v>
      </c>
      <c r="C126" s="7">
        <f>_xlfn.XLOOKUP(B126,SuperMarket_Analysis[Invoice ID],SuperMarket_Analysis[Quantity])</f>
        <v>8</v>
      </c>
      <c r="D126" s="6" t="str">
        <f>_xlfn.XLOOKUP('Input data'!B126,'SuperMarket Analysis'!A:A,'SuperMarket Analysis'!F:F)</f>
        <v>Fashion accessories</v>
      </c>
      <c r="E126" s="6" t="str">
        <f>_xlfn.XLOOKUP(B126,'SuperMarket Analysis'!A:A,'SuperMarket Analysis'!M:M)</f>
        <v>Ewallet</v>
      </c>
      <c r="F126" s="6">
        <f>0.05*Input_Table[[#This Row],[TOTAL C.O.G.S]]</f>
        <v>22.588000000000001</v>
      </c>
      <c r="G126" s="6" t="str">
        <f>_xlfn.XLOOKUP(Input_Table[[#This Row],[INVOICE ID]],'SuperMarket Analysis'!A:A,'SuperMarket Analysis'!B:B)</f>
        <v>Cairo</v>
      </c>
      <c r="H126" s="6" t="str">
        <f>_xlfn.XLOOKUP(Input_Table[[#This Row],[INVOICE ID]],'SuperMarket Analysis'!A:A,'SuperMarket Analysis'!F:F)</f>
        <v>Fashion accessories</v>
      </c>
      <c r="I126" s="12">
        <f>_xlfn.XLOOKUP(Input_Table[[#This Row],[INVOICE ID]],'SuperMarket Analysis'!A:A,'SuperMarket Analysis'!G:G)</f>
        <v>56.47</v>
      </c>
      <c r="J126" s="12">
        <f>_xlfn.XLOOKUP(Input_Table[[#This Row],[INVOICE ID]],'SuperMarket Analysis'!A:A,'SuperMarket Analysis'!N:N)</f>
        <v>451.76</v>
      </c>
      <c r="K126" s="12">
        <f>_xlfn.XLOOKUP(Input_Table[[#This Row],[INVOICE ID]],'SuperMarket Analysis'!A:A,'SuperMarket Analysis'!J:J)</f>
        <v>474.34800000000001</v>
      </c>
      <c r="L126" s="6">
        <f>DAY(Input_Table[[#This Row],[DATE]])</f>
        <v>26</v>
      </c>
      <c r="M126" s="6" t="str">
        <f>TEXT(Input_Table[[#This Row],[DATE]],"mmmm")</f>
        <v>January</v>
      </c>
      <c r="N126" s="6">
        <f>YEAR(Input_Table[[#This Row],[DATE]])</f>
        <v>2019</v>
      </c>
    </row>
    <row r="127" spans="1:14" x14ac:dyDescent="0.3">
      <c r="A127" s="2">
        <f>_xlfn.XLOOKUP(B127,SuperMarket_Analysis[Invoice ID],SuperMarket_Analysis[Date])</f>
        <v>43496</v>
      </c>
      <c r="B127" s="6" t="s">
        <v>157</v>
      </c>
      <c r="C127" s="7">
        <f>_xlfn.XLOOKUP(B127,SuperMarket_Analysis[Invoice ID],SuperMarket_Analysis[Quantity])</f>
        <v>7</v>
      </c>
      <c r="D127" s="6" t="str">
        <f>_xlfn.XLOOKUP('Input data'!B127,'SuperMarket Analysis'!A:A,'SuperMarket Analysis'!F:F)</f>
        <v>Home and lifestyle</v>
      </c>
      <c r="E127" s="6" t="str">
        <f>_xlfn.XLOOKUP(B127,'SuperMarket Analysis'!A:A,'SuperMarket Analysis'!M:M)</f>
        <v>Credit card</v>
      </c>
      <c r="F127" s="6">
        <f>0.05*Input_Table[[#This Row],[TOTAL C.O.G.S]]</f>
        <v>32.791500000000006</v>
      </c>
      <c r="G127" s="6" t="str">
        <f>_xlfn.XLOOKUP(Input_Table[[#This Row],[INVOICE ID]],'SuperMarket Analysis'!A:A,'SuperMarket Analysis'!B:B)</f>
        <v>Alex</v>
      </c>
      <c r="H127" s="6" t="str">
        <f>_xlfn.XLOOKUP(Input_Table[[#This Row],[INVOICE ID]],'SuperMarket Analysis'!A:A,'SuperMarket Analysis'!F:F)</f>
        <v>Home and lifestyle</v>
      </c>
      <c r="I127" s="12">
        <f>_xlfn.XLOOKUP(Input_Table[[#This Row],[INVOICE ID]],'SuperMarket Analysis'!A:A,'SuperMarket Analysis'!G:G)</f>
        <v>93.69</v>
      </c>
      <c r="J127" s="12">
        <f>_xlfn.XLOOKUP(Input_Table[[#This Row],[INVOICE ID]],'SuperMarket Analysis'!A:A,'SuperMarket Analysis'!N:N)</f>
        <v>655.83</v>
      </c>
      <c r="K127" s="12">
        <f>_xlfn.XLOOKUP(Input_Table[[#This Row],[INVOICE ID]],'SuperMarket Analysis'!A:A,'SuperMarket Analysis'!J:J)</f>
        <v>688.62149999999997</v>
      </c>
      <c r="L127" s="6">
        <f>DAY(Input_Table[[#This Row],[DATE]])</f>
        <v>31</v>
      </c>
      <c r="M127" s="6" t="str">
        <f>TEXT(Input_Table[[#This Row],[DATE]],"mmmm")</f>
        <v>January</v>
      </c>
      <c r="N127" s="6">
        <f>YEAR(Input_Table[[#This Row],[DATE]])</f>
        <v>2019</v>
      </c>
    </row>
    <row r="128" spans="1:14" x14ac:dyDescent="0.3">
      <c r="A128" s="2">
        <f>_xlfn.XLOOKUP(B128,SuperMarket_Analysis[Invoice ID],SuperMarket_Analysis[Date])</f>
        <v>43522</v>
      </c>
      <c r="B128" s="6" t="s">
        <v>158</v>
      </c>
      <c r="C128" s="7">
        <f>_xlfn.XLOOKUP(B128,SuperMarket_Analysis[Invoice ID],SuperMarket_Analysis[Quantity])</f>
        <v>5</v>
      </c>
      <c r="D128" s="6" t="str">
        <f>_xlfn.XLOOKUP('Input data'!B128,'SuperMarket Analysis'!A:A,'SuperMarket Analysis'!F:F)</f>
        <v>Sports and travel</v>
      </c>
      <c r="E128" s="6" t="str">
        <f>_xlfn.XLOOKUP(B128,'SuperMarket Analysis'!A:A,'SuperMarket Analysis'!M:M)</f>
        <v>Cash</v>
      </c>
      <c r="F128" s="6">
        <f>0.05*Input_Table[[#This Row],[TOTAL C.O.G.S]]</f>
        <v>8.0625</v>
      </c>
      <c r="G128" s="6" t="str">
        <f>_xlfn.XLOOKUP(Input_Table[[#This Row],[INVOICE ID]],'SuperMarket Analysis'!A:A,'SuperMarket Analysis'!B:B)</f>
        <v>Alex</v>
      </c>
      <c r="H128" s="6" t="str">
        <f>_xlfn.XLOOKUP(Input_Table[[#This Row],[INVOICE ID]],'SuperMarket Analysis'!A:A,'SuperMarket Analysis'!F:F)</f>
        <v>Sports and travel</v>
      </c>
      <c r="I128" s="12">
        <f>_xlfn.XLOOKUP(Input_Table[[#This Row],[INVOICE ID]],'SuperMarket Analysis'!A:A,'SuperMarket Analysis'!G:G)</f>
        <v>32.25</v>
      </c>
      <c r="J128" s="12">
        <f>_xlfn.XLOOKUP(Input_Table[[#This Row],[INVOICE ID]],'SuperMarket Analysis'!A:A,'SuperMarket Analysis'!N:N)</f>
        <v>161.25</v>
      </c>
      <c r="K128" s="12">
        <f>_xlfn.XLOOKUP(Input_Table[[#This Row],[INVOICE ID]],'SuperMarket Analysis'!A:A,'SuperMarket Analysis'!J:J)</f>
        <v>169.3125</v>
      </c>
      <c r="L128" s="6">
        <f>DAY(Input_Table[[#This Row],[DATE]])</f>
        <v>26</v>
      </c>
      <c r="M128" s="6" t="str">
        <f>TEXT(Input_Table[[#This Row],[DATE]],"mmmm")</f>
        <v>February</v>
      </c>
      <c r="N128" s="6">
        <f>YEAR(Input_Table[[#This Row],[DATE]])</f>
        <v>2019</v>
      </c>
    </row>
    <row r="129" spans="1:14" x14ac:dyDescent="0.3">
      <c r="A129" s="2">
        <f>_xlfn.XLOOKUP(B129,SuperMarket_Analysis[Invoice ID],SuperMarket_Analysis[Date])</f>
        <v>43491</v>
      </c>
      <c r="B129" s="6" t="s">
        <v>159</v>
      </c>
      <c r="C129" s="7">
        <f>_xlfn.XLOOKUP(B129,SuperMarket_Analysis[Invoice ID],SuperMarket_Analysis[Quantity])</f>
        <v>9</v>
      </c>
      <c r="D129" s="6" t="str">
        <f>_xlfn.XLOOKUP('Input data'!B129,'SuperMarket Analysis'!A:A,'SuperMarket Analysis'!F:F)</f>
        <v>Fashion accessories</v>
      </c>
      <c r="E129" s="6" t="str">
        <f>_xlfn.XLOOKUP(B129,'SuperMarket Analysis'!A:A,'SuperMarket Analysis'!M:M)</f>
        <v>Credit card</v>
      </c>
      <c r="F129" s="6">
        <f>0.05*Input_Table[[#This Row],[TOTAL C.O.G.S]]</f>
        <v>14.278500000000001</v>
      </c>
      <c r="G129" s="6" t="str">
        <f>_xlfn.XLOOKUP(Input_Table[[#This Row],[INVOICE ID]],'SuperMarket Analysis'!A:A,'SuperMarket Analysis'!B:B)</f>
        <v>Giza</v>
      </c>
      <c r="H129" s="6" t="str">
        <f>_xlfn.XLOOKUP(Input_Table[[#This Row],[INVOICE ID]],'SuperMarket Analysis'!A:A,'SuperMarket Analysis'!F:F)</f>
        <v>Fashion accessories</v>
      </c>
      <c r="I129" s="12">
        <f>_xlfn.XLOOKUP(Input_Table[[#This Row],[INVOICE ID]],'SuperMarket Analysis'!A:A,'SuperMarket Analysis'!G:G)</f>
        <v>31.73</v>
      </c>
      <c r="J129" s="12">
        <f>_xlfn.XLOOKUP(Input_Table[[#This Row],[INVOICE ID]],'SuperMarket Analysis'!A:A,'SuperMarket Analysis'!N:N)</f>
        <v>285.57</v>
      </c>
      <c r="K129" s="12">
        <f>_xlfn.XLOOKUP(Input_Table[[#This Row],[INVOICE ID]],'SuperMarket Analysis'!A:A,'SuperMarket Analysis'!J:J)</f>
        <v>299.8485</v>
      </c>
      <c r="L129" s="6">
        <f>DAY(Input_Table[[#This Row],[DATE]])</f>
        <v>26</v>
      </c>
      <c r="M129" s="6" t="str">
        <f>TEXT(Input_Table[[#This Row],[DATE]],"mmmm")</f>
        <v>January</v>
      </c>
      <c r="N129" s="6">
        <f>YEAR(Input_Table[[#This Row],[DATE]])</f>
        <v>2019</v>
      </c>
    </row>
    <row r="130" spans="1:14" x14ac:dyDescent="0.3">
      <c r="A130" s="2">
        <f>_xlfn.XLOOKUP(B130,SuperMarket_Analysis[Invoice ID],SuperMarket_Analysis[Date])</f>
        <v>43517</v>
      </c>
      <c r="B130" s="6" t="s">
        <v>160</v>
      </c>
      <c r="C130" s="7">
        <f>_xlfn.XLOOKUP(B130,SuperMarket_Analysis[Invoice ID],SuperMarket_Analysis[Quantity])</f>
        <v>8</v>
      </c>
      <c r="D130" s="6" t="str">
        <f>_xlfn.XLOOKUP('Input data'!B130,'SuperMarket Analysis'!A:A,'SuperMarket Analysis'!F:F)</f>
        <v>Food and beverages</v>
      </c>
      <c r="E130" s="6" t="str">
        <f>_xlfn.XLOOKUP(B130,'SuperMarket Analysis'!A:A,'SuperMarket Analysis'!M:M)</f>
        <v>Ewallet</v>
      </c>
      <c r="F130" s="6">
        <f>0.05*Input_Table[[#This Row],[TOTAL C.O.G.S]]</f>
        <v>27.416000000000004</v>
      </c>
      <c r="G130" s="6" t="str">
        <f>_xlfn.XLOOKUP(Input_Table[[#This Row],[INVOICE ID]],'SuperMarket Analysis'!A:A,'SuperMarket Analysis'!B:B)</f>
        <v>Giza</v>
      </c>
      <c r="H130" s="6" t="str">
        <f>_xlfn.XLOOKUP(Input_Table[[#This Row],[INVOICE ID]],'SuperMarket Analysis'!A:A,'SuperMarket Analysis'!F:F)</f>
        <v>Food and beverages</v>
      </c>
      <c r="I130" s="12">
        <f>_xlfn.XLOOKUP(Input_Table[[#This Row],[INVOICE ID]],'SuperMarket Analysis'!A:A,'SuperMarket Analysis'!G:G)</f>
        <v>68.540000000000006</v>
      </c>
      <c r="J130" s="12">
        <f>_xlfn.XLOOKUP(Input_Table[[#This Row],[INVOICE ID]],'SuperMarket Analysis'!A:A,'SuperMarket Analysis'!N:N)</f>
        <v>548.32000000000005</v>
      </c>
      <c r="K130" s="12">
        <f>_xlfn.XLOOKUP(Input_Table[[#This Row],[INVOICE ID]],'SuperMarket Analysis'!A:A,'SuperMarket Analysis'!J:J)</f>
        <v>575.73599999999999</v>
      </c>
      <c r="L130" s="6">
        <f>DAY(Input_Table[[#This Row],[DATE]])</f>
        <v>21</v>
      </c>
      <c r="M130" s="6" t="str">
        <f>TEXT(Input_Table[[#This Row],[DATE]],"mmmm")</f>
        <v>February</v>
      </c>
      <c r="N130" s="6">
        <f>YEAR(Input_Table[[#This Row],[DATE]])</f>
        <v>2019</v>
      </c>
    </row>
    <row r="131" spans="1:14" x14ac:dyDescent="0.3">
      <c r="A131" s="2">
        <f>_xlfn.XLOOKUP(B131,SuperMarket_Analysis[Invoice ID],SuperMarket_Analysis[Date])</f>
        <v>43485</v>
      </c>
      <c r="B131" s="6" t="s">
        <v>161</v>
      </c>
      <c r="C131" s="7">
        <f>_xlfn.XLOOKUP(B131,SuperMarket_Analysis[Invoice ID],SuperMarket_Analysis[Quantity])</f>
        <v>9</v>
      </c>
      <c r="D131" s="6" t="str">
        <f>_xlfn.XLOOKUP('Input data'!B131,'SuperMarket Analysis'!A:A,'SuperMarket Analysis'!F:F)</f>
        <v>Sports and travel</v>
      </c>
      <c r="E131" s="6" t="str">
        <f>_xlfn.XLOOKUP(B131,'SuperMarket Analysis'!A:A,'SuperMarket Analysis'!M:M)</f>
        <v>Ewallet</v>
      </c>
      <c r="F131" s="6">
        <f>0.05*Input_Table[[#This Row],[TOTAL C.O.G.S]]</f>
        <v>40.626000000000005</v>
      </c>
      <c r="G131" s="6" t="str">
        <f>_xlfn.XLOOKUP(Input_Table[[#This Row],[INVOICE ID]],'SuperMarket Analysis'!A:A,'SuperMarket Analysis'!B:B)</f>
        <v>Cairo</v>
      </c>
      <c r="H131" s="6" t="str">
        <f>_xlfn.XLOOKUP(Input_Table[[#This Row],[INVOICE ID]],'SuperMarket Analysis'!A:A,'SuperMarket Analysis'!F:F)</f>
        <v>Sports and travel</v>
      </c>
      <c r="I131" s="12">
        <f>_xlfn.XLOOKUP(Input_Table[[#This Row],[INVOICE ID]],'SuperMarket Analysis'!A:A,'SuperMarket Analysis'!G:G)</f>
        <v>90.28</v>
      </c>
      <c r="J131" s="12">
        <f>_xlfn.XLOOKUP(Input_Table[[#This Row],[INVOICE ID]],'SuperMarket Analysis'!A:A,'SuperMarket Analysis'!N:N)</f>
        <v>812.52</v>
      </c>
      <c r="K131" s="12">
        <f>_xlfn.XLOOKUP(Input_Table[[#This Row],[INVOICE ID]],'SuperMarket Analysis'!A:A,'SuperMarket Analysis'!J:J)</f>
        <v>853.14599999999996</v>
      </c>
      <c r="L131" s="6">
        <f>DAY(Input_Table[[#This Row],[DATE]])</f>
        <v>20</v>
      </c>
      <c r="M131" s="6" t="str">
        <f>TEXT(Input_Table[[#This Row],[DATE]],"mmmm")</f>
        <v>January</v>
      </c>
      <c r="N131" s="6">
        <f>YEAR(Input_Table[[#This Row],[DATE]])</f>
        <v>2019</v>
      </c>
    </row>
    <row r="132" spans="1:14" x14ac:dyDescent="0.3">
      <c r="A132" s="2">
        <f>_xlfn.XLOOKUP(B132,SuperMarket_Analysis[Invoice ID],SuperMarket_Analysis[Date])</f>
        <v>43493</v>
      </c>
      <c r="B132" s="6" t="s">
        <v>162</v>
      </c>
      <c r="C132" s="7">
        <f>_xlfn.XLOOKUP(B132,SuperMarket_Analysis[Invoice ID],SuperMarket_Analysis[Quantity])</f>
        <v>7</v>
      </c>
      <c r="D132" s="6" t="str">
        <f>_xlfn.XLOOKUP('Input data'!B132,'SuperMarket Analysis'!A:A,'SuperMarket Analysis'!F:F)</f>
        <v>Fashion accessories</v>
      </c>
      <c r="E132" s="6" t="str">
        <f>_xlfn.XLOOKUP(B132,'SuperMarket Analysis'!A:A,'SuperMarket Analysis'!M:M)</f>
        <v>Cash</v>
      </c>
      <c r="F132" s="6">
        <f>0.05*Input_Table[[#This Row],[TOTAL C.O.G.S]]</f>
        <v>13.866999999999999</v>
      </c>
      <c r="G132" s="6" t="str">
        <f>_xlfn.XLOOKUP(Input_Table[[#This Row],[INVOICE ID]],'SuperMarket Analysis'!A:A,'SuperMarket Analysis'!B:B)</f>
        <v>Cairo</v>
      </c>
      <c r="H132" s="6" t="str">
        <f>_xlfn.XLOOKUP(Input_Table[[#This Row],[INVOICE ID]],'SuperMarket Analysis'!A:A,'SuperMarket Analysis'!F:F)</f>
        <v>Fashion accessories</v>
      </c>
      <c r="I132" s="12">
        <f>_xlfn.XLOOKUP(Input_Table[[#This Row],[INVOICE ID]],'SuperMarket Analysis'!A:A,'SuperMarket Analysis'!G:G)</f>
        <v>39.619999999999997</v>
      </c>
      <c r="J132" s="12">
        <f>_xlfn.XLOOKUP(Input_Table[[#This Row],[INVOICE ID]],'SuperMarket Analysis'!A:A,'SuperMarket Analysis'!N:N)</f>
        <v>277.33999999999997</v>
      </c>
      <c r="K132" s="12">
        <f>_xlfn.XLOOKUP(Input_Table[[#This Row],[INVOICE ID]],'SuperMarket Analysis'!A:A,'SuperMarket Analysis'!J:J)</f>
        <v>291.20699999999999</v>
      </c>
      <c r="L132" s="6">
        <f>DAY(Input_Table[[#This Row],[DATE]])</f>
        <v>28</v>
      </c>
      <c r="M132" s="6" t="str">
        <f>TEXT(Input_Table[[#This Row],[DATE]],"mmmm")</f>
        <v>January</v>
      </c>
      <c r="N132" s="6">
        <f>YEAR(Input_Table[[#This Row],[DATE]])</f>
        <v>2019</v>
      </c>
    </row>
    <row r="133" spans="1:14" x14ac:dyDescent="0.3">
      <c r="A133" s="2">
        <f>_xlfn.XLOOKUP(B133,SuperMarket_Analysis[Invoice ID],SuperMarket_Analysis[Date])</f>
        <v>43524</v>
      </c>
      <c r="B133" s="6" t="s">
        <v>163</v>
      </c>
      <c r="C133" s="7">
        <f>_xlfn.XLOOKUP(B133,SuperMarket_Analysis[Invoice ID],SuperMarket_Analysis[Quantity])</f>
        <v>6</v>
      </c>
      <c r="D133" s="6" t="str">
        <f>_xlfn.XLOOKUP('Input data'!B133,'SuperMarket Analysis'!A:A,'SuperMarket Analysis'!F:F)</f>
        <v>Sports and travel</v>
      </c>
      <c r="E133" s="6" t="str">
        <f>_xlfn.XLOOKUP(B133,'SuperMarket Analysis'!A:A,'SuperMarket Analysis'!M:M)</f>
        <v>Cash</v>
      </c>
      <c r="F133" s="6">
        <f>0.05*Input_Table[[#This Row],[TOTAL C.O.G.S]]</f>
        <v>27.638999999999999</v>
      </c>
      <c r="G133" s="6" t="str">
        <f>_xlfn.XLOOKUP(Input_Table[[#This Row],[INVOICE ID]],'SuperMarket Analysis'!A:A,'SuperMarket Analysis'!B:B)</f>
        <v>Alex</v>
      </c>
      <c r="H133" s="6" t="str">
        <f>_xlfn.XLOOKUP(Input_Table[[#This Row],[INVOICE ID]],'SuperMarket Analysis'!A:A,'SuperMarket Analysis'!F:F)</f>
        <v>Sports and travel</v>
      </c>
      <c r="I133" s="12">
        <f>_xlfn.XLOOKUP(Input_Table[[#This Row],[INVOICE ID]],'SuperMarket Analysis'!A:A,'SuperMarket Analysis'!G:G)</f>
        <v>92.13</v>
      </c>
      <c r="J133" s="12">
        <f>_xlfn.XLOOKUP(Input_Table[[#This Row],[INVOICE ID]],'SuperMarket Analysis'!A:A,'SuperMarket Analysis'!N:N)</f>
        <v>552.78</v>
      </c>
      <c r="K133" s="12">
        <f>_xlfn.XLOOKUP(Input_Table[[#This Row],[INVOICE ID]],'SuperMarket Analysis'!A:A,'SuperMarket Analysis'!J:J)</f>
        <v>580.41899999999998</v>
      </c>
      <c r="L133" s="6">
        <f>DAY(Input_Table[[#This Row],[DATE]])</f>
        <v>28</v>
      </c>
      <c r="M133" s="6" t="str">
        <f>TEXT(Input_Table[[#This Row],[DATE]],"mmmm")</f>
        <v>February</v>
      </c>
      <c r="N133" s="6">
        <f>YEAR(Input_Table[[#This Row],[DATE]])</f>
        <v>2019</v>
      </c>
    </row>
    <row r="134" spans="1:14" x14ac:dyDescent="0.3">
      <c r="A134" s="2">
        <f>_xlfn.XLOOKUP(B134,SuperMarket_Analysis[Invoice ID],SuperMarket_Analysis[Date])</f>
        <v>43488</v>
      </c>
      <c r="B134" s="6" t="s">
        <v>164</v>
      </c>
      <c r="C134" s="7">
        <f>_xlfn.XLOOKUP(B134,SuperMarket_Analysis[Invoice ID],SuperMarket_Analysis[Quantity])</f>
        <v>4</v>
      </c>
      <c r="D134" s="6" t="str">
        <f>_xlfn.XLOOKUP('Input data'!B134,'SuperMarket Analysis'!A:A,'SuperMarket Analysis'!F:F)</f>
        <v>Sports and travel</v>
      </c>
      <c r="E134" s="6" t="str">
        <f>_xlfn.XLOOKUP(B134,'SuperMarket Analysis'!A:A,'SuperMarket Analysis'!M:M)</f>
        <v>Cash</v>
      </c>
      <c r="F134" s="6">
        <f>0.05*Input_Table[[#This Row],[TOTAL C.O.G.S]]</f>
        <v>6.9680000000000009</v>
      </c>
      <c r="G134" s="6" t="str">
        <f>_xlfn.XLOOKUP(Input_Table[[#This Row],[INVOICE ID]],'SuperMarket Analysis'!A:A,'SuperMarket Analysis'!B:B)</f>
        <v>Cairo</v>
      </c>
      <c r="H134" s="6" t="str">
        <f>_xlfn.XLOOKUP(Input_Table[[#This Row],[INVOICE ID]],'SuperMarket Analysis'!A:A,'SuperMarket Analysis'!F:F)</f>
        <v>Sports and travel</v>
      </c>
      <c r="I134" s="12">
        <f>_xlfn.XLOOKUP(Input_Table[[#This Row],[INVOICE ID]],'SuperMarket Analysis'!A:A,'SuperMarket Analysis'!G:G)</f>
        <v>34.840000000000003</v>
      </c>
      <c r="J134" s="12">
        <f>_xlfn.XLOOKUP(Input_Table[[#This Row],[INVOICE ID]],'SuperMarket Analysis'!A:A,'SuperMarket Analysis'!N:N)</f>
        <v>139.36000000000001</v>
      </c>
      <c r="K134" s="12">
        <f>_xlfn.XLOOKUP(Input_Table[[#This Row],[INVOICE ID]],'SuperMarket Analysis'!A:A,'SuperMarket Analysis'!J:J)</f>
        <v>146.328</v>
      </c>
      <c r="L134" s="6">
        <f>DAY(Input_Table[[#This Row],[DATE]])</f>
        <v>23</v>
      </c>
      <c r="M134" s="6" t="str">
        <f>TEXT(Input_Table[[#This Row],[DATE]],"mmmm")</f>
        <v>January</v>
      </c>
      <c r="N134" s="6">
        <f>YEAR(Input_Table[[#This Row],[DATE]])</f>
        <v>2019</v>
      </c>
    </row>
    <row r="135" spans="1:14" x14ac:dyDescent="0.3">
      <c r="A135" s="2">
        <f>_xlfn.XLOOKUP(B135,SuperMarket_Analysis[Invoice ID],SuperMarket_Analysis[Date])</f>
        <v>43479</v>
      </c>
      <c r="B135" s="6" t="s">
        <v>165</v>
      </c>
      <c r="C135" s="7">
        <f>_xlfn.XLOOKUP(B135,SuperMarket_Analysis[Invoice ID],SuperMarket_Analysis[Quantity])</f>
        <v>6</v>
      </c>
      <c r="D135" s="6" t="str">
        <f>_xlfn.XLOOKUP('Input data'!B135,'SuperMarket Analysis'!A:A,'SuperMarket Analysis'!F:F)</f>
        <v>Electronic accessories</v>
      </c>
      <c r="E135" s="6" t="str">
        <f>_xlfn.XLOOKUP(B135,'SuperMarket Analysis'!A:A,'SuperMarket Analysis'!M:M)</f>
        <v>Credit card</v>
      </c>
      <c r="F135" s="6">
        <f>0.05*Input_Table[[#This Row],[TOTAL C.O.G.S]]</f>
        <v>26.235000000000003</v>
      </c>
      <c r="G135" s="6" t="str">
        <f>_xlfn.XLOOKUP(Input_Table[[#This Row],[INVOICE ID]],'SuperMarket Analysis'!A:A,'SuperMarket Analysis'!B:B)</f>
        <v>Cairo</v>
      </c>
      <c r="H135" s="6" t="str">
        <f>_xlfn.XLOOKUP(Input_Table[[#This Row],[INVOICE ID]],'SuperMarket Analysis'!A:A,'SuperMarket Analysis'!F:F)</f>
        <v>Electronic accessories</v>
      </c>
      <c r="I135" s="12">
        <f>_xlfn.XLOOKUP(Input_Table[[#This Row],[INVOICE ID]],'SuperMarket Analysis'!A:A,'SuperMarket Analysis'!G:G)</f>
        <v>87.45</v>
      </c>
      <c r="J135" s="12">
        <f>_xlfn.XLOOKUP(Input_Table[[#This Row],[INVOICE ID]],'SuperMarket Analysis'!A:A,'SuperMarket Analysis'!N:N)</f>
        <v>524.70000000000005</v>
      </c>
      <c r="K135" s="12">
        <f>_xlfn.XLOOKUP(Input_Table[[#This Row],[INVOICE ID]],'SuperMarket Analysis'!A:A,'SuperMarket Analysis'!J:J)</f>
        <v>550.93499999999995</v>
      </c>
      <c r="L135" s="6">
        <f>DAY(Input_Table[[#This Row],[DATE]])</f>
        <v>14</v>
      </c>
      <c r="M135" s="6" t="str">
        <f>TEXT(Input_Table[[#This Row],[DATE]],"mmmm")</f>
        <v>January</v>
      </c>
      <c r="N135" s="6">
        <f>YEAR(Input_Table[[#This Row],[DATE]])</f>
        <v>2019</v>
      </c>
    </row>
    <row r="136" spans="1:14" x14ac:dyDescent="0.3">
      <c r="A136" s="2">
        <f>_xlfn.XLOOKUP(B136,SuperMarket_Analysis[Invoice ID],SuperMarket_Analysis[Date])</f>
        <v>43541</v>
      </c>
      <c r="B136" s="6" t="s">
        <v>166</v>
      </c>
      <c r="C136" s="7">
        <f>_xlfn.XLOOKUP(B136,SuperMarket_Analysis[Invoice ID],SuperMarket_Analysis[Quantity])</f>
        <v>6</v>
      </c>
      <c r="D136" s="6" t="str">
        <f>_xlfn.XLOOKUP('Input data'!B136,'SuperMarket Analysis'!A:A,'SuperMarket Analysis'!F:F)</f>
        <v>Health and beauty</v>
      </c>
      <c r="E136" s="6" t="str">
        <f>_xlfn.XLOOKUP(B136,'SuperMarket Analysis'!A:A,'SuperMarket Analysis'!M:M)</f>
        <v>Ewallet</v>
      </c>
      <c r="F136" s="6">
        <f>0.05*Input_Table[[#This Row],[TOTAL C.O.G.S]]</f>
        <v>24.39</v>
      </c>
      <c r="G136" s="6" t="str">
        <f>_xlfn.XLOOKUP(Input_Table[[#This Row],[INVOICE ID]],'SuperMarket Analysis'!A:A,'SuperMarket Analysis'!B:B)</f>
        <v>Giza</v>
      </c>
      <c r="H136" s="6" t="str">
        <f>_xlfn.XLOOKUP(Input_Table[[#This Row],[INVOICE ID]],'SuperMarket Analysis'!A:A,'SuperMarket Analysis'!F:F)</f>
        <v>Health and beauty</v>
      </c>
      <c r="I136" s="12">
        <f>_xlfn.XLOOKUP(Input_Table[[#This Row],[INVOICE ID]],'SuperMarket Analysis'!A:A,'SuperMarket Analysis'!G:G)</f>
        <v>81.3</v>
      </c>
      <c r="J136" s="12">
        <f>_xlfn.XLOOKUP(Input_Table[[#This Row],[INVOICE ID]],'SuperMarket Analysis'!A:A,'SuperMarket Analysis'!N:N)</f>
        <v>487.8</v>
      </c>
      <c r="K136" s="12">
        <f>_xlfn.XLOOKUP(Input_Table[[#This Row],[INVOICE ID]],'SuperMarket Analysis'!A:A,'SuperMarket Analysis'!J:J)</f>
        <v>512.19000000000005</v>
      </c>
      <c r="L136" s="6">
        <f>DAY(Input_Table[[#This Row],[DATE]])</f>
        <v>17</v>
      </c>
      <c r="M136" s="6" t="str">
        <f>TEXT(Input_Table[[#This Row],[DATE]],"mmmm")</f>
        <v>March</v>
      </c>
      <c r="N136" s="6">
        <f>YEAR(Input_Table[[#This Row],[DATE]])</f>
        <v>2019</v>
      </c>
    </row>
    <row r="137" spans="1:14" x14ac:dyDescent="0.3">
      <c r="A137" s="2">
        <f>_xlfn.XLOOKUP(B137,SuperMarket_Analysis[Invoice ID],SuperMarket_Analysis[Date])</f>
        <v>43540</v>
      </c>
      <c r="B137" s="6" t="s">
        <v>167</v>
      </c>
      <c r="C137" s="7">
        <f>_xlfn.XLOOKUP(B137,SuperMarket_Analysis[Invoice ID],SuperMarket_Analysis[Quantity])</f>
        <v>3</v>
      </c>
      <c r="D137" s="6" t="str">
        <f>_xlfn.XLOOKUP('Input data'!B137,'SuperMarket Analysis'!A:A,'SuperMarket Analysis'!F:F)</f>
        <v>Fashion accessories</v>
      </c>
      <c r="E137" s="6" t="str">
        <f>_xlfn.XLOOKUP(B137,'SuperMarket Analysis'!A:A,'SuperMarket Analysis'!M:M)</f>
        <v>Cash</v>
      </c>
      <c r="F137" s="6">
        <f>0.05*Input_Table[[#This Row],[TOTAL C.O.G.S]]</f>
        <v>13.533000000000001</v>
      </c>
      <c r="G137" s="6" t="str">
        <f>_xlfn.XLOOKUP(Input_Table[[#This Row],[INVOICE ID]],'SuperMarket Analysis'!A:A,'SuperMarket Analysis'!B:B)</f>
        <v>Giza</v>
      </c>
      <c r="H137" s="6" t="str">
        <f>_xlfn.XLOOKUP(Input_Table[[#This Row],[INVOICE ID]],'SuperMarket Analysis'!A:A,'SuperMarket Analysis'!F:F)</f>
        <v>Fashion accessories</v>
      </c>
      <c r="I137" s="12">
        <f>_xlfn.XLOOKUP(Input_Table[[#This Row],[INVOICE ID]],'SuperMarket Analysis'!A:A,'SuperMarket Analysis'!G:G)</f>
        <v>90.22</v>
      </c>
      <c r="J137" s="12">
        <f>_xlfn.XLOOKUP(Input_Table[[#This Row],[INVOICE ID]],'SuperMarket Analysis'!A:A,'SuperMarket Analysis'!N:N)</f>
        <v>270.66000000000003</v>
      </c>
      <c r="K137" s="12">
        <f>_xlfn.XLOOKUP(Input_Table[[#This Row],[INVOICE ID]],'SuperMarket Analysis'!A:A,'SuperMarket Analysis'!J:J)</f>
        <v>284.19299999999998</v>
      </c>
      <c r="L137" s="6">
        <f>DAY(Input_Table[[#This Row],[DATE]])</f>
        <v>16</v>
      </c>
      <c r="M137" s="6" t="str">
        <f>TEXT(Input_Table[[#This Row],[DATE]],"mmmm")</f>
        <v>March</v>
      </c>
      <c r="N137" s="6">
        <f>YEAR(Input_Table[[#This Row],[DATE]])</f>
        <v>2019</v>
      </c>
    </row>
    <row r="138" spans="1:14" x14ac:dyDescent="0.3">
      <c r="A138" s="2">
        <f>_xlfn.XLOOKUP(B138,SuperMarket_Analysis[Invoice ID],SuperMarket_Analysis[Date])</f>
        <v>43494</v>
      </c>
      <c r="B138" s="6" t="s">
        <v>168</v>
      </c>
      <c r="C138" s="7">
        <f>_xlfn.XLOOKUP(B138,SuperMarket_Analysis[Invoice ID],SuperMarket_Analysis[Quantity])</f>
        <v>5</v>
      </c>
      <c r="D138" s="6" t="str">
        <f>_xlfn.XLOOKUP('Input data'!B138,'SuperMarket Analysis'!A:A,'SuperMarket Analysis'!F:F)</f>
        <v>Electronic accessories</v>
      </c>
      <c r="E138" s="6" t="str">
        <f>_xlfn.XLOOKUP(B138,'SuperMarket Analysis'!A:A,'SuperMarket Analysis'!M:M)</f>
        <v>Credit card</v>
      </c>
      <c r="F138" s="6">
        <f>0.05*Input_Table[[#This Row],[TOTAL C.O.G.S]]</f>
        <v>6.5775000000000006</v>
      </c>
      <c r="G138" s="6" t="str">
        <f>_xlfn.XLOOKUP(Input_Table[[#This Row],[INVOICE ID]],'SuperMarket Analysis'!A:A,'SuperMarket Analysis'!B:B)</f>
        <v>Alex</v>
      </c>
      <c r="H138" s="6" t="str">
        <f>_xlfn.XLOOKUP(Input_Table[[#This Row],[INVOICE ID]],'SuperMarket Analysis'!A:A,'SuperMarket Analysis'!F:F)</f>
        <v>Electronic accessories</v>
      </c>
      <c r="I138" s="12">
        <f>_xlfn.XLOOKUP(Input_Table[[#This Row],[INVOICE ID]],'SuperMarket Analysis'!A:A,'SuperMarket Analysis'!G:G)</f>
        <v>26.31</v>
      </c>
      <c r="J138" s="12">
        <f>_xlfn.XLOOKUP(Input_Table[[#This Row],[INVOICE ID]],'SuperMarket Analysis'!A:A,'SuperMarket Analysis'!N:N)</f>
        <v>131.55000000000001</v>
      </c>
      <c r="K138" s="12">
        <f>_xlfn.XLOOKUP(Input_Table[[#This Row],[INVOICE ID]],'SuperMarket Analysis'!A:A,'SuperMarket Analysis'!J:J)</f>
        <v>138.1275</v>
      </c>
      <c r="L138" s="6">
        <f>DAY(Input_Table[[#This Row],[DATE]])</f>
        <v>29</v>
      </c>
      <c r="M138" s="6" t="str">
        <f>TEXT(Input_Table[[#This Row],[DATE]],"mmmm")</f>
        <v>January</v>
      </c>
      <c r="N138" s="6">
        <f>YEAR(Input_Table[[#This Row],[DATE]])</f>
        <v>2019</v>
      </c>
    </row>
    <row r="139" spans="1:14" x14ac:dyDescent="0.3">
      <c r="A139" s="2">
        <f>_xlfn.XLOOKUP(B139,SuperMarket_Analysis[Invoice ID],SuperMarket_Analysis[Date])</f>
        <v>43496</v>
      </c>
      <c r="B139" s="6" t="s">
        <v>169</v>
      </c>
      <c r="C139" s="7">
        <f>_xlfn.XLOOKUP(B139,SuperMarket_Analysis[Invoice ID],SuperMarket_Analysis[Quantity])</f>
        <v>6</v>
      </c>
      <c r="D139" s="6" t="str">
        <f>_xlfn.XLOOKUP('Input data'!B139,'SuperMarket Analysis'!A:A,'SuperMarket Analysis'!F:F)</f>
        <v>Home and lifestyle</v>
      </c>
      <c r="E139" s="6" t="str">
        <f>_xlfn.XLOOKUP(B139,'SuperMarket Analysis'!A:A,'SuperMarket Analysis'!M:M)</f>
        <v>Cash</v>
      </c>
      <c r="F139" s="6">
        <f>0.05*Input_Table[[#This Row],[TOTAL C.O.G.S]]</f>
        <v>10.326000000000001</v>
      </c>
      <c r="G139" s="6" t="str">
        <f>_xlfn.XLOOKUP(Input_Table[[#This Row],[INVOICE ID]],'SuperMarket Analysis'!A:A,'SuperMarket Analysis'!B:B)</f>
        <v>Alex</v>
      </c>
      <c r="H139" s="6" t="str">
        <f>_xlfn.XLOOKUP(Input_Table[[#This Row],[INVOICE ID]],'SuperMarket Analysis'!A:A,'SuperMarket Analysis'!F:F)</f>
        <v>Home and lifestyle</v>
      </c>
      <c r="I139" s="12">
        <f>_xlfn.XLOOKUP(Input_Table[[#This Row],[INVOICE ID]],'SuperMarket Analysis'!A:A,'SuperMarket Analysis'!G:G)</f>
        <v>34.42</v>
      </c>
      <c r="J139" s="12">
        <f>_xlfn.XLOOKUP(Input_Table[[#This Row],[INVOICE ID]],'SuperMarket Analysis'!A:A,'SuperMarket Analysis'!N:N)</f>
        <v>206.52</v>
      </c>
      <c r="K139" s="12">
        <f>_xlfn.XLOOKUP(Input_Table[[#This Row],[INVOICE ID]],'SuperMarket Analysis'!A:A,'SuperMarket Analysis'!J:J)</f>
        <v>216.846</v>
      </c>
      <c r="L139" s="6">
        <f>DAY(Input_Table[[#This Row],[DATE]])</f>
        <v>31</v>
      </c>
      <c r="M139" s="6" t="str">
        <f>TEXT(Input_Table[[#This Row],[DATE]],"mmmm")</f>
        <v>January</v>
      </c>
      <c r="N139" s="6">
        <f>YEAR(Input_Table[[#This Row],[DATE]])</f>
        <v>2019</v>
      </c>
    </row>
    <row r="140" spans="1:14" x14ac:dyDescent="0.3">
      <c r="A140" s="2">
        <f>_xlfn.XLOOKUP(B140,SuperMarket_Analysis[Invoice ID],SuperMarket_Analysis[Date])</f>
        <v>43509</v>
      </c>
      <c r="B140" s="6" t="s">
        <v>170</v>
      </c>
      <c r="C140" s="7">
        <f>_xlfn.XLOOKUP(B140,SuperMarket_Analysis[Invoice ID],SuperMarket_Analysis[Quantity])</f>
        <v>10</v>
      </c>
      <c r="D140" s="6" t="str">
        <f>_xlfn.XLOOKUP('Input data'!B140,'SuperMarket Analysis'!A:A,'SuperMarket Analysis'!F:F)</f>
        <v>Sports and travel</v>
      </c>
      <c r="E140" s="6" t="str">
        <f>_xlfn.XLOOKUP(B140,'SuperMarket Analysis'!A:A,'SuperMarket Analysis'!M:M)</f>
        <v>Cash</v>
      </c>
      <c r="F140" s="6">
        <f>0.05*Input_Table[[#This Row],[TOTAL C.O.G.S]]</f>
        <v>25.955000000000002</v>
      </c>
      <c r="G140" s="6" t="str">
        <f>_xlfn.XLOOKUP(Input_Table[[#This Row],[INVOICE ID]],'SuperMarket Analysis'!A:A,'SuperMarket Analysis'!B:B)</f>
        <v>Cairo</v>
      </c>
      <c r="H140" s="6" t="str">
        <f>_xlfn.XLOOKUP(Input_Table[[#This Row],[INVOICE ID]],'SuperMarket Analysis'!A:A,'SuperMarket Analysis'!F:F)</f>
        <v>Sports and travel</v>
      </c>
      <c r="I140" s="12">
        <f>_xlfn.XLOOKUP(Input_Table[[#This Row],[INVOICE ID]],'SuperMarket Analysis'!A:A,'SuperMarket Analysis'!G:G)</f>
        <v>51.91</v>
      </c>
      <c r="J140" s="12">
        <f>_xlfn.XLOOKUP(Input_Table[[#This Row],[INVOICE ID]],'SuperMarket Analysis'!A:A,'SuperMarket Analysis'!N:N)</f>
        <v>519.1</v>
      </c>
      <c r="K140" s="12">
        <f>_xlfn.XLOOKUP(Input_Table[[#This Row],[INVOICE ID]],'SuperMarket Analysis'!A:A,'SuperMarket Analysis'!J:J)</f>
        <v>545.05499999999995</v>
      </c>
      <c r="L140" s="6">
        <f>DAY(Input_Table[[#This Row],[DATE]])</f>
        <v>13</v>
      </c>
      <c r="M140" s="6" t="str">
        <f>TEXT(Input_Table[[#This Row],[DATE]],"mmmm")</f>
        <v>February</v>
      </c>
      <c r="N140" s="6">
        <f>YEAR(Input_Table[[#This Row],[DATE]])</f>
        <v>2019</v>
      </c>
    </row>
    <row r="141" spans="1:14" x14ac:dyDescent="0.3">
      <c r="A141" s="2">
        <f>_xlfn.XLOOKUP(B141,SuperMarket_Analysis[Invoice ID],SuperMarket_Analysis[Date])</f>
        <v>43543</v>
      </c>
      <c r="B141" s="6" t="s">
        <v>171</v>
      </c>
      <c r="C141" s="7">
        <f>_xlfn.XLOOKUP(B141,SuperMarket_Analysis[Invoice ID],SuperMarket_Analysis[Quantity])</f>
        <v>8</v>
      </c>
      <c r="D141" s="6" t="str">
        <f>_xlfn.XLOOKUP('Input data'!B141,'SuperMarket Analysis'!A:A,'SuperMarket Analysis'!F:F)</f>
        <v>Sports and travel</v>
      </c>
      <c r="E141" s="6" t="str">
        <f>_xlfn.XLOOKUP(B141,'SuperMarket Analysis'!A:A,'SuperMarket Analysis'!M:M)</f>
        <v>Ewallet</v>
      </c>
      <c r="F141" s="6">
        <f>0.05*Input_Table[[#This Row],[TOTAL C.O.G.S]]</f>
        <v>29</v>
      </c>
      <c r="G141" s="6" t="str">
        <f>_xlfn.XLOOKUP(Input_Table[[#This Row],[INVOICE ID]],'SuperMarket Analysis'!A:A,'SuperMarket Analysis'!B:B)</f>
        <v>Alex</v>
      </c>
      <c r="H141" s="6" t="str">
        <f>_xlfn.XLOOKUP(Input_Table[[#This Row],[INVOICE ID]],'SuperMarket Analysis'!A:A,'SuperMarket Analysis'!F:F)</f>
        <v>Sports and travel</v>
      </c>
      <c r="I141" s="12">
        <f>_xlfn.XLOOKUP(Input_Table[[#This Row],[INVOICE ID]],'SuperMarket Analysis'!A:A,'SuperMarket Analysis'!G:G)</f>
        <v>72.5</v>
      </c>
      <c r="J141" s="12">
        <f>_xlfn.XLOOKUP(Input_Table[[#This Row],[INVOICE ID]],'SuperMarket Analysis'!A:A,'SuperMarket Analysis'!N:N)</f>
        <v>580</v>
      </c>
      <c r="K141" s="12">
        <f>_xlfn.XLOOKUP(Input_Table[[#This Row],[INVOICE ID]],'SuperMarket Analysis'!A:A,'SuperMarket Analysis'!J:J)</f>
        <v>609</v>
      </c>
      <c r="L141" s="6">
        <f>DAY(Input_Table[[#This Row],[DATE]])</f>
        <v>19</v>
      </c>
      <c r="M141" s="6" t="str">
        <f>TEXT(Input_Table[[#This Row],[DATE]],"mmmm")</f>
        <v>March</v>
      </c>
      <c r="N141" s="6">
        <f>YEAR(Input_Table[[#This Row],[DATE]])</f>
        <v>2019</v>
      </c>
    </row>
    <row r="142" spans="1:14" x14ac:dyDescent="0.3">
      <c r="A142" s="2">
        <f>_xlfn.XLOOKUP(B142,SuperMarket_Analysis[Invoice ID],SuperMarket_Analysis[Date])</f>
        <v>43537</v>
      </c>
      <c r="B142" s="6" t="s">
        <v>172</v>
      </c>
      <c r="C142" s="7">
        <f>_xlfn.XLOOKUP(B142,SuperMarket_Analysis[Invoice ID],SuperMarket_Analysis[Quantity])</f>
        <v>10</v>
      </c>
      <c r="D142" s="6" t="str">
        <f>_xlfn.XLOOKUP('Input data'!B142,'SuperMarket Analysis'!A:A,'SuperMarket Analysis'!F:F)</f>
        <v>Sports and travel</v>
      </c>
      <c r="E142" s="6" t="str">
        <f>_xlfn.XLOOKUP(B142,'SuperMarket Analysis'!A:A,'SuperMarket Analysis'!M:M)</f>
        <v>Credit card</v>
      </c>
      <c r="F142" s="6">
        <f>0.05*Input_Table[[#This Row],[TOTAL C.O.G.S]]</f>
        <v>44.900000000000006</v>
      </c>
      <c r="G142" s="6" t="str">
        <f>_xlfn.XLOOKUP(Input_Table[[#This Row],[INVOICE ID]],'SuperMarket Analysis'!A:A,'SuperMarket Analysis'!B:B)</f>
        <v>Giza</v>
      </c>
      <c r="H142" s="6" t="str">
        <f>_xlfn.XLOOKUP(Input_Table[[#This Row],[INVOICE ID]],'SuperMarket Analysis'!A:A,'SuperMarket Analysis'!F:F)</f>
        <v>Sports and travel</v>
      </c>
      <c r="I142" s="12">
        <f>_xlfn.XLOOKUP(Input_Table[[#This Row],[INVOICE ID]],'SuperMarket Analysis'!A:A,'SuperMarket Analysis'!G:G)</f>
        <v>89.8</v>
      </c>
      <c r="J142" s="12">
        <f>_xlfn.XLOOKUP(Input_Table[[#This Row],[INVOICE ID]],'SuperMarket Analysis'!A:A,'SuperMarket Analysis'!N:N)</f>
        <v>898</v>
      </c>
      <c r="K142" s="12">
        <f>_xlfn.XLOOKUP(Input_Table[[#This Row],[INVOICE ID]],'SuperMarket Analysis'!A:A,'SuperMarket Analysis'!J:J)</f>
        <v>942.9</v>
      </c>
      <c r="L142" s="6">
        <f>DAY(Input_Table[[#This Row],[DATE]])</f>
        <v>13</v>
      </c>
      <c r="M142" s="6" t="str">
        <f>TEXT(Input_Table[[#This Row],[DATE]],"mmmm")</f>
        <v>March</v>
      </c>
      <c r="N142" s="6">
        <f>YEAR(Input_Table[[#This Row],[DATE]])</f>
        <v>2019</v>
      </c>
    </row>
    <row r="143" spans="1:14" x14ac:dyDescent="0.3">
      <c r="A143" s="2">
        <f>_xlfn.XLOOKUP(B143,SuperMarket_Analysis[Invoice ID],SuperMarket_Analysis[Date])</f>
        <v>43522</v>
      </c>
      <c r="B143" s="6" t="s">
        <v>173</v>
      </c>
      <c r="C143" s="7">
        <f>_xlfn.XLOOKUP(B143,SuperMarket_Analysis[Invoice ID],SuperMarket_Analysis[Quantity])</f>
        <v>10</v>
      </c>
      <c r="D143" s="6" t="str">
        <f>_xlfn.XLOOKUP('Input data'!B143,'SuperMarket Analysis'!A:A,'SuperMarket Analysis'!F:F)</f>
        <v>Health and beauty</v>
      </c>
      <c r="E143" s="6" t="str">
        <f>_xlfn.XLOOKUP(B143,'SuperMarket Analysis'!A:A,'SuperMarket Analysis'!M:M)</f>
        <v>Cash</v>
      </c>
      <c r="F143" s="6">
        <f>0.05*Input_Table[[#This Row],[TOTAL C.O.G.S]]</f>
        <v>45.25</v>
      </c>
      <c r="G143" s="6" t="str">
        <f>_xlfn.XLOOKUP(Input_Table[[#This Row],[INVOICE ID]],'SuperMarket Analysis'!A:A,'SuperMarket Analysis'!B:B)</f>
        <v>Giza</v>
      </c>
      <c r="H143" s="6" t="str">
        <f>_xlfn.XLOOKUP(Input_Table[[#This Row],[INVOICE ID]],'SuperMarket Analysis'!A:A,'SuperMarket Analysis'!F:F)</f>
        <v>Health and beauty</v>
      </c>
      <c r="I143" s="12">
        <f>_xlfn.XLOOKUP(Input_Table[[#This Row],[INVOICE ID]],'SuperMarket Analysis'!A:A,'SuperMarket Analysis'!G:G)</f>
        <v>90.5</v>
      </c>
      <c r="J143" s="12">
        <f>_xlfn.XLOOKUP(Input_Table[[#This Row],[INVOICE ID]],'SuperMarket Analysis'!A:A,'SuperMarket Analysis'!N:N)</f>
        <v>905</v>
      </c>
      <c r="K143" s="12">
        <f>_xlfn.XLOOKUP(Input_Table[[#This Row],[INVOICE ID]],'SuperMarket Analysis'!A:A,'SuperMarket Analysis'!J:J)</f>
        <v>950.25</v>
      </c>
      <c r="L143" s="6">
        <f>DAY(Input_Table[[#This Row],[DATE]])</f>
        <v>26</v>
      </c>
      <c r="M143" s="6" t="str">
        <f>TEXT(Input_Table[[#This Row],[DATE]],"mmmm")</f>
        <v>February</v>
      </c>
      <c r="N143" s="6">
        <f>YEAR(Input_Table[[#This Row],[DATE]])</f>
        <v>2019</v>
      </c>
    </row>
    <row r="144" spans="1:14" x14ac:dyDescent="0.3">
      <c r="A144" s="2">
        <f>_xlfn.XLOOKUP(B144,SuperMarket_Analysis[Invoice ID],SuperMarket_Analysis[Date])</f>
        <v>43538</v>
      </c>
      <c r="B144" s="6" t="s">
        <v>175</v>
      </c>
      <c r="C144" s="7">
        <f>_xlfn.XLOOKUP(B144,SuperMarket_Analysis[Invoice ID],SuperMarket_Analysis[Quantity])</f>
        <v>10</v>
      </c>
      <c r="D144" s="6" t="str">
        <f>_xlfn.XLOOKUP('Input data'!B144,'SuperMarket Analysis'!A:A,'SuperMarket Analysis'!F:F)</f>
        <v>Health and beauty</v>
      </c>
      <c r="E144" s="6" t="str">
        <f>_xlfn.XLOOKUP(B144,'SuperMarket Analysis'!A:A,'SuperMarket Analysis'!M:M)</f>
        <v>Cash</v>
      </c>
      <c r="F144" s="6">
        <f>0.05*Input_Table[[#This Row],[TOTAL C.O.G.S]]</f>
        <v>34.300000000000004</v>
      </c>
      <c r="G144" s="6" t="str">
        <f>_xlfn.XLOOKUP(Input_Table[[#This Row],[INVOICE ID]],'SuperMarket Analysis'!A:A,'SuperMarket Analysis'!B:B)</f>
        <v>Giza</v>
      </c>
      <c r="H144" s="6" t="str">
        <f>_xlfn.XLOOKUP(Input_Table[[#This Row],[INVOICE ID]],'SuperMarket Analysis'!A:A,'SuperMarket Analysis'!F:F)</f>
        <v>Health and beauty</v>
      </c>
      <c r="I144" s="12">
        <f>_xlfn.XLOOKUP(Input_Table[[#This Row],[INVOICE ID]],'SuperMarket Analysis'!A:A,'SuperMarket Analysis'!G:G)</f>
        <v>68.599999999999994</v>
      </c>
      <c r="J144" s="12">
        <f>_xlfn.XLOOKUP(Input_Table[[#This Row],[INVOICE ID]],'SuperMarket Analysis'!A:A,'SuperMarket Analysis'!N:N)</f>
        <v>686</v>
      </c>
      <c r="K144" s="12">
        <f>_xlfn.XLOOKUP(Input_Table[[#This Row],[INVOICE ID]],'SuperMarket Analysis'!A:A,'SuperMarket Analysis'!J:J)</f>
        <v>720.3</v>
      </c>
      <c r="L144" s="6">
        <f>DAY(Input_Table[[#This Row],[DATE]])</f>
        <v>14</v>
      </c>
      <c r="M144" s="6" t="str">
        <f>TEXT(Input_Table[[#This Row],[DATE]],"mmmm")</f>
        <v>March</v>
      </c>
      <c r="N144" s="6">
        <f>YEAR(Input_Table[[#This Row],[DATE]])</f>
        <v>2019</v>
      </c>
    </row>
    <row r="145" spans="1:14" x14ac:dyDescent="0.3">
      <c r="A145" s="2">
        <f>_xlfn.XLOOKUP(B145,SuperMarket_Analysis[Invoice ID],SuperMarket_Analysis[Date])</f>
        <v>43492</v>
      </c>
      <c r="B145" s="6" t="s">
        <v>176</v>
      </c>
      <c r="C145" s="7">
        <f>_xlfn.XLOOKUP(B145,SuperMarket_Analysis[Invoice ID],SuperMarket_Analysis[Quantity])</f>
        <v>1</v>
      </c>
      <c r="D145" s="6" t="str">
        <f>_xlfn.XLOOKUP('Input data'!B145,'SuperMarket Analysis'!A:A,'SuperMarket Analysis'!F:F)</f>
        <v>Food and beverages</v>
      </c>
      <c r="E145" s="6" t="str">
        <f>_xlfn.XLOOKUP(B145,'SuperMarket Analysis'!A:A,'SuperMarket Analysis'!M:M)</f>
        <v>Credit card</v>
      </c>
      <c r="F145" s="6">
        <f>0.05*Input_Table[[#This Row],[TOTAL C.O.G.S]]</f>
        <v>1.5205000000000002</v>
      </c>
      <c r="G145" s="6" t="str">
        <f>_xlfn.XLOOKUP(Input_Table[[#This Row],[INVOICE ID]],'SuperMarket Analysis'!A:A,'SuperMarket Analysis'!B:B)</f>
        <v>Giza</v>
      </c>
      <c r="H145" s="6" t="str">
        <f>_xlfn.XLOOKUP(Input_Table[[#This Row],[INVOICE ID]],'SuperMarket Analysis'!A:A,'SuperMarket Analysis'!F:F)</f>
        <v>Food and beverages</v>
      </c>
      <c r="I145" s="12">
        <f>_xlfn.XLOOKUP(Input_Table[[#This Row],[INVOICE ID]],'SuperMarket Analysis'!A:A,'SuperMarket Analysis'!G:G)</f>
        <v>30.41</v>
      </c>
      <c r="J145" s="12">
        <f>_xlfn.XLOOKUP(Input_Table[[#This Row],[INVOICE ID]],'SuperMarket Analysis'!A:A,'SuperMarket Analysis'!N:N)</f>
        <v>30.41</v>
      </c>
      <c r="K145" s="12">
        <f>_xlfn.XLOOKUP(Input_Table[[#This Row],[INVOICE ID]],'SuperMarket Analysis'!A:A,'SuperMarket Analysis'!J:J)</f>
        <v>31.930499999999999</v>
      </c>
      <c r="L145" s="6">
        <f>DAY(Input_Table[[#This Row],[DATE]])</f>
        <v>27</v>
      </c>
      <c r="M145" s="6" t="str">
        <f>TEXT(Input_Table[[#This Row],[DATE]],"mmmm")</f>
        <v>January</v>
      </c>
      <c r="N145" s="6">
        <f>YEAR(Input_Table[[#This Row],[DATE]])</f>
        <v>2019</v>
      </c>
    </row>
    <row r="146" spans="1:14" x14ac:dyDescent="0.3">
      <c r="A146" s="2">
        <f>_xlfn.XLOOKUP(B146,SuperMarket_Analysis[Invoice ID],SuperMarket_Analysis[Date])</f>
        <v>43522</v>
      </c>
      <c r="B146" s="6" t="s">
        <v>177</v>
      </c>
      <c r="C146" s="7">
        <f>_xlfn.XLOOKUP(B146,SuperMarket_Analysis[Invoice ID],SuperMarket_Analysis[Quantity])</f>
        <v>6</v>
      </c>
      <c r="D146" s="6" t="str">
        <f>_xlfn.XLOOKUP('Input data'!B146,'SuperMarket Analysis'!A:A,'SuperMarket Analysis'!F:F)</f>
        <v>Home and lifestyle</v>
      </c>
      <c r="E146" s="6" t="str">
        <f>_xlfn.XLOOKUP(B146,'SuperMarket Analysis'!A:A,'SuperMarket Analysis'!M:M)</f>
        <v>Ewallet</v>
      </c>
      <c r="F146" s="6">
        <f>0.05*Input_Table[[#This Row],[TOTAL C.O.G.S]]</f>
        <v>23.385000000000002</v>
      </c>
      <c r="G146" s="6" t="str">
        <f>_xlfn.XLOOKUP(Input_Table[[#This Row],[INVOICE ID]],'SuperMarket Analysis'!A:A,'SuperMarket Analysis'!B:B)</f>
        <v>Alex</v>
      </c>
      <c r="H146" s="6" t="str">
        <f>_xlfn.XLOOKUP(Input_Table[[#This Row],[INVOICE ID]],'SuperMarket Analysis'!A:A,'SuperMarket Analysis'!F:F)</f>
        <v>Home and lifestyle</v>
      </c>
      <c r="I146" s="12">
        <f>_xlfn.XLOOKUP(Input_Table[[#This Row],[INVOICE ID]],'SuperMarket Analysis'!A:A,'SuperMarket Analysis'!G:G)</f>
        <v>77.95</v>
      </c>
      <c r="J146" s="12">
        <f>_xlfn.XLOOKUP(Input_Table[[#This Row],[INVOICE ID]],'SuperMarket Analysis'!A:A,'SuperMarket Analysis'!N:N)</f>
        <v>467.7</v>
      </c>
      <c r="K146" s="12">
        <f>_xlfn.XLOOKUP(Input_Table[[#This Row],[INVOICE ID]],'SuperMarket Analysis'!A:A,'SuperMarket Analysis'!J:J)</f>
        <v>491.08499999999998</v>
      </c>
      <c r="L146" s="6">
        <f>DAY(Input_Table[[#This Row],[DATE]])</f>
        <v>26</v>
      </c>
      <c r="M146" s="6" t="str">
        <f>TEXT(Input_Table[[#This Row],[DATE]],"mmmm")</f>
        <v>February</v>
      </c>
      <c r="N146" s="6">
        <f>YEAR(Input_Table[[#This Row],[DATE]])</f>
        <v>2019</v>
      </c>
    </row>
    <row r="147" spans="1:14" x14ac:dyDescent="0.3">
      <c r="A147" s="2">
        <f>_xlfn.XLOOKUP(B147,SuperMarket_Analysis[Invoice ID],SuperMarket_Analysis[Date])</f>
        <v>43544</v>
      </c>
      <c r="B147" s="6" t="s">
        <v>178</v>
      </c>
      <c r="C147" s="7">
        <f>_xlfn.XLOOKUP(B147,SuperMarket_Analysis[Invoice ID],SuperMarket_Analysis[Quantity])</f>
        <v>6</v>
      </c>
      <c r="D147" s="6" t="str">
        <f>_xlfn.XLOOKUP('Input data'!B147,'SuperMarket Analysis'!A:A,'SuperMarket Analysis'!F:F)</f>
        <v>Health and beauty</v>
      </c>
      <c r="E147" s="6" t="str">
        <f>_xlfn.XLOOKUP(B147,'SuperMarket Analysis'!A:A,'SuperMarket Analysis'!M:M)</f>
        <v>Credit card</v>
      </c>
      <c r="F147" s="6">
        <f>0.05*Input_Table[[#This Row],[TOTAL C.O.G.S]]</f>
        <v>13.878</v>
      </c>
      <c r="G147" s="6" t="str">
        <f>_xlfn.XLOOKUP(Input_Table[[#This Row],[INVOICE ID]],'SuperMarket Analysis'!A:A,'SuperMarket Analysis'!B:B)</f>
        <v>Giza</v>
      </c>
      <c r="H147" s="6" t="str">
        <f>_xlfn.XLOOKUP(Input_Table[[#This Row],[INVOICE ID]],'SuperMarket Analysis'!A:A,'SuperMarket Analysis'!F:F)</f>
        <v>Health and beauty</v>
      </c>
      <c r="I147" s="12">
        <f>_xlfn.XLOOKUP(Input_Table[[#This Row],[INVOICE ID]],'SuperMarket Analysis'!A:A,'SuperMarket Analysis'!G:G)</f>
        <v>46.26</v>
      </c>
      <c r="J147" s="12">
        <f>_xlfn.XLOOKUP(Input_Table[[#This Row],[INVOICE ID]],'SuperMarket Analysis'!A:A,'SuperMarket Analysis'!N:N)</f>
        <v>277.56</v>
      </c>
      <c r="K147" s="12">
        <f>_xlfn.XLOOKUP(Input_Table[[#This Row],[INVOICE ID]],'SuperMarket Analysis'!A:A,'SuperMarket Analysis'!J:J)</f>
        <v>291.43799999999999</v>
      </c>
      <c r="L147" s="6">
        <f>DAY(Input_Table[[#This Row],[DATE]])</f>
        <v>20</v>
      </c>
      <c r="M147" s="6" t="str">
        <f>TEXT(Input_Table[[#This Row],[DATE]],"mmmm")</f>
        <v>March</v>
      </c>
      <c r="N147" s="6">
        <f>YEAR(Input_Table[[#This Row],[DATE]])</f>
        <v>2019</v>
      </c>
    </row>
    <row r="148" spans="1:14" x14ac:dyDescent="0.3">
      <c r="A148" s="2">
        <f>_xlfn.XLOOKUP(B148,SuperMarket_Analysis[Invoice ID],SuperMarket_Analysis[Date])</f>
        <v>43544</v>
      </c>
      <c r="B148" s="6" t="s">
        <v>179</v>
      </c>
      <c r="C148" s="7">
        <f>_xlfn.XLOOKUP(B148,SuperMarket_Analysis[Invoice ID],SuperMarket_Analysis[Quantity])</f>
        <v>10</v>
      </c>
      <c r="D148" s="6" t="str">
        <f>_xlfn.XLOOKUP('Input data'!B148,'SuperMarket Analysis'!A:A,'SuperMarket Analysis'!F:F)</f>
        <v>Fashion accessories</v>
      </c>
      <c r="E148" s="6" t="str">
        <f>_xlfn.XLOOKUP(B148,'SuperMarket Analysis'!A:A,'SuperMarket Analysis'!M:M)</f>
        <v>Ewallet</v>
      </c>
      <c r="F148" s="6">
        <f>0.05*Input_Table[[#This Row],[TOTAL C.O.G.S]]</f>
        <v>15.07</v>
      </c>
      <c r="G148" s="6" t="str">
        <f>_xlfn.XLOOKUP(Input_Table[[#This Row],[INVOICE ID]],'SuperMarket Analysis'!A:A,'SuperMarket Analysis'!B:B)</f>
        <v>Alex</v>
      </c>
      <c r="H148" s="6" t="str">
        <f>_xlfn.XLOOKUP(Input_Table[[#This Row],[INVOICE ID]],'SuperMarket Analysis'!A:A,'SuperMarket Analysis'!F:F)</f>
        <v>Fashion accessories</v>
      </c>
      <c r="I148" s="12">
        <f>_xlfn.XLOOKUP(Input_Table[[#This Row],[INVOICE ID]],'SuperMarket Analysis'!A:A,'SuperMarket Analysis'!G:G)</f>
        <v>30.14</v>
      </c>
      <c r="J148" s="12">
        <f>_xlfn.XLOOKUP(Input_Table[[#This Row],[INVOICE ID]],'SuperMarket Analysis'!A:A,'SuperMarket Analysis'!N:N)</f>
        <v>301.39999999999998</v>
      </c>
      <c r="K148" s="12">
        <f>_xlfn.XLOOKUP(Input_Table[[#This Row],[INVOICE ID]],'SuperMarket Analysis'!A:A,'SuperMarket Analysis'!J:J)</f>
        <v>316.47000000000003</v>
      </c>
      <c r="L148" s="6">
        <f>DAY(Input_Table[[#This Row],[DATE]])</f>
        <v>20</v>
      </c>
      <c r="M148" s="6" t="str">
        <f>TEXT(Input_Table[[#This Row],[DATE]],"mmmm")</f>
        <v>March</v>
      </c>
      <c r="N148" s="6">
        <f>YEAR(Input_Table[[#This Row],[DATE]])</f>
        <v>2019</v>
      </c>
    </row>
    <row r="149" spans="1:14" x14ac:dyDescent="0.3">
      <c r="A149" s="2">
        <f>_xlfn.XLOOKUP(B149,SuperMarket_Analysis[Invoice ID],SuperMarket_Analysis[Date])</f>
        <v>43511</v>
      </c>
      <c r="B149" s="6" t="s">
        <v>180</v>
      </c>
      <c r="C149" s="7">
        <f>_xlfn.XLOOKUP(B149,SuperMarket_Analysis[Invoice ID],SuperMarket_Analysis[Quantity])</f>
        <v>4</v>
      </c>
      <c r="D149" s="6" t="str">
        <f>_xlfn.XLOOKUP('Input data'!B149,'SuperMarket Analysis'!A:A,'SuperMarket Analysis'!F:F)</f>
        <v>Health and beauty</v>
      </c>
      <c r="E149" s="6" t="str">
        <f>_xlfn.XLOOKUP(B149,'SuperMarket Analysis'!A:A,'SuperMarket Analysis'!M:M)</f>
        <v>Credit card</v>
      </c>
      <c r="F149" s="6">
        <f>0.05*Input_Table[[#This Row],[TOTAL C.O.G.S]]</f>
        <v>13.228000000000002</v>
      </c>
      <c r="G149" s="6" t="str">
        <f>_xlfn.XLOOKUP(Input_Table[[#This Row],[INVOICE ID]],'SuperMarket Analysis'!A:A,'SuperMarket Analysis'!B:B)</f>
        <v>Giza</v>
      </c>
      <c r="H149" s="6" t="str">
        <f>_xlfn.XLOOKUP(Input_Table[[#This Row],[INVOICE ID]],'SuperMarket Analysis'!A:A,'SuperMarket Analysis'!F:F)</f>
        <v>Health and beauty</v>
      </c>
      <c r="I149" s="12">
        <f>_xlfn.XLOOKUP(Input_Table[[#This Row],[INVOICE ID]],'SuperMarket Analysis'!A:A,'SuperMarket Analysis'!G:G)</f>
        <v>66.14</v>
      </c>
      <c r="J149" s="12">
        <f>_xlfn.XLOOKUP(Input_Table[[#This Row],[INVOICE ID]],'SuperMarket Analysis'!A:A,'SuperMarket Analysis'!N:N)</f>
        <v>264.56</v>
      </c>
      <c r="K149" s="12">
        <f>_xlfn.XLOOKUP(Input_Table[[#This Row],[INVOICE ID]],'SuperMarket Analysis'!A:A,'SuperMarket Analysis'!J:J)</f>
        <v>277.78800000000001</v>
      </c>
      <c r="L149" s="6">
        <f>DAY(Input_Table[[#This Row],[DATE]])</f>
        <v>15</v>
      </c>
      <c r="M149" s="6" t="str">
        <f>TEXT(Input_Table[[#This Row],[DATE]],"mmmm")</f>
        <v>February</v>
      </c>
      <c r="N149" s="6">
        <f>YEAR(Input_Table[[#This Row],[DATE]])</f>
        <v>2019</v>
      </c>
    </row>
    <row r="150" spans="1:14" x14ac:dyDescent="0.3">
      <c r="A150" s="2">
        <f>_xlfn.XLOOKUP(B150,SuperMarket_Analysis[Invoice ID],SuperMarket_Analysis[Date])</f>
        <v>43516</v>
      </c>
      <c r="B150" s="6" t="s">
        <v>181</v>
      </c>
      <c r="C150" s="7">
        <f>_xlfn.XLOOKUP(B150,SuperMarket_Analysis[Invoice ID],SuperMarket_Analysis[Quantity])</f>
        <v>8</v>
      </c>
      <c r="D150" s="6" t="str">
        <f>_xlfn.XLOOKUP('Input data'!B150,'SuperMarket Analysis'!A:A,'SuperMarket Analysis'!F:F)</f>
        <v>Home and lifestyle</v>
      </c>
      <c r="E150" s="6" t="str">
        <f>_xlfn.XLOOKUP(B150,'SuperMarket Analysis'!A:A,'SuperMarket Analysis'!M:M)</f>
        <v>Credit card</v>
      </c>
      <c r="F150" s="6">
        <f>0.05*Input_Table[[#This Row],[TOTAL C.O.G.S]]</f>
        <v>28.744</v>
      </c>
      <c r="G150" s="6" t="str">
        <f>_xlfn.XLOOKUP(Input_Table[[#This Row],[INVOICE ID]],'SuperMarket Analysis'!A:A,'SuperMarket Analysis'!B:B)</f>
        <v>Cairo</v>
      </c>
      <c r="H150" s="6" t="str">
        <f>_xlfn.XLOOKUP(Input_Table[[#This Row],[INVOICE ID]],'SuperMarket Analysis'!A:A,'SuperMarket Analysis'!F:F)</f>
        <v>Home and lifestyle</v>
      </c>
      <c r="I150" s="12">
        <f>_xlfn.XLOOKUP(Input_Table[[#This Row],[INVOICE ID]],'SuperMarket Analysis'!A:A,'SuperMarket Analysis'!G:G)</f>
        <v>71.86</v>
      </c>
      <c r="J150" s="12">
        <f>_xlfn.XLOOKUP(Input_Table[[#This Row],[INVOICE ID]],'SuperMarket Analysis'!A:A,'SuperMarket Analysis'!N:N)</f>
        <v>574.88</v>
      </c>
      <c r="K150" s="12">
        <f>_xlfn.XLOOKUP(Input_Table[[#This Row],[INVOICE ID]],'SuperMarket Analysis'!A:A,'SuperMarket Analysis'!J:J)</f>
        <v>603.62400000000002</v>
      </c>
      <c r="L150" s="6">
        <f>DAY(Input_Table[[#This Row],[DATE]])</f>
        <v>20</v>
      </c>
      <c r="M150" s="6" t="str">
        <f>TEXT(Input_Table[[#This Row],[DATE]],"mmmm")</f>
        <v>February</v>
      </c>
      <c r="N150" s="6">
        <f>YEAR(Input_Table[[#This Row],[DATE]])</f>
        <v>2019</v>
      </c>
    </row>
    <row r="151" spans="1:14" x14ac:dyDescent="0.3">
      <c r="A151" s="2">
        <f>_xlfn.XLOOKUP(B151,SuperMarket_Analysis[Invoice ID],SuperMarket_Analysis[Date])</f>
        <v>43548</v>
      </c>
      <c r="B151" s="6" t="s">
        <v>182</v>
      </c>
      <c r="C151" s="7">
        <f>_xlfn.XLOOKUP(B151,SuperMarket_Analysis[Invoice ID],SuperMarket_Analysis[Quantity])</f>
        <v>8</v>
      </c>
      <c r="D151" s="6" t="str">
        <f>_xlfn.XLOOKUP('Input data'!B151,'SuperMarket Analysis'!A:A,'SuperMarket Analysis'!F:F)</f>
        <v>Health and beauty</v>
      </c>
      <c r="E151" s="6" t="str">
        <f>_xlfn.XLOOKUP(B151,'SuperMarket Analysis'!A:A,'SuperMarket Analysis'!M:M)</f>
        <v>Credit card</v>
      </c>
      <c r="F151" s="6">
        <f>0.05*Input_Table[[#This Row],[TOTAL C.O.G.S]]</f>
        <v>12.984000000000002</v>
      </c>
      <c r="G151" s="6" t="str">
        <f>_xlfn.XLOOKUP(Input_Table[[#This Row],[INVOICE ID]],'SuperMarket Analysis'!A:A,'SuperMarket Analysis'!B:B)</f>
        <v>Alex</v>
      </c>
      <c r="H151" s="6" t="str">
        <f>_xlfn.XLOOKUP(Input_Table[[#This Row],[INVOICE ID]],'SuperMarket Analysis'!A:A,'SuperMarket Analysis'!F:F)</f>
        <v>Health and beauty</v>
      </c>
      <c r="I151" s="12">
        <f>_xlfn.XLOOKUP(Input_Table[[#This Row],[INVOICE ID]],'SuperMarket Analysis'!A:A,'SuperMarket Analysis'!G:G)</f>
        <v>32.46</v>
      </c>
      <c r="J151" s="12">
        <f>_xlfn.XLOOKUP(Input_Table[[#This Row],[INVOICE ID]],'SuperMarket Analysis'!A:A,'SuperMarket Analysis'!N:N)</f>
        <v>259.68</v>
      </c>
      <c r="K151" s="12">
        <f>_xlfn.XLOOKUP(Input_Table[[#This Row],[INVOICE ID]],'SuperMarket Analysis'!A:A,'SuperMarket Analysis'!J:J)</f>
        <v>272.66399999999999</v>
      </c>
      <c r="L151" s="6">
        <f>DAY(Input_Table[[#This Row],[DATE]])</f>
        <v>24</v>
      </c>
      <c r="M151" s="6" t="str">
        <f>TEXT(Input_Table[[#This Row],[DATE]],"mmmm")</f>
        <v>March</v>
      </c>
      <c r="N151" s="6">
        <f>YEAR(Input_Table[[#This Row],[DATE]])</f>
        <v>2019</v>
      </c>
    </row>
    <row r="152" spans="1:14" x14ac:dyDescent="0.3">
      <c r="A152" s="2">
        <f>_xlfn.XLOOKUP(B152,SuperMarket_Analysis[Invoice ID],SuperMarket_Analysis[Date])</f>
        <v>43496</v>
      </c>
      <c r="B152" s="6" t="s">
        <v>183</v>
      </c>
      <c r="C152" s="7">
        <f>_xlfn.XLOOKUP(B152,SuperMarket_Analysis[Invoice ID],SuperMarket_Analysis[Quantity])</f>
        <v>4</v>
      </c>
      <c r="D152" s="6" t="str">
        <f>_xlfn.XLOOKUP('Input data'!B152,'SuperMarket Analysis'!A:A,'SuperMarket Analysis'!F:F)</f>
        <v>Fashion accessories</v>
      </c>
      <c r="E152" s="6" t="str">
        <f>_xlfn.XLOOKUP(B152,'SuperMarket Analysis'!A:A,'SuperMarket Analysis'!M:M)</f>
        <v>Credit card</v>
      </c>
      <c r="F152" s="6">
        <f>0.05*Input_Table[[#This Row],[TOTAL C.O.G.S]]</f>
        <v>18.308000000000003</v>
      </c>
      <c r="G152" s="6" t="str">
        <f>_xlfn.XLOOKUP(Input_Table[[#This Row],[INVOICE ID]],'SuperMarket Analysis'!A:A,'SuperMarket Analysis'!B:B)</f>
        <v>Cairo</v>
      </c>
      <c r="H152" s="6" t="str">
        <f>_xlfn.XLOOKUP(Input_Table[[#This Row],[INVOICE ID]],'SuperMarket Analysis'!A:A,'SuperMarket Analysis'!F:F)</f>
        <v>Fashion accessories</v>
      </c>
      <c r="I152" s="12">
        <f>_xlfn.XLOOKUP(Input_Table[[#This Row],[INVOICE ID]],'SuperMarket Analysis'!A:A,'SuperMarket Analysis'!G:G)</f>
        <v>91.54</v>
      </c>
      <c r="J152" s="12">
        <f>_xlfn.XLOOKUP(Input_Table[[#This Row],[INVOICE ID]],'SuperMarket Analysis'!A:A,'SuperMarket Analysis'!N:N)</f>
        <v>366.16</v>
      </c>
      <c r="K152" s="12">
        <f>_xlfn.XLOOKUP(Input_Table[[#This Row],[INVOICE ID]],'SuperMarket Analysis'!A:A,'SuperMarket Analysis'!J:J)</f>
        <v>384.46800000000002</v>
      </c>
      <c r="L152" s="6">
        <f>DAY(Input_Table[[#This Row],[DATE]])</f>
        <v>31</v>
      </c>
      <c r="M152" s="6" t="str">
        <f>TEXT(Input_Table[[#This Row],[DATE]],"mmmm")</f>
        <v>January</v>
      </c>
      <c r="N152" s="6">
        <f>YEAR(Input_Table[[#This Row],[DATE]])</f>
        <v>2019</v>
      </c>
    </row>
    <row r="153" spans="1:14" x14ac:dyDescent="0.3">
      <c r="A153" s="2">
        <f>_xlfn.XLOOKUP(B153,SuperMarket_Analysis[Invoice ID],SuperMarket_Analysis[Date])</f>
        <v>43490</v>
      </c>
      <c r="B153" s="6" t="s">
        <v>184</v>
      </c>
      <c r="C153" s="7">
        <f>_xlfn.XLOOKUP(B153,SuperMarket_Analysis[Invoice ID],SuperMarket_Analysis[Quantity])</f>
        <v>7</v>
      </c>
      <c r="D153" s="6" t="str">
        <f>_xlfn.XLOOKUP('Input data'!B153,'SuperMarket Analysis'!A:A,'SuperMarket Analysis'!F:F)</f>
        <v>Sports and travel</v>
      </c>
      <c r="E153" s="6" t="str">
        <f>_xlfn.XLOOKUP(B153,'SuperMarket Analysis'!A:A,'SuperMarket Analysis'!M:M)</f>
        <v>Credit card</v>
      </c>
      <c r="F153" s="6">
        <f>0.05*Input_Table[[#This Row],[TOTAL C.O.G.S]]</f>
        <v>12.096</v>
      </c>
      <c r="G153" s="6" t="str">
        <f>_xlfn.XLOOKUP(Input_Table[[#This Row],[INVOICE ID]],'SuperMarket Analysis'!A:A,'SuperMarket Analysis'!B:B)</f>
        <v>Giza</v>
      </c>
      <c r="H153" s="6" t="str">
        <f>_xlfn.XLOOKUP(Input_Table[[#This Row],[INVOICE ID]],'SuperMarket Analysis'!A:A,'SuperMarket Analysis'!F:F)</f>
        <v>Sports and travel</v>
      </c>
      <c r="I153" s="12">
        <f>_xlfn.XLOOKUP(Input_Table[[#This Row],[INVOICE ID]],'SuperMarket Analysis'!A:A,'SuperMarket Analysis'!G:G)</f>
        <v>34.56</v>
      </c>
      <c r="J153" s="12">
        <f>_xlfn.XLOOKUP(Input_Table[[#This Row],[INVOICE ID]],'SuperMarket Analysis'!A:A,'SuperMarket Analysis'!N:N)</f>
        <v>241.92</v>
      </c>
      <c r="K153" s="12">
        <f>_xlfn.XLOOKUP(Input_Table[[#This Row],[INVOICE ID]],'SuperMarket Analysis'!A:A,'SuperMarket Analysis'!J:J)</f>
        <v>254.01599999999999</v>
      </c>
      <c r="L153" s="6">
        <f>DAY(Input_Table[[#This Row],[DATE]])</f>
        <v>25</v>
      </c>
      <c r="M153" s="6" t="str">
        <f>TEXT(Input_Table[[#This Row],[DATE]],"mmmm")</f>
        <v>January</v>
      </c>
      <c r="N153" s="6">
        <f>YEAR(Input_Table[[#This Row],[DATE]])</f>
        <v>2019</v>
      </c>
    </row>
    <row r="154" spans="1:14" x14ac:dyDescent="0.3">
      <c r="A154" s="2">
        <f>_xlfn.XLOOKUP(B154,SuperMarket_Analysis[Invoice ID],SuperMarket_Analysis[Date])</f>
        <v>43489</v>
      </c>
      <c r="B154" s="6" t="s">
        <v>185</v>
      </c>
      <c r="C154" s="7">
        <f>_xlfn.XLOOKUP(B154,SuperMarket_Analysis[Invoice ID],SuperMarket_Analysis[Quantity])</f>
        <v>9</v>
      </c>
      <c r="D154" s="6" t="str">
        <f>_xlfn.XLOOKUP('Input data'!B154,'SuperMarket Analysis'!A:A,'SuperMarket Analysis'!F:F)</f>
        <v>Fashion accessories</v>
      </c>
      <c r="E154" s="6" t="str">
        <f>_xlfn.XLOOKUP(B154,'SuperMarket Analysis'!A:A,'SuperMarket Analysis'!M:M)</f>
        <v>Credit card</v>
      </c>
      <c r="F154" s="6">
        <f>0.05*Input_Table[[#This Row],[TOTAL C.O.G.S]]</f>
        <v>37.457999999999998</v>
      </c>
      <c r="G154" s="6" t="str">
        <f>_xlfn.XLOOKUP(Input_Table[[#This Row],[INVOICE ID]],'SuperMarket Analysis'!A:A,'SuperMarket Analysis'!B:B)</f>
        <v>Alex</v>
      </c>
      <c r="H154" s="6" t="str">
        <f>_xlfn.XLOOKUP(Input_Table[[#This Row],[INVOICE ID]],'SuperMarket Analysis'!A:A,'SuperMarket Analysis'!F:F)</f>
        <v>Fashion accessories</v>
      </c>
      <c r="I154" s="12">
        <f>_xlfn.XLOOKUP(Input_Table[[#This Row],[INVOICE ID]],'SuperMarket Analysis'!A:A,'SuperMarket Analysis'!G:G)</f>
        <v>83.24</v>
      </c>
      <c r="J154" s="12">
        <f>_xlfn.XLOOKUP(Input_Table[[#This Row],[INVOICE ID]],'SuperMarket Analysis'!A:A,'SuperMarket Analysis'!N:N)</f>
        <v>749.16</v>
      </c>
      <c r="K154" s="12">
        <f>_xlfn.XLOOKUP(Input_Table[[#This Row],[INVOICE ID]],'SuperMarket Analysis'!A:A,'SuperMarket Analysis'!J:J)</f>
        <v>786.61800000000005</v>
      </c>
      <c r="L154" s="6">
        <f>DAY(Input_Table[[#This Row],[DATE]])</f>
        <v>24</v>
      </c>
      <c r="M154" s="6" t="str">
        <f>TEXT(Input_Table[[#This Row],[DATE]],"mmmm")</f>
        <v>January</v>
      </c>
      <c r="N154" s="6">
        <f>YEAR(Input_Table[[#This Row],[DATE]])</f>
        <v>2019</v>
      </c>
    </row>
    <row r="155" spans="1:14" x14ac:dyDescent="0.3">
      <c r="A155" s="2">
        <f>_xlfn.XLOOKUP(B155,SuperMarket_Analysis[Invoice ID],SuperMarket_Analysis[Date])</f>
        <v>43538</v>
      </c>
      <c r="B155" s="6" t="s">
        <v>186</v>
      </c>
      <c r="C155" s="7">
        <f>_xlfn.XLOOKUP(B155,SuperMarket_Analysis[Invoice ID],SuperMarket_Analysis[Quantity])</f>
        <v>6</v>
      </c>
      <c r="D155" s="6" t="str">
        <f>_xlfn.XLOOKUP('Input data'!B155,'SuperMarket Analysis'!A:A,'SuperMarket Analysis'!F:F)</f>
        <v>Food and beverages</v>
      </c>
      <c r="E155" s="6" t="str">
        <f>_xlfn.XLOOKUP(B155,'SuperMarket Analysis'!A:A,'SuperMarket Analysis'!M:M)</f>
        <v>Ewallet</v>
      </c>
      <c r="F155" s="6">
        <f>0.05*Input_Table[[#This Row],[TOTAL C.O.G.S]]</f>
        <v>4.944</v>
      </c>
      <c r="G155" s="6" t="str">
        <f>_xlfn.XLOOKUP(Input_Table[[#This Row],[INVOICE ID]],'SuperMarket Analysis'!A:A,'SuperMarket Analysis'!B:B)</f>
        <v>Giza</v>
      </c>
      <c r="H155" s="6" t="str">
        <f>_xlfn.XLOOKUP(Input_Table[[#This Row],[INVOICE ID]],'SuperMarket Analysis'!A:A,'SuperMarket Analysis'!F:F)</f>
        <v>Food and beverages</v>
      </c>
      <c r="I155" s="12">
        <f>_xlfn.XLOOKUP(Input_Table[[#This Row],[INVOICE ID]],'SuperMarket Analysis'!A:A,'SuperMarket Analysis'!G:G)</f>
        <v>16.48</v>
      </c>
      <c r="J155" s="12">
        <f>_xlfn.XLOOKUP(Input_Table[[#This Row],[INVOICE ID]],'SuperMarket Analysis'!A:A,'SuperMarket Analysis'!N:N)</f>
        <v>98.88</v>
      </c>
      <c r="K155" s="12">
        <f>_xlfn.XLOOKUP(Input_Table[[#This Row],[INVOICE ID]],'SuperMarket Analysis'!A:A,'SuperMarket Analysis'!J:J)</f>
        <v>103.824</v>
      </c>
      <c r="L155" s="6">
        <f>DAY(Input_Table[[#This Row],[DATE]])</f>
        <v>14</v>
      </c>
      <c r="M155" s="6" t="str">
        <f>TEXT(Input_Table[[#This Row],[DATE]],"mmmm")</f>
        <v>March</v>
      </c>
      <c r="N155" s="6">
        <f>YEAR(Input_Table[[#This Row],[DATE]])</f>
        <v>2019</v>
      </c>
    </row>
    <row r="156" spans="1:14" x14ac:dyDescent="0.3">
      <c r="A156" s="2">
        <f>_xlfn.XLOOKUP(B156,SuperMarket_Analysis[Invoice ID],SuperMarket_Analysis[Date])</f>
        <v>43514</v>
      </c>
      <c r="B156" s="6" t="s">
        <v>187</v>
      </c>
      <c r="C156" s="7">
        <f>_xlfn.XLOOKUP(B156,SuperMarket_Analysis[Invoice ID],SuperMarket_Analysis[Quantity])</f>
        <v>8</v>
      </c>
      <c r="D156" s="6" t="str">
        <f>_xlfn.XLOOKUP('Input data'!B156,'SuperMarket Analysis'!A:A,'SuperMarket Analysis'!F:F)</f>
        <v>Sports and travel</v>
      </c>
      <c r="E156" s="6" t="str">
        <f>_xlfn.XLOOKUP(B156,'SuperMarket Analysis'!A:A,'SuperMarket Analysis'!M:M)</f>
        <v>Cash</v>
      </c>
      <c r="F156" s="6">
        <f>0.05*Input_Table[[#This Row],[TOTAL C.O.G.S]]</f>
        <v>32.387999999999998</v>
      </c>
      <c r="G156" s="6" t="str">
        <f>_xlfn.XLOOKUP(Input_Table[[#This Row],[INVOICE ID]],'SuperMarket Analysis'!A:A,'SuperMarket Analysis'!B:B)</f>
        <v>Giza</v>
      </c>
      <c r="H156" s="6" t="str">
        <f>_xlfn.XLOOKUP(Input_Table[[#This Row],[INVOICE ID]],'SuperMarket Analysis'!A:A,'SuperMarket Analysis'!F:F)</f>
        <v>Sports and travel</v>
      </c>
      <c r="I156" s="12">
        <f>_xlfn.XLOOKUP(Input_Table[[#This Row],[INVOICE ID]],'SuperMarket Analysis'!A:A,'SuperMarket Analysis'!G:G)</f>
        <v>80.97</v>
      </c>
      <c r="J156" s="12">
        <f>_xlfn.XLOOKUP(Input_Table[[#This Row],[INVOICE ID]],'SuperMarket Analysis'!A:A,'SuperMarket Analysis'!N:N)</f>
        <v>647.76</v>
      </c>
      <c r="K156" s="12">
        <f>_xlfn.XLOOKUP(Input_Table[[#This Row],[INVOICE ID]],'SuperMarket Analysis'!A:A,'SuperMarket Analysis'!J:J)</f>
        <v>680.14800000000002</v>
      </c>
      <c r="L156" s="6">
        <f>DAY(Input_Table[[#This Row],[DATE]])</f>
        <v>18</v>
      </c>
      <c r="M156" s="6" t="str">
        <f>TEXT(Input_Table[[#This Row],[DATE]],"mmmm")</f>
        <v>February</v>
      </c>
      <c r="N156" s="6">
        <f>YEAR(Input_Table[[#This Row],[DATE]])</f>
        <v>2019</v>
      </c>
    </row>
    <row r="157" spans="1:14" x14ac:dyDescent="0.3">
      <c r="A157" s="2">
        <f>_xlfn.XLOOKUP(B157,SuperMarket_Analysis[Invoice ID],SuperMarket_Analysis[Date])</f>
        <v>43486</v>
      </c>
      <c r="B157" s="6" t="s">
        <v>188</v>
      </c>
      <c r="C157" s="7">
        <f>_xlfn.XLOOKUP(B157,SuperMarket_Analysis[Invoice ID],SuperMarket_Analysis[Quantity])</f>
        <v>5</v>
      </c>
      <c r="D157" s="6" t="str">
        <f>_xlfn.XLOOKUP('Input data'!B157,'SuperMarket Analysis'!A:A,'SuperMarket Analysis'!F:F)</f>
        <v>Food and beverages</v>
      </c>
      <c r="E157" s="6" t="str">
        <f>_xlfn.XLOOKUP(B157,'SuperMarket Analysis'!A:A,'SuperMarket Analysis'!M:M)</f>
        <v>Credit card</v>
      </c>
      <c r="F157" s="6">
        <f>0.05*Input_Table[[#This Row],[TOTAL C.O.G.S]]</f>
        <v>23.072500000000002</v>
      </c>
      <c r="G157" s="6" t="str">
        <f>_xlfn.XLOOKUP(Input_Table[[#This Row],[INVOICE ID]],'SuperMarket Analysis'!A:A,'SuperMarket Analysis'!B:B)</f>
        <v>Alex</v>
      </c>
      <c r="H157" s="6" t="str">
        <f>_xlfn.XLOOKUP(Input_Table[[#This Row],[INVOICE ID]],'SuperMarket Analysis'!A:A,'SuperMarket Analysis'!F:F)</f>
        <v>Food and beverages</v>
      </c>
      <c r="I157" s="12">
        <f>_xlfn.XLOOKUP(Input_Table[[#This Row],[INVOICE ID]],'SuperMarket Analysis'!A:A,'SuperMarket Analysis'!G:G)</f>
        <v>92.29</v>
      </c>
      <c r="J157" s="12">
        <f>_xlfn.XLOOKUP(Input_Table[[#This Row],[INVOICE ID]],'SuperMarket Analysis'!A:A,'SuperMarket Analysis'!N:N)</f>
        <v>461.45</v>
      </c>
      <c r="K157" s="12">
        <f>_xlfn.XLOOKUP(Input_Table[[#This Row],[INVOICE ID]],'SuperMarket Analysis'!A:A,'SuperMarket Analysis'!J:J)</f>
        <v>484.52249999999998</v>
      </c>
      <c r="L157" s="6">
        <f>DAY(Input_Table[[#This Row],[DATE]])</f>
        <v>21</v>
      </c>
      <c r="M157" s="6" t="str">
        <f>TEXT(Input_Table[[#This Row],[DATE]],"mmmm")</f>
        <v>January</v>
      </c>
      <c r="N157" s="6">
        <f>YEAR(Input_Table[[#This Row],[DATE]])</f>
        <v>2019</v>
      </c>
    </row>
    <row r="158" spans="1:14" x14ac:dyDescent="0.3">
      <c r="A158" s="2">
        <f>_xlfn.XLOOKUP(B158,SuperMarket_Analysis[Invoice ID],SuperMarket_Analysis[Date])</f>
        <v>43537</v>
      </c>
      <c r="B158" s="6" t="s">
        <v>189</v>
      </c>
      <c r="C158" s="7">
        <f>_xlfn.XLOOKUP(B158,SuperMarket_Analysis[Invoice ID],SuperMarket_Analysis[Quantity])</f>
        <v>1</v>
      </c>
      <c r="D158" s="6" t="str">
        <f>_xlfn.XLOOKUP('Input data'!B158,'SuperMarket Analysis'!A:A,'SuperMarket Analysis'!F:F)</f>
        <v>Electronic accessories</v>
      </c>
      <c r="E158" s="6" t="str">
        <f>_xlfn.XLOOKUP(B158,'SuperMarket Analysis'!A:A,'SuperMarket Analysis'!M:M)</f>
        <v>Cash</v>
      </c>
      <c r="F158" s="6">
        <f>0.05*Input_Table[[#This Row],[TOTAL C.O.G.S]]</f>
        <v>3.6085000000000003</v>
      </c>
      <c r="G158" s="6" t="str">
        <f>_xlfn.XLOOKUP(Input_Table[[#This Row],[INVOICE ID]],'SuperMarket Analysis'!A:A,'SuperMarket Analysis'!B:B)</f>
        <v>Cairo</v>
      </c>
      <c r="H158" s="6" t="str">
        <f>_xlfn.XLOOKUP(Input_Table[[#This Row],[INVOICE ID]],'SuperMarket Analysis'!A:A,'SuperMarket Analysis'!F:F)</f>
        <v>Electronic accessories</v>
      </c>
      <c r="I158" s="12">
        <f>_xlfn.XLOOKUP(Input_Table[[#This Row],[INVOICE ID]],'SuperMarket Analysis'!A:A,'SuperMarket Analysis'!G:G)</f>
        <v>72.17</v>
      </c>
      <c r="J158" s="12">
        <f>_xlfn.XLOOKUP(Input_Table[[#This Row],[INVOICE ID]],'SuperMarket Analysis'!A:A,'SuperMarket Analysis'!N:N)</f>
        <v>72.17</v>
      </c>
      <c r="K158" s="12">
        <f>_xlfn.XLOOKUP(Input_Table[[#This Row],[INVOICE ID]],'SuperMarket Analysis'!A:A,'SuperMarket Analysis'!J:J)</f>
        <v>75.778499999999994</v>
      </c>
      <c r="L158" s="6">
        <f>DAY(Input_Table[[#This Row],[DATE]])</f>
        <v>13</v>
      </c>
      <c r="M158" s="6" t="str">
        <f>TEXT(Input_Table[[#This Row],[DATE]],"mmmm")</f>
        <v>March</v>
      </c>
      <c r="N158" s="6">
        <f>YEAR(Input_Table[[#This Row],[DATE]])</f>
        <v>2019</v>
      </c>
    </row>
    <row r="159" spans="1:14" x14ac:dyDescent="0.3">
      <c r="A159" s="2">
        <f>_xlfn.XLOOKUP(B159,SuperMarket_Analysis[Invoice ID],SuperMarket_Analysis[Date])</f>
        <v>43553</v>
      </c>
      <c r="B159" s="6" t="s">
        <v>190</v>
      </c>
      <c r="C159" s="7">
        <f>_xlfn.XLOOKUP(B159,SuperMarket_Analysis[Invoice ID],SuperMarket_Analysis[Quantity])</f>
        <v>5</v>
      </c>
      <c r="D159" s="6" t="str">
        <f>_xlfn.XLOOKUP('Input data'!B159,'SuperMarket Analysis'!A:A,'SuperMarket Analysis'!F:F)</f>
        <v>Home and lifestyle</v>
      </c>
      <c r="E159" s="6" t="str">
        <f>_xlfn.XLOOKUP(B159,'SuperMarket Analysis'!A:A,'SuperMarket Analysis'!M:M)</f>
        <v>Ewallet</v>
      </c>
      <c r="F159" s="6">
        <f>0.05*Input_Table[[#This Row],[TOTAL C.O.G.S]]</f>
        <v>12.57</v>
      </c>
      <c r="G159" s="6" t="str">
        <f>_xlfn.XLOOKUP(Input_Table[[#This Row],[INVOICE ID]],'SuperMarket Analysis'!A:A,'SuperMarket Analysis'!B:B)</f>
        <v>Cairo</v>
      </c>
      <c r="H159" s="6" t="str">
        <f>_xlfn.XLOOKUP(Input_Table[[#This Row],[INVOICE ID]],'SuperMarket Analysis'!A:A,'SuperMarket Analysis'!F:F)</f>
        <v>Home and lifestyle</v>
      </c>
      <c r="I159" s="12">
        <f>_xlfn.XLOOKUP(Input_Table[[#This Row],[INVOICE ID]],'SuperMarket Analysis'!A:A,'SuperMarket Analysis'!G:G)</f>
        <v>50.28</v>
      </c>
      <c r="J159" s="12">
        <f>_xlfn.XLOOKUP(Input_Table[[#This Row],[INVOICE ID]],'SuperMarket Analysis'!A:A,'SuperMarket Analysis'!N:N)</f>
        <v>251.4</v>
      </c>
      <c r="K159" s="12">
        <f>_xlfn.XLOOKUP(Input_Table[[#This Row],[INVOICE ID]],'SuperMarket Analysis'!A:A,'SuperMarket Analysis'!J:J)</f>
        <v>263.97000000000003</v>
      </c>
      <c r="L159" s="6">
        <f>DAY(Input_Table[[#This Row],[DATE]])</f>
        <v>29</v>
      </c>
      <c r="M159" s="6" t="str">
        <f>TEXT(Input_Table[[#This Row],[DATE]],"mmmm")</f>
        <v>March</v>
      </c>
      <c r="N159" s="6">
        <f>YEAR(Input_Table[[#This Row],[DATE]])</f>
        <v>2019</v>
      </c>
    </row>
    <row r="160" spans="1:14" x14ac:dyDescent="0.3">
      <c r="A160" s="2">
        <f>_xlfn.XLOOKUP(B160,SuperMarket_Analysis[Invoice ID],SuperMarket_Analysis[Date])</f>
        <v>43490</v>
      </c>
      <c r="B160" s="6" t="s">
        <v>191</v>
      </c>
      <c r="C160" s="7">
        <f>_xlfn.XLOOKUP(B160,SuperMarket_Analysis[Invoice ID],SuperMarket_Analysis[Quantity])</f>
        <v>9</v>
      </c>
      <c r="D160" s="6" t="str">
        <f>_xlfn.XLOOKUP('Input data'!B160,'SuperMarket Analysis'!A:A,'SuperMarket Analysis'!F:F)</f>
        <v>Health and beauty</v>
      </c>
      <c r="E160" s="6" t="str">
        <f>_xlfn.XLOOKUP(B160,'SuperMarket Analysis'!A:A,'SuperMarket Analysis'!M:M)</f>
        <v>Ewallet</v>
      </c>
      <c r="F160" s="6">
        <f>0.05*Input_Table[[#This Row],[TOTAL C.O.G.S]]</f>
        <v>43.749000000000002</v>
      </c>
      <c r="G160" s="6" t="str">
        <f>_xlfn.XLOOKUP(Input_Table[[#This Row],[INVOICE ID]],'SuperMarket Analysis'!A:A,'SuperMarket Analysis'!B:B)</f>
        <v>Cairo</v>
      </c>
      <c r="H160" s="6" t="str">
        <f>_xlfn.XLOOKUP(Input_Table[[#This Row],[INVOICE ID]],'SuperMarket Analysis'!A:A,'SuperMarket Analysis'!F:F)</f>
        <v>Health and beauty</v>
      </c>
      <c r="I160" s="12">
        <f>_xlfn.XLOOKUP(Input_Table[[#This Row],[INVOICE ID]],'SuperMarket Analysis'!A:A,'SuperMarket Analysis'!G:G)</f>
        <v>97.22</v>
      </c>
      <c r="J160" s="12">
        <f>_xlfn.XLOOKUP(Input_Table[[#This Row],[INVOICE ID]],'SuperMarket Analysis'!A:A,'SuperMarket Analysis'!N:N)</f>
        <v>874.98</v>
      </c>
      <c r="K160" s="12">
        <f>_xlfn.XLOOKUP(Input_Table[[#This Row],[INVOICE ID]],'SuperMarket Analysis'!A:A,'SuperMarket Analysis'!J:J)</f>
        <v>918.72900000000004</v>
      </c>
      <c r="L160" s="6">
        <f>DAY(Input_Table[[#This Row],[DATE]])</f>
        <v>25</v>
      </c>
      <c r="M160" s="6" t="str">
        <f>TEXT(Input_Table[[#This Row],[DATE]],"mmmm")</f>
        <v>January</v>
      </c>
      <c r="N160" s="6">
        <f>YEAR(Input_Table[[#This Row],[DATE]])</f>
        <v>2019</v>
      </c>
    </row>
    <row r="161" spans="1:14" x14ac:dyDescent="0.3">
      <c r="A161" s="2">
        <f>_xlfn.XLOOKUP(B161,SuperMarket_Analysis[Invoice ID],SuperMarket_Analysis[Date])</f>
        <v>43484</v>
      </c>
      <c r="B161" s="6" t="s">
        <v>192</v>
      </c>
      <c r="C161" s="7">
        <f>_xlfn.XLOOKUP(B161,SuperMarket_Analysis[Invoice ID],SuperMarket_Analysis[Quantity])</f>
        <v>6</v>
      </c>
      <c r="D161" s="6" t="str">
        <f>_xlfn.XLOOKUP('Input data'!B161,'SuperMarket Analysis'!A:A,'SuperMarket Analysis'!F:F)</f>
        <v>Sports and travel</v>
      </c>
      <c r="E161" s="6" t="str">
        <f>_xlfn.XLOOKUP(B161,'SuperMarket Analysis'!A:A,'SuperMarket Analysis'!M:M)</f>
        <v>Ewallet</v>
      </c>
      <c r="F161" s="6">
        <f>0.05*Input_Table[[#This Row],[TOTAL C.O.G.S]]</f>
        <v>28.017000000000003</v>
      </c>
      <c r="G161" s="6" t="str">
        <f>_xlfn.XLOOKUP(Input_Table[[#This Row],[INVOICE ID]],'SuperMarket Analysis'!A:A,'SuperMarket Analysis'!B:B)</f>
        <v>Cairo</v>
      </c>
      <c r="H161" s="6" t="str">
        <f>_xlfn.XLOOKUP(Input_Table[[#This Row],[INVOICE ID]],'SuperMarket Analysis'!A:A,'SuperMarket Analysis'!F:F)</f>
        <v>Sports and travel</v>
      </c>
      <c r="I161" s="12">
        <f>_xlfn.XLOOKUP(Input_Table[[#This Row],[INVOICE ID]],'SuperMarket Analysis'!A:A,'SuperMarket Analysis'!G:G)</f>
        <v>93.39</v>
      </c>
      <c r="J161" s="12">
        <f>_xlfn.XLOOKUP(Input_Table[[#This Row],[INVOICE ID]],'SuperMarket Analysis'!A:A,'SuperMarket Analysis'!N:N)</f>
        <v>560.34</v>
      </c>
      <c r="K161" s="12">
        <f>_xlfn.XLOOKUP(Input_Table[[#This Row],[INVOICE ID]],'SuperMarket Analysis'!A:A,'SuperMarket Analysis'!J:J)</f>
        <v>588.35699999999997</v>
      </c>
      <c r="L161" s="6">
        <f>DAY(Input_Table[[#This Row],[DATE]])</f>
        <v>19</v>
      </c>
      <c r="M161" s="6" t="str">
        <f>TEXT(Input_Table[[#This Row],[DATE]],"mmmm")</f>
        <v>January</v>
      </c>
      <c r="N161" s="6">
        <f>YEAR(Input_Table[[#This Row],[DATE]])</f>
        <v>2019</v>
      </c>
    </row>
    <row r="162" spans="1:14" x14ac:dyDescent="0.3">
      <c r="A162" s="2">
        <f>_xlfn.XLOOKUP(B162,SuperMarket_Analysis[Invoice ID],SuperMarket_Analysis[Date])</f>
        <v>43521</v>
      </c>
      <c r="B162" s="6" t="s">
        <v>193</v>
      </c>
      <c r="C162" s="7">
        <f>_xlfn.XLOOKUP(B162,SuperMarket_Analysis[Invoice ID],SuperMarket_Analysis[Quantity])</f>
        <v>8</v>
      </c>
      <c r="D162" s="6" t="str">
        <f>_xlfn.XLOOKUP('Input data'!B162,'SuperMarket Analysis'!A:A,'SuperMarket Analysis'!F:F)</f>
        <v>Food and beverages</v>
      </c>
      <c r="E162" s="6" t="str">
        <f>_xlfn.XLOOKUP(B162,'SuperMarket Analysis'!A:A,'SuperMarket Analysis'!M:M)</f>
        <v>Credit card</v>
      </c>
      <c r="F162" s="6">
        <f>0.05*Input_Table[[#This Row],[TOTAL C.O.G.S]]</f>
        <v>17.272000000000002</v>
      </c>
      <c r="G162" s="6" t="str">
        <f>_xlfn.XLOOKUP(Input_Table[[#This Row],[INVOICE ID]],'SuperMarket Analysis'!A:A,'SuperMarket Analysis'!B:B)</f>
        <v>Giza</v>
      </c>
      <c r="H162" s="6" t="str">
        <f>_xlfn.XLOOKUP(Input_Table[[#This Row],[INVOICE ID]],'SuperMarket Analysis'!A:A,'SuperMarket Analysis'!F:F)</f>
        <v>Food and beverages</v>
      </c>
      <c r="I162" s="12">
        <f>_xlfn.XLOOKUP(Input_Table[[#This Row],[INVOICE ID]],'SuperMarket Analysis'!A:A,'SuperMarket Analysis'!G:G)</f>
        <v>43.18</v>
      </c>
      <c r="J162" s="12">
        <f>_xlfn.XLOOKUP(Input_Table[[#This Row],[INVOICE ID]],'SuperMarket Analysis'!A:A,'SuperMarket Analysis'!N:N)</f>
        <v>345.44</v>
      </c>
      <c r="K162" s="12">
        <f>_xlfn.XLOOKUP(Input_Table[[#This Row],[INVOICE ID]],'SuperMarket Analysis'!A:A,'SuperMarket Analysis'!J:J)</f>
        <v>362.71199999999999</v>
      </c>
      <c r="L162" s="6">
        <f>DAY(Input_Table[[#This Row],[DATE]])</f>
        <v>25</v>
      </c>
      <c r="M162" s="6" t="str">
        <f>TEXT(Input_Table[[#This Row],[DATE]],"mmmm")</f>
        <v>February</v>
      </c>
      <c r="N162" s="6">
        <f>YEAR(Input_Table[[#This Row],[DATE]])</f>
        <v>2019</v>
      </c>
    </row>
    <row r="163" spans="1:14" x14ac:dyDescent="0.3">
      <c r="A163" s="2">
        <f>_xlfn.XLOOKUP(B163,SuperMarket_Analysis[Invoice ID],SuperMarket_Analysis[Date])</f>
        <v>43542</v>
      </c>
      <c r="B163" s="6" t="s">
        <v>194</v>
      </c>
      <c r="C163" s="7">
        <f>_xlfn.XLOOKUP(B163,SuperMarket_Analysis[Invoice ID],SuperMarket_Analysis[Quantity])</f>
        <v>1</v>
      </c>
      <c r="D163" s="6" t="str">
        <f>_xlfn.XLOOKUP('Input data'!B163,'SuperMarket Analysis'!A:A,'SuperMarket Analysis'!F:F)</f>
        <v>Sports and travel</v>
      </c>
      <c r="E163" s="6" t="str">
        <f>_xlfn.XLOOKUP(B163,'SuperMarket Analysis'!A:A,'SuperMarket Analysis'!M:M)</f>
        <v>Cash</v>
      </c>
      <c r="F163" s="6">
        <f>0.05*Input_Table[[#This Row],[TOTAL C.O.G.S]]</f>
        <v>3.1844999999999999</v>
      </c>
      <c r="G163" s="6" t="str">
        <f>_xlfn.XLOOKUP(Input_Table[[#This Row],[INVOICE ID]],'SuperMarket Analysis'!A:A,'SuperMarket Analysis'!B:B)</f>
        <v>Alex</v>
      </c>
      <c r="H163" s="6" t="str">
        <f>_xlfn.XLOOKUP(Input_Table[[#This Row],[INVOICE ID]],'SuperMarket Analysis'!A:A,'SuperMarket Analysis'!F:F)</f>
        <v>Sports and travel</v>
      </c>
      <c r="I163" s="12">
        <f>_xlfn.XLOOKUP(Input_Table[[#This Row],[INVOICE ID]],'SuperMarket Analysis'!A:A,'SuperMarket Analysis'!G:G)</f>
        <v>63.69</v>
      </c>
      <c r="J163" s="12">
        <f>_xlfn.XLOOKUP(Input_Table[[#This Row],[INVOICE ID]],'SuperMarket Analysis'!A:A,'SuperMarket Analysis'!N:N)</f>
        <v>63.69</v>
      </c>
      <c r="K163" s="12">
        <f>_xlfn.XLOOKUP(Input_Table[[#This Row],[INVOICE ID]],'SuperMarket Analysis'!A:A,'SuperMarket Analysis'!J:J)</f>
        <v>66.874499999999998</v>
      </c>
      <c r="L163" s="6">
        <f>DAY(Input_Table[[#This Row],[DATE]])</f>
        <v>18</v>
      </c>
      <c r="M163" s="6" t="str">
        <f>TEXT(Input_Table[[#This Row],[DATE]],"mmmm")</f>
        <v>March</v>
      </c>
      <c r="N163" s="6">
        <f>YEAR(Input_Table[[#This Row],[DATE]])</f>
        <v>2019</v>
      </c>
    </row>
    <row r="164" spans="1:14" x14ac:dyDescent="0.3">
      <c r="A164" s="2">
        <f>_xlfn.XLOOKUP(B164,SuperMarket_Analysis[Invoice ID],SuperMarket_Analysis[Date])</f>
        <v>43519</v>
      </c>
      <c r="B164" s="6" t="s">
        <v>195</v>
      </c>
      <c r="C164" s="7">
        <f>_xlfn.XLOOKUP(B164,SuperMarket_Analysis[Invoice ID],SuperMarket_Analysis[Quantity])</f>
        <v>7</v>
      </c>
      <c r="D164" s="6" t="str">
        <f>_xlfn.XLOOKUP('Input data'!B164,'SuperMarket Analysis'!A:A,'SuperMarket Analysis'!F:F)</f>
        <v>Food and beverages</v>
      </c>
      <c r="E164" s="6" t="str">
        <f>_xlfn.XLOOKUP(B164,'SuperMarket Analysis'!A:A,'SuperMarket Analysis'!M:M)</f>
        <v>Credit card</v>
      </c>
      <c r="F164" s="6">
        <f>0.05*Input_Table[[#This Row],[TOTAL C.O.G.S]]</f>
        <v>16.026499999999999</v>
      </c>
      <c r="G164" s="6" t="str">
        <f>_xlfn.XLOOKUP(Input_Table[[#This Row],[INVOICE ID]],'SuperMarket Analysis'!A:A,'SuperMarket Analysis'!B:B)</f>
        <v>Alex</v>
      </c>
      <c r="H164" s="6" t="str">
        <f>_xlfn.XLOOKUP(Input_Table[[#This Row],[INVOICE ID]],'SuperMarket Analysis'!A:A,'SuperMarket Analysis'!F:F)</f>
        <v>Food and beverages</v>
      </c>
      <c r="I164" s="12">
        <f>_xlfn.XLOOKUP(Input_Table[[#This Row],[INVOICE ID]],'SuperMarket Analysis'!A:A,'SuperMarket Analysis'!G:G)</f>
        <v>45.79</v>
      </c>
      <c r="J164" s="12">
        <f>_xlfn.XLOOKUP(Input_Table[[#This Row],[INVOICE ID]],'SuperMarket Analysis'!A:A,'SuperMarket Analysis'!N:N)</f>
        <v>320.52999999999997</v>
      </c>
      <c r="K164" s="12">
        <f>_xlfn.XLOOKUP(Input_Table[[#This Row],[INVOICE ID]],'SuperMarket Analysis'!A:A,'SuperMarket Analysis'!J:J)</f>
        <v>336.55650000000003</v>
      </c>
      <c r="L164" s="6">
        <f>DAY(Input_Table[[#This Row],[DATE]])</f>
        <v>23</v>
      </c>
      <c r="M164" s="6" t="str">
        <f>TEXT(Input_Table[[#This Row],[DATE]],"mmmm")</f>
        <v>February</v>
      </c>
      <c r="N164" s="6">
        <f>YEAR(Input_Table[[#This Row],[DATE]])</f>
        <v>2019</v>
      </c>
    </row>
    <row r="165" spans="1:14" x14ac:dyDescent="0.3">
      <c r="A165" s="2">
        <f>_xlfn.XLOOKUP(B165,SuperMarket_Analysis[Invoice ID],SuperMarket_Analysis[Date])</f>
        <v>43550</v>
      </c>
      <c r="B165" s="6" t="s">
        <v>196</v>
      </c>
      <c r="C165" s="7">
        <f>_xlfn.XLOOKUP(B165,SuperMarket_Analysis[Invoice ID],SuperMarket_Analysis[Quantity])</f>
        <v>2</v>
      </c>
      <c r="D165" s="6" t="str">
        <f>_xlfn.XLOOKUP('Input data'!B165,'SuperMarket Analysis'!A:A,'SuperMarket Analysis'!F:F)</f>
        <v>Sports and travel</v>
      </c>
      <c r="E165" s="6" t="str">
        <f>_xlfn.XLOOKUP(B165,'SuperMarket Analysis'!A:A,'SuperMarket Analysis'!M:M)</f>
        <v>Ewallet</v>
      </c>
      <c r="F165" s="6">
        <f>0.05*Input_Table[[#This Row],[TOTAL C.O.G.S]]</f>
        <v>7.6400000000000006</v>
      </c>
      <c r="G165" s="6" t="str">
        <f>_xlfn.XLOOKUP(Input_Table[[#This Row],[INVOICE ID]],'SuperMarket Analysis'!A:A,'SuperMarket Analysis'!B:B)</f>
        <v>Giza</v>
      </c>
      <c r="H165" s="6" t="str">
        <f>_xlfn.XLOOKUP(Input_Table[[#This Row],[INVOICE ID]],'SuperMarket Analysis'!A:A,'SuperMarket Analysis'!F:F)</f>
        <v>Sports and travel</v>
      </c>
      <c r="I165" s="12">
        <f>_xlfn.XLOOKUP(Input_Table[[#This Row],[INVOICE ID]],'SuperMarket Analysis'!A:A,'SuperMarket Analysis'!G:G)</f>
        <v>76.400000000000006</v>
      </c>
      <c r="J165" s="12">
        <f>_xlfn.XLOOKUP(Input_Table[[#This Row],[INVOICE ID]],'SuperMarket Analysis'!A:A,'SuperMarket Analysis'!N:N)</f>
        <v>152.80000000000001</v>
      </c>
      <c r="K165" s="12">
        <f>_xlfn.XLOOKUP(Input_Table[[#This Row],[INVOICE ID]],'SuperMarket Analysis'!A:A,'SuperMarket Analysis'!J:J)</f>
        <v>160.44</v>
      </c>
      <c r="L165" s="6">
        <f>DAY(Input_Table[[#This Row],[DATE]])</f>
        <v>26</v>
      </c>
      <c r="M165" s="6" t="str">
        <f>TEXT(Input_Table[[#This Row],[DATE]],"mmmm")</f>
        <v>March</v>
      </c>
      <c r="N165" s="6">
        <f>YEAR(Input_Table[[#This Row],[DATE]])</f>
        <v>2019</v>
      </c>
    </row>
    <row r="166" spans="1:14" x14ac:dyDescent="0.3">
      <c r="A166" s="2">
        <f>_xlfn.XLOOKUP(B166,SuperMarket_Analysis[Invoice ID],SuperMarket_Analysis[Date])</f>
        <v>43554</v>
      </c>
      <c r="B166" s="6" t="s">
        <v>197</v>
      </c>
      <c r="C166" s="7">
        <f>_xlfn.XLOOKUP(B166,SuperMarket_Analysis[Invoice ID],SuperMarket_Analysis[Quantity])</f>
        <v>10</v>
      </c>
      <c r="D166" s="6" t="str">
        <f>_xlfn.XLOOKUP('Input data'!B166,'SuperMarket Analysis'!A:A,'SuperMarket Analysis'!F:F)</f>
        <v>Food and beverages</v>
      </c>
      <c r="E166" s="6" t="str">
        <f>_xlfn.XLOOKUP(B166,'SuperMarket Analysis'!A:A,'SuperMarket Analysis'!M:M)</f>
        <v>Credit card</v>
      </c>
      <c r="F166" s="6">
        <f>0.05*Input_Table[[#This Row],[TOTAL C.O.G.S]]</f>
        <v>19.950000000000003</v>
      </c>
      <c r="G166" s="6" t="str">
        <f>_xlfn.XLOOKUP(Input_Table[[#This Row],[INVOICE ID]],'SuperMarket Analysis'!A:A,'SuperMarket Analysis'!B:B)</f>
        <v>Cairo</v>
      </c>
      <c r="H166" s="6" t="str">
        <f>_xlfn.XLOOKUP(Input_Table[[#This Row],[INVOICE ID]],'SuperMarket Analysis'!A:A,'SuperMarket Analysis'!F:F)</f>
        <v>Food and beverages</v>
      </c>
      <c r="I166" s="12">
        <f>_xlfn.XLOOKUP(Input_Table[[#This Row],[INVOICE ID]],'SuperMarket Analysis'!A:A,'SuperMarket Analysis'!G:G)</f>
        <v>39.9</v>
      </c>
      <c r="J166" s="12">
        <f>_xlfn.XLOOKUP(Input_Table[[#This Row],[INVOICE ID]],'SuperMarket Analysis'!A:A,'SuperMarket Analysis'!N:N)</f>
        <v>399</v>
      </c>
      <c r="K166" s="12">
        <f>_xlfn.XLOOKUP(Input_Table[[#This Row],[INVOICE ID]],'SuperMarket Analysis'!A:A,'SuperMarket Analysis'!J:J)</f>
        <v>418.95</v>
      </c>
      <c r="L166" s="6">
        <f>DAY(Input_Table[[#This Row],[DATE]])</f>
        <v>30</v>
      </c>
      <c r="M166" s="6" t="str">
        <f>TEXT(Input_Table[[#This Row],[DATE]],"mmmm")</f>
        <v>March</v>
      </c>
      <c r="N166" s="6">
        <f>YEAR(Input_Table[[#This Row],[DATE]])</f>
        <v>2019</v>
      </c>
    </row>
    <row r="167" spans="1:14" x14ac:dyDescent="0.3">
      <c r="A167" s="2">
        <f>_xlfn.XLOOKUP(B167,SuperMarket_Analysis[Invoice ID],SuperMarket_Analysis[Date])</f>
        <v>43513</v>
      </c>
      <c r="B167" s="6" t="s">
        <v>198</v>
      </c>
      <c r="C167" s="7">
        <f>_xlfn.XLOOKUP(B167,SuperMarket_Analysis[Invoice ID],SuperMarket_Analysis[Quantity])</f>
        <v>8</v>
      </c>
      <c r="D167" s="6" t="str">
        <f>_xlfn.XLOOKUP('Input data'!B167,'SuperMarket Analysis'!A:A,'SuperMarket Analysis'!F:F)</f>
        <v>Health and beauty</v>
      </c>
      <c r="E167" s="6" t="str">
        <f>_xlfn.XLOOKUP(B167,'SuperMarket Analysis'!A:A,'SuperMarket Analysis'!M:M)</f>
        <v>Ewallet</v>
      </c>
      <c r="F167" s="6">
        <f>0.05*Input_Table[[#This Row],[TOTAL C.O.G.S]]</f>
        <v>17.028000000000002</v>
      </c>
      <c r="G167" s="6" t="str">
        <f>_xlfn.XLOOKUP(Input_Table[[#This Row],[INVOICE ID]],'SuperMarket Analysis'!A:A,'SuperMarket Analysis'!B:B)</f>
        <v>Cairo</v>
      </c>
      <c r="H167" s="6" t="str">
        <f>_xlfn.XLOOKUP(Input_Table[[#This Row],[INVOICE ID]],'SuperMarket Analysis'!A:A,'SuperMarket Analysis'!F:F)</f>
        <v>Health and beauty</v>
      </c>
      <c r="I167" s="12">
        <f>_xlfn.XLOOKUP(Input_Table[[#This Row],[INVOICE ID]],'SuperMarket Analysis'!A:A,'SuperMarket Analysis'!G:G)</f>
        <v>42.57</v>
      </c>
      <c r="J167" s="12">
        <f>_xlfn.XLOOKUP(Input_Table[[#This Row],[INVOICE ID]],'SuperMarket Analysis'!A:A,'SuperMarket Analysis'!N:N)</f>
        <v>340.56</v>
      </c>
      <c r="K167" s="12">
        <f>_xlfn.XLOOKUP(Input_Table[[#This Row],[INVOICE ID]],'SuperMarket Analysis'!A:A,'SuperMarket Analysis'!J:J)</f>
        <v>357.58800000000002</v>
      </c>
      <c r="L167" s="6">
        <f>DAY(Input_Table[[#This Row],[DATE]])</f>
        <v>17</v>
      </c>
      <c r="M167" s="6" t="str">
        <f>TEXT(Input_Table[[#This Row],[DATE]],"mmmm")</f>
        <v>February</v>
      </c>
      <c r="N167" s="6">
        <f>YEAR(Input_Table[[#This Row],[DATE]])</f>
        <v>2019</v>
      </c>
    </row>
    <row r="168" spans="1:14" x14ac:dyDescent="0.3">
      <c r="A168" s="2">
        <f>_xlfn.XLOOKUP(B168,SuperMarket_Analysis[Invoice ID],SuperMarket_Analysis[Date])</f>
        <v>43545</v>
      </c>
      <c r="B168" s="6" t="s">
        <v>199</v>
      </c>
      <c r="C168" s="7">
        <f>_xlfn.XLOOKUP(B168,SuperMarket_Analysis[Invoice ID],SuperMarket_Analysis[Quantity])</f>
        <v>10</v>
      </c>
      <c r="D168" s="6" t="str">
        <f>_xlfn.XLOOKUP('Input data'!B168,'SuperMarket Analysis'!A:A,'SuperMarket Analysis'!F:F)</f>
        <v>Home and lifestyle</v>
      </c>
      <c r="E168" s="6" t="str">
        <f>_xlfn.XLOOKUP(B168,'SuperMarket Analysis'!A:A,'SuperMarket Analysis'!M:M)</f>
        <v>Cash</v>
      </c>
      <c r="F168" s="6">
        <f>0.05*Input_Table[[#This Row],[TOTAL C.O.G.S]]</f>
        <v>47.79</v>
      </c>
      <c r="G168" s="6" t="str">
        <f>_xlfn.XLOOKUP(Input_Table[[#This Row],[INVOICE ID]],'SuperMarket Analysis'!A:A,'SuperMarket Analysis'!B:B)</f>
        <v>Giza</v>
      </c>
      <c r="H168" s="6" t="str">
        <f>_xlfn.XLOOKUP(Input_Table[[#This Row],[INVOICE ID]],'SuperMarket Analysis'!A:A,'SuperMarket Analysis'!F:F)</f>
        <v>Home and lifestyle</v>
      </c>
      <c r="I168" s="12">
        <f>_xlfn.XLOOKUP(Input_Table[[#This Row],[INVOICE ID]],'SuperMarket Analysis'!A:A,'SuperMarket Analysis'!G:G)</f>
        <v>95.58</v>
      </c>
      <c r="J168" s="12">
        <f>_xlfn.XLOOKUP(Input_Table[[#This Row],[INVOICE ID]],'SuperMarket Analysis'!A:A,'SuperMarket Analysis'!N:N)</f>
        <v>955.8</v>
      </c>
      <c r="K168" s="12">
        <f>_xlfn.XLOOKUP(Input_Table[[#This Row],[INVOICE ID]],'SuperMarket Analysis'!A:A,'SuperMarket Analysis'!J:J)</f>
        <v>1003.59</v>
      </c>
      <c r="L168" s="6">
        <f>DAY(Input_Table[[#This Row],[DATE]])</f>
        <v>21</v>
      </c>
      <c r="M168" s="6" t="str">
        <f>TEXT(Input_Table[[#This Row],[DATE]],"mmmm")</f>
        <v>March</v>
      </c>
      <c r="N168" s="6">
        <f>YEAR(Input_Table[[#This Row],[DATE]])</f>
        <v>2019</v>
      </c>
    </row>
    <row r="169" spans="1:14" x14ac:dyDescent="0.3">
      <c r="A169" s="2">
        <f>_xlfn.XLOOKUP(B169,SuperMarket_Analysis[Invoice ID],SuperMarket_Analysis[Date])</f>
        <v>43496</v>
      </c>
      <c r="B169" s="6" t="s">
        <v>200</v>
      </c>
      <c r="C169" s="7">
        <f>_xlfn.XLOOKUP(B169,SuperMarket_Analysis[Invoice ID],SuperMarket_Analysis[Quantity])</f>
        <v>10</v>
      </c>
      <c r="D169" s="6" t="str">
        <f>_xlfn.XLOOKUP('Input data'!B169,'SuperMarket Analysis'!A:A,'SuperMarket Analysis'!F:F)</f>
        <v>Fashion accessories</v>
      </c>
      <c r="E169" s="6" t="str">
        <f>_xlfn.XLOOKUP(B169,'SuperMarket Analysis'!A:A,'SuperMarket Analysis'!M:M)</f>
        <v>Credit card</v>
      </c>
      <c r="F169" s="6">
        <f>0.05*Input_Table[[#This Row],[TOTAL C.O.G.S]]</f>
        <v>49.49</v>
      </c>
      <c r="G169" s="6" t="str">
        <f>_xlfn.XLOOKUP(Input_Table[[#This Row],[INVOICE ID]],'SuperMarket Analysis'!A:A,'SuperMarket Analysis'!B:B)</f>
        <v>Alex</v>
      </c>
      <c r="H169" s="6" t="str">
        <f>_xlfn.XLOOKUP(Input_Table[[#This Row],[INVOICE ID]],'SuperMarket Analysis'!A:A,'SuperMarket Analysis'!F:F)</f>
        <v>Fashion accessories</v>
      </c>
      <c r="I169" s="12">
        <f>_xlfn.XLOOKUP(Input_Table[[#This Row],[INVOICE ID]],'SuperMarket Analysis'!A:A,'SuperMarket Analysis'!G:G)</f>
        <v>98.98</v>
      </c>
      <c r="J169" s="12">
        <f>_xlfn.XLOOKUP(Input_Table[[#This Row],[INVOICE ID]],'SuperMarket Analysis'!A:A,'SuperMarket Analysis'!N:N)</f>
        <v>989.8</v>
      </c>
      <c r="K169" s="12">
        <f>_xlfn.XLOOKUP(Input_Table[[#This Row],[INVOICE ID]],'SuperMarket Analysis'!A:A,'SuperMarket Analysis'!J:J)</f>
        <v>1039.29</v>
      </c>
      <c r="L169" s="6">
        <f>DAY(Input_Table[[#This Row],[DATE]])</f>
        <v>31</v>
      </c>
      <c r="M169" s="6" t="str">
        <f>TEXT(Input_Table[[#This Row],[DATE]],"mmmm")</f>
        <v>January</v>
      </c>
      <c r="N169" s="6">
        <f>YEAR(Input_Table[[#This Row],[DATE]])</f>
        <v>2019</v>
      </c>
    </row>
    <row r="170" spans="1:14" x14ac:dyDescent="0.3">
      <c r="A170" s="2">
        <f>_xlfn.XLOOKUP(B170,SuperMarket_Analysis[Invoice ID],SuperMarket_Analysis[Date])</f>
        <v>43510</v>
      </c>
      <c r="B170" s="6" t="s">
        <v>201</v>
      </c>
      <c r="C170" s="7">
        <f>_xlfn.XLOOKUP(B170,SuperMarket_Analysis[Invoice ID],SuperMarket_Analysis[Quantity])</f>
        <v>6</v>
      </c>
      <c r="D170" s="6" t="str">
        <f>_xlfn.XLOOKUP('Input data'!B170,'SuperMarket Analysis'!A:A,'SuperMarket Analysis'!F:F)</f>
        <v>Food and beverages</v>
      </c>
      <c r="E170" s="6" t="str">
        <f>_xlfn.XLOOKUP(B170,'SuperMarket Analysis'!A:A,'SuperMarket Analysis'!M:M)</f>
        <v>Cash</v>
      </c>
      <c r="F170" s="6">
        <f>0.05*Input_Table[[#This Row],[TOTAL C.O.G.S]]</f>
        <v>15.384</v>
      </c>
      <c r="G170" s="6" t="str">
        <f>_xlfn.XLOOKUP(Input_Table[[#This Row],[INVOICE ID]],'SuperMarket Analysis'!A:A,'SuperMarket Analysis'!B:B)</f>
        <v>Alex</v>
      </c>
      <c r="H170" s="6" t="str">
        <f>_xlfn.XLOOKUP(Input_Table[[#This Row],[INVOICE ID]],'SuperMarket Analysis'!A:A,'SuperMarket Analysis'!F:F)</f>
        <v>Food and beverages</v>
      </c>
      <c r="I170" s="12">
        <f>_xlfn.XLOOKUP(Input_Table[[#This Row],[INVOICE ID]],'SuperMarket Analysis'!A:A,'SuperMarket Analysis'!G:G)</f>
        <v>51.28</v>
      </c>
      <c r="J170" s="12">
        <f>_xlfn.XLOOKUP(Input_Table[[#This Row],[INVOICE ID]],'SuperMarket Analysis'!A:A,'SuperMarket Analysis'!N:N)</f>
        <v>307.68</v>
      </c>
      <c r="K170" s="12">
        <f>_xlfn.XLOOKUP(Input_Table[[#This Row],[INVOICE ID]],'SuperMarket Analysis'!A:A,'SuperMarket Analysis'!J:J)</f>
        <v>323.06400000000002</v>
      </c>
      <c r="L170" s="6">
        <f>DAY(Input_Table[[#This Row],[DATE]])</f>
        <v>14</v>
      </c>
      <c r="M170" s="6" t="str">
        <f>TEXT(Input_Table[[#This Row],[DATE]],"mmmm")</f>
        <v>February</v>
      </c>
      <c r="N170" s="6">
        <f>YEAR(Input_Table[[#This Row],[DATE]])</f>
        <v>2019</v>
      </c>
    </row>
    <row r="171" spans="1:14" x14ac:dyDescent="0.3">
      <c r="A171" s="2">
        <f>_xlfn.XLOOKUP(B171,SuperMarket_Analysis[Invoice ID],SuperMarket_Analysis[Date])</f>
        <v>43514</v>
      </c>
      <c r="B171" s="6" t="s">
        <v>202</v>
      </c>
      <c r="C171" s="7">
        <f>_xlfn.XLOOKUP(B171,SuperMarket_Analysis[Invoice ID],SuperMarket_Analysis[Quantity])</f>
        <v>7</v>
      </c>
      <c r="D171" s="6" t="str">
        <f>_xlfn.XLOOKUP('Input data'!B171,'SuperMarket Analysis'!A:A,'SuperMarket Analysis'!F:F)</f>
        <v>Sports and travel</v>
      </c>
      <c r="E171" s="6" t="str">
        <f>_xlfn.XLOOKUP(B171,'SuperMarket Analysis'!A:A,'SuperMarket Analysis'!M:M)</f>
        <v>Credit card</v>
      </c>
      <c r="F171" s="6">
        <f>0.05*Input_Table[[#This Row],[TOTAL C.O.G.S]]</f>
        <v>24.332000000000001</v>
      </c>
      <c r="G171" s="6" t="str">
        <f>_xlfn.XLOOKUP(Input_Table[[#This Row],[INVOICE ID]],'SuperMarket Analysis'!A:A,'SuperMarket Analysis'!B:B)</f>
        <v>Alex</v>
      </c>
      <c r="H171" s="6" t="str">
        <f>_xlfn.XLOOKUP(Input_Table[[#This Row],[INVOICE ID]],'SuperMarket Analysis'!A:A,'SuperMarket Analysis'!F:F)</f>
        <v>Sports and travel</v>
      </c>
      <c r="I171" s="12">
        <f>_xlfn.XLOOKUP(Input_Table[[#This Row],[INVOICE ID]],'SuperMarket Analysis'!A:A,'SuperMarket Analysis'!G:G)</f>
        <v>69.52</v>
      </c>
      <c r="J171" s="12">
        <f>_xlfn.XLOOKUP(Input_Table[[#This Row],[INVOICE ID]],'SuperMarket Analysis'!A:A,'SuperMarket Analysis'!N:N)</f>
        <v>486.64</v>
      </c>
      <c r="K171" s="12">
        <f>_xlfn.XLOOKUP(Input_Table[[#This Row],[INVOICE ID]],'SuperMarket Analysis'!A:A,'SuperMarket Analysis'!J:J)</f>
        <v>510.97199999999998</v>
      </c>
      <c r="L171" s="6">
        <f>DAY(Input_Table[[#This Row],[DATE]])</f>
        <v>18</v>
      </c>
      <c r="M171" s="6" t="str">
        <f>TEXT(Input_Table[[#This Row],[DATE]],"mmmm")</f>
        <v>February</v>
      </c>
      <c r="N171" s="6">
        <f>YEAR(Input_Table[[#This Row],[DATE]])</f>
        <v>2019</v>
      </c>
    </row>
    <row r="172" spans="1:14" x14ac:dyDescent="0.3">
      <c r="A172" s="2">
        <f>_xlfn.XLOOKUP(B172,SuperMarket_Analysis[Invoice ID],SuperMarket_Analysis[Date])</f>
        <v>43522</v>
      </c>
      <c r="B172" s="6" t="s">
        <v>203</v>
      </c>
      <c r="C172" s="7">
        <f>_xlfn.XLOOKUP(B172,SuperMarket_Analysis[Invoice ID],SuperMarket_Analysis[Quantity])</f>
        <v>5</v>
      </c>
      <c r="D172" s="6" t="str">
        <f>_xlfn.XLOOKUP('Input data'!B172,'SuperMarket Analysis'!A:A,'SuperMarket Analysis'!F:F)</f>
        <v>Health and beauty</v>
      </c>
      <c r="E172" s="6" t="str">
        <f>_xlfn.XLOOKUP(B172,'SuperMarket Analysis'!A:A,'SuperMarket Analysis'!M:M)</f>
        <v>Ewallet</v>
      </c>
      <c r="F172" s="6">
        <f>0.05*Input_Table[[#This Row],[TOTAL C.O.G.S]]</f>
        <v>17.502500000000001</v>
      </c>
      <c r="G172" s="6" t="str">
        <f>_xlfn.XLOOKUP(Input_Table[[#This Row],[INVOICE ID]],'SuperMarket Analysis'!A:A,'SuperMarket Analysis'!B:B)</f>
        <v>Alex</v>
      </c>
      <c r="H172" s="6" t="str">
        <f>_xlfn.XLOOKUP(Input_Table[[#This Row],[INVOICE ID]],'SuperMarket Analysis'!A:A,'SuperMarket Analysis'!F:F)</f>
        <v>Health and beauty</v>
      </c>
      <c r="I172" s="12">
        <f>_xlfn.XLOOKUP(Input_Table[[#This Row],[INVOICE ID]],'SuperMarket Analysis'!A:A,'SuperMarket Analysis'!G:G)</f>
        <v>70.010000000000005</v>
      </c>
      <c r="J172" s="12">
        <f>_xlfn.XLOOKUP(Input_Table[[#This Row],[INVOICE ID]],'SuperMarket Analysis'!A:A,'SuperMarket Analysis'!N:N)</f>
        <v>350.05</v>
      </c>
      <c r="K172" s="12">
        <f>_xlfn.XLOOKUP(Input_Table[[#This Row],[INVOICE ID]],'SuperMarket Analysis'!A:A,'SuperMarket Analysis'!J:J)</f>
        <v>367.55250000000001</v>
      </c>
      <c r="L172" s="6">
        <f>DAY(Input_Table[[#This Row],[DATE]])</f>
        <v>26</v>
      </c>
      <c r="M172" s="6" t="str">
        <f>TEXT(Input_Table[[#This Row],[DATE]],"mmmm")</f>
        <v>February</v>
      </c>
      <c r="N172" s="6">
        <f>YEAR(Input_Table[[#This Row],[DATE]])</f>
        <v>2019</v>
      </c>
    </row>
    <row r="173" spans="1:14" x14ac:dyDescent="0.3">
      <c r="A173" s="2">
        <f>_xlfn.XLOOKUP(B173,SuperMarket_Analysis[Invoice ID],SuperMarket_Analysis[Date])</f>
        <v>43483</v>
      </c>
      <c r="B173" s="6" t="s">
        <v>204</v>
      </c>
      <c r="C173" s="7">
        <f>_xlfn.XLOOKUP(B173,SuperMarket_Analysis[Invoice ID],SuperMarket_Analysis[Quantity])</f>
        <v>5</v>
      </c>
      <c r="D173" s="6" t="str">
        <f>_xlfn.XLOOKUP('Input data'!B173,'SuperMarket Analysis'!A:A,'SuperMarket Analysis'!F:F)</f>
        <v>Food and beverages</v>
      </c>
      <c r="E173" s="6" t="str">
        <f>_xlfn.XLOOKUP(B173,'SuperMarket Analysis'!A:A,'SuperMarket Analysis'!M:M)</f>
        <v>Credit card</v>
      </c>
      <c r="F173" s="6">
        <f>0.05*Input_Table[[#This Row],[TOTAL C.O.G.S]]</f>
        <v>20.012500000000003</v>
      </c>
      <c r="G173" s="6" t="str">
        <f>_xlfn.XLOOKUP(Input_Table[[#This Row],[INVOICE ID]],'SuperMarket Analysis'!A:A,'SuperMarket Analysis'!B:B)</f>
        <v>Cairo</v>
      </c>
      <c r="H173" s="6" t="str">
        <f>_xlfn.XLOOKUP(Input_Table[[#This Row],[INVOICE ID]],'SuperMarket Analysis'!A:A,'SuperMarket Analysis'!F:F)</f>
        <v>Food and beverages</v>
      </c>
      <c r="I173" s="12">
        <f>_xlfn.XLOOKUP(Input_Table[[#This Row],[INVOICE ID]],'SuperMarket Analysis'!A:A,'SuperMarket Analysis'!G:G)</f>
        <v>80.05</v>
      </c>
      <c r="J173" s="12">
        <f>_xlfn.XLOOKUP(Input_Table[[#This Row],[INVOICE ID]],'SuperMarket Analysis'!A:A,'SuperMarket Analysis'!N:N)</f>
        <v>400.25</v>
      </c>
      <c r="K173" s="12">
        <f>_xlfn.XLOOKUP(Input_Table[[#This Row],[INVOICE ID]],'SuperMarket Analysis'!A:A,'SuperMarket Analysis'!J:J)</f>
        <v>420.26249999999999</v>
      </c>
      <c r="L173" s="6">
        <f>DAY(Input_Table[[#This Row],[DATE]])</f>
        <v>18</v>
      </c>
      <c r="M173" s="6" t="str">
        <f>TEXT(Input_Table[[#This Row],[DATE]],"mmmm")</f>
        <v>January</v>
      </c>
      <c r="N173" s="6">
        <f>YEAR(Input_Table[[#This Row],[DATE]])</f>
        <v>2019</v>
      </c>
    </row>
    <row r="174" spans="1:14" x14ac:dyDescent="0.3">
      <c r="A174" s="2">
        <f>_xlfn.XLOOKUP(B174,SuperMarket_Analysis[Invoice ID],SuperMarket_Analysis[Date])</f>
        <v>43511</v>
      </c>
      <c r="B174" s="6" t="s">
        <v>205</v>
      </c>
      <c r="C174" s="7">
        <f>_xlfn.XLOOKUP(B174,SuperMarket_Analysis[Invoice ID],SuperMarket_Analysis[Quantity])</f>
        <v>8</v>
      </c>
      <c r="D174" s="6" t="str">
        <f>_xlfn.XLOOKUP('Input data'!B174,'SuperMarket Analysis'!A:A,'SuperMarket Analysis'!F:F)</f>
        <v>Electronic accessories</v>
      </c>
      <c r="E174" s="6" t="str">
        <f>_xlfn.XLOOKUP(B174,'SuperMarket Analysis'!A:A,'SuperMarket Analysis'!M:M)</f>
        <v>Cash</v>
      </c>
      <c r="F174" s="6">
        <f>0.05*Input_Table[[#This Row],[TOTAL C.O.G.S]]</f>
        <v>8.3400000000000016</v>
      </c>
      <c r="G174" s="6" t="str">
        <f>_xlfn.XLOOKUP(Input_Table[[#This Row],[INVOICE ID]],'SuperMarket Analysis'!A:A,'SuperMarket Analysis'!B:B)</f>
        <v>Giza</v>
      </c>
      <c r="H174" s="6" t="str">
        <f>_xlfn.XLOOKUP(Input_Table[[#This Row],[INVOICE ID]],'SuperMarket Analysis'!A:A,'SuperMarket Analysis'!F:F)</f>
        <v>Electronic accessories</v>
      </c>
      <c r="I174" s="12">
        <f>_xlfn.XLOOKUP(Input_Table[[#This Row],[INVOICE ID]],'SuperMarket Analysis'!A:A,'SuperMarket Analysis'!G:G)</f>
        <v>20.85</v>
      </c>
      <c r="J174" s="12">
        <f>_xlfn.XLOOKUP(Input_Table[[#This Row],[INVOICE ID]],'SuperMarket Analysis'!A:A,'SuperMarket Analysis'!N:N)</f>
        <v>166.8</v>
      </c>
      <c r="K174" s="12">
        <f>_xlfn.XLOOKUP(Input_Table[[#This Row],[INVOICE ID]],'SuperMarket Analysis'!A:A,'SuperMarket Analysis'!J:J)</f>
        <v>175.14</v>
      </c>
      <c r="L174" s="6">
        <f>DAY(Input_Table[[#This Row],[DATE]])</f>
        <v>15</v>
      </c>
      <c r="M174" s="6" t="str">
        <f>TEXT(Input_Table[[#This Row],[DATE]],"mmmm")</f>
        <v>February</v>
      </c>
      <c r="N174" s="6">
        <f>YEAR(Input_Table[[#This Row],[DATE]])</f>
        <v>2019</v>
      </c>
    </row>
    <row r="175" spans="1:14" x14ac:dyDescent="0.3">
      <c r="A175" s="2">
        <f>_xlfn.XLOOKUP(B175,SuperMarket_Analysis[Invoice ID],SuperMarket_Analysis[Date])</f>
        <v>43482</v>
      </c>
      <c r="B175" s="6" t="s">
        <v>206</v>
      </c>
      <c r="C175" s="7">
        <f>_xlfn.XLOOKUP(B175,SuperMarket_Analysis[Invoice ID],SuperMarket_Analysis[Quantity])</f>
        <v>6</v>
      </c>
      <c r="D175" s="6" t="str">
        <f>_xlfn.XLOOKUP('Input data'!B175,'SuperMarket Analysis'!A:A,'SuperMarket Analysis'!F:F)</f>
        <v>Electronic accessories</v>
      </c>
      <c r="E175" s="6" t="str">
        <f>_xlfn.XLOOKUP(B175,'SuperMarket Analysis'!A:A,'SuperMarket Analysis'!M:M)</f>
        <v>Credit card</v>
      </c>
      <c r="F175" s="6">
        <f>0.05*Input_Table[[#This Row],[TOTAL C.O.G.S]]</f>
        <v>15.866999999999999</v>
      </c>
      <c r="G175" s="6" t="str">
        <f>_xlfn.XLOOKUP(Input_Table[[#This Row],[INVOICE ID]],'SuperMarket Analysis'!A:A,'SuperMarket Analysis'!B:B)</f>
        <v>Cairo</v>
      </c>
      <c r="H175" s="6" t="str">
        <f>_xlfn.XLOOKUP(Input_Table[[#This Row],[INVOICE ID]],'SuperMarket Analysis'!A:A,'SuperMarket Analysis'!F:F)</f>
        <v>Electronic accessories</v>
      </c>
      <c r="I175" s="12">
        <f>_xlfn.XLOOKUP(Input_Table[[#This Row],[INVOICE ID]],'SuperMarket Analysis'!A:A,'SuperMarket Analysis'!G:G)</f>
        <v>52.89</v>
      </c>
      <c r="J175" s="12">
        <f>_xlfn.XLOOKUP(Input_Table[[#This Row],[INVOICE ID]],'SuperMarket Analysis'!A:A,'SuperMarket Analysis'!N:N)</f>
        <v>317.33999999999997</v>
      </c>
      <c r="K175" s="12">
        <f>_xlfn.XLOOKUP(Input_Table[[#This Row],[INVOICE ID]],'SuperMarket Analysis'!A:A,'SuperMarket Analysis'!J:J)</f>
        <v>333.20699999999999</v>
      </c>
      <c r="L175" s="6">
        <f>DAY(Input_Table[[#This Row],[DATE]])</f>
        <v>17</v>
      </c>
      <c r="M175" s="6" t="str">
        <f>TEXT(Input_Table[[#This Row],[DATE]],"mmmm")</f>
        <v>January</v>
      </c>
      <c r="N175" s="6">
        <f>YEAR(Input_Table[[#This Row],[DATE]])</f>
        <v>2019</v>
      </c>
    </row>
    <row r="176" spans="1:14" x14ac:dyDescent="0.3">
      <c r="A176" s="2">
        <f>_xlfn.XLOOKUP(B176,SuperMarket_Analysis[Invoice ID],SuperMarket_Analysis[Date])</f>
        <v>43490</v>
      </c>
      <c r="B176" s="6" t="s">
        <v>207</v>
      </c>
      <c r="C176" s="7">
        <f>_xlfn.XLOOKUP(B176,SuperMarket_Analysis[Invoice ID],SuperMarket_Analysis[Quantity])</f>
        <v>8</v>
      </c>
      <c r="D176" s="6" t="str">
        <f>_xlfn.XLOOKUP('Input data'!B176,'SuperMarket Analysis'!A:A,'SuperMarket Analysis'!F:F)</f>
        <v>Food and beverages</v>
      </c>
      <c r="E176" s="6" t="str">
        <f>_xlfn.XLOOKUP(B176,'SuperMarket Analysis'!A:A,'SuperMarket Analysis'!M:M)</f>
        <v>Ewallet</v>
      </c>
      <c r="F176" s="6">
        <f>0.05*Input_Table[[#This Row],[TOTAL C.O.G.S]]</f>
        <v>7.9160000000000004</v>
      </c>
      <c r="G176" s="6" t="str">
        <f>_xlfn.XLOOKUP(Input_Table[[#This Row],[INVOICE ID]],'SuperMarket Analysis'!A:A,'SuperMarket Analysis'!B:B)</f>
        <v>Cairo</v>
      </c>
      <c r="H176" s="6" t="str">
        <f>_xlfn.XLOOKUP(Input_Table[[#This Row],[INVOICE ID]],'SuperMarket Analysis'!A:A,'SuperMarket Analysis'!F:F)</f>
        <v>Food and beverages</v>
      </c>
      <c r="I176" s="12">
        <f>_xlfn.XLOOKUP(Input_Table[[#This Row],[INVOICE ID]],'SuperMarket Analysis'!A:A,'SuperMarket Analysis'!G:G)</f>
        <v>19.79</v>
      </c>
      <c r="J176" s="12">
        <f>_xlfn.XLOOKUP(Input_Table[[#This Row],[INVOICE ID]],'SuperMarket Analysis'!A:A,'SuperMarket Analysis'!N:N)</f>
        <v>158.32</v>
      </c>
      <c r="K176" s="12">
        <f>_xlfn.XLOOKUP(Input_Table[[#This Row],[INVOICE ID]],'SuperMarket Analysis'!A:A,'SuperMarket Analysis'!J:J)</f>
        <v>166.23599999999999</v>
      </c>
      <c r="L176" s="6">
        <f>DAY(Input_Table[[#This Row],[DATE]])</f>
        <v>25</v>
      </c>
      <c r="M176" s="6" t="str">
        <f>TEXT(Input_Table[[#This Row],[DATE]],"mmmm")</f>
        <v>January</v>
      </c>
      <c r="N176" s="6">
        <f>YEAR(Input_Table[[#This Row],[DATE]])</f>
        <v>2019</v>
      </c>
    </row>
    <row r="177" spans="1:14" x14ac:dyDescent="0.3">
      <c r="A177" s="2">
        <f>_xlfn.XLOOKUP(B177,SuperMarket_Analysis[Invoice ID],SuperMarket_Analysis[Date])</f>
        <v>43549</v>
      </c>
      <c r="B177" s="6" t="s">
        <v>208</v>
      </c>
      <c r="C177" s="7">
        <f>_xlfn.XLOOKUP(B177,SuperMarket_Analysis[Invoice ID],SuperMarket_Analysis[Quantity])</f>
        <v>9</v>
      </c>
      <c r="D177" s="6" t="str">
        <f>_xlfn.XLOOKUP('Input data'!B177,'SuperMarket Analysis'!A:A,'SuperMarket Analysis'!F:F)</f>
        <v>Home and lifestyle</v>
      </c>
      <c r="E177" s="6" t="str">
        <f>_xlfn.XLOOKUP(B177,'SuperMarket Analysis'!A:A,'SuperMarket Analysis'!M:M)</f>
        <v>Ewallet</v>
      </c>
      <c r="F177" s="6">
        <f>0.05*Input_Table[[#This Row],[TOTAL C.O.G.S]]</f>
        <v>15.228000000000002</v>
      </c>
      <c r="G177" s="6" t="str">
        <f>_xlfn.XLOOKUP(Input_Table[[#This Row],[INVOICE ID]],'SuperMarket Analysis'!A:A,'SuperMarket Analysis'!B:B)</f>
        <v>Alex</v>
      </c>
      <c r="H177" s="6" t="str">
        <f>_xlfn.XLOOKUP(Input_Table[[#This Row],[INVOICE ID]],'SuperMarket Analysis'!A:A,'SuperMarket Analysis'!F:F)</f>
        <v>Home and lifestyle</v>
      </c>
      <c r="I177" s="12">
        <f>_xlfn.XLOOKUP(Input_Table[[#This Row],[INVOICE ID]],'SuperMarket Analysis'!A:A,'SuperMarket Analysis'!G:G)</f>
        <v>33.840000000000003</v>
      </c>
      <c r="J177" s="12">
        <f>_xlfn.XLOOKUP(Input_Table[[#This Row],[INVOICE ID]],'SuperMarket Analysis'!A:A,'SuperMarket Analysis'!N:N)</f>
        <v>304.56</v>
      </c>
      <c r="K177" s="12">
        <f>_xlfn.XLOOKUP(Input_Table[[#This Row],[INVOICE ID]],'SuperMarket Analysis'!A:A,'SuperMarket Analysis'!J:J)</f>
        <v>319.78800000000001</v>
      </c>
      <c r="L177" s="6">
        <f>DAY(Input_Table[[#This Row],[DATE]])</f>
        <v>25</v>
      </c>
      <c r="M177" s="6" t="str">
        <f>TEXT(Input_Table[[#This Row],[DATE]],"mmmm")</f>
        <v>March</v>
      </c>
      <c r="N177" s="6">
        <f>YEAR(Input_Table[[#This Row],[DATE]])</f>
        <v>2019</v>
      </c>
    </row>
    <row r="178" spans="1:14" x14ac:dyDescent="0.3">
      <c r="A178" s="2">
        <f>_xlfn.XLOOKUP(B178,SuperMarket_Analysis[Invoice ID],SuperMarket_Analysis[Date])</f>
        <v>43513</v>
      </c>
      <c r="B178" s="6" t="s">
        <v>209</v>
      </c>
      <c r="C178" s="7">
        <f>_xlfn.XLOOKUP(B178,SuperMarket_Analysis[Invoice ID],SuperMarket_Analysis[Quantity])</f>
        <v>8</v>
      </c>
      <c r="D178" s="6" t="str">
        <f>_xlfn.XLOOKUP('Input data'!B178,'SuperMarket Analysis'!A:A,'SuperMarket Analysis'!F:F)</f>
        <v>Food and beverages</v>
      </c>
      <c r="E178" s="6" t="str">
        <f>_xlfn.XLOOKUP(B178,'SuperMarket Analysis'!A:A,'SuperMarket Analysis'!M:M)</f>
        <v>Credit card</v>
      </c>
      <c r="F178" s="6">
        <f>0.05*Input_Table[[#This Row],[TOTAL C.O.G.S]]</f>
        <v>8.8680000000000003</v>
      </c>
      <c r="G178" s="6" t="str">
        <f>_xlfn.XLOOKUP(Input_Table[[#This Row],[INVOICE ID]],'SuperMarket Analysis'!A:A,'SuperMarket Analysis'!B:B)</f>
        <v>Alex</v>
      </c>
      <c r="H178" s="6" t="str">
        <f>_xlfn.XLOOKUP(Input_Table[[#This Row],[INVOICE ID]],'SuperMarket Analysis'!A:A,'SuperMarket Analysis'!F:F)</f>
        <v>Food and beverages</v>
      </c>
      <c r="I178" s="12">
        <f>_xlfn.XLOOKUP(Input_Table[[#This Row],[INVOICE ID]],'SuperMarket Analysis'!A:A,'SuperMarket Analysis'!G:G)</f>
        <v>22.17</v>
      </c>
      <c r="J178" s="12">
        <f>_xlfn.XLOOKUP(Input_Table[[#This Row],[INVOICE ID]],'SuperMarket Analysis'!A:A,'SuperMarket Analysis'!N:N)</f>
        <v>177.36</v>
      </c>
      <c r="K178" s="12">
        <f>_xlfn.XLOOKUP(Input_Table[[#This Row],[INVOICE ID]],'SuperMarket Analysis'!A:A,'SuperMarket Analysis'!J:J)</f>
        <v>186.22800000000001</v>
      </c>
      <c r="L178" s="6">
        <f>DAY(Input_Table[[#This Row],[DATE]])</f>
        <v>17</v>
      </c>
      <c r="M178" s="6" t="str">
        <f>TEXT(Input_Table[[#This Row],[DATE]],"mmmm")</f>
        <v>February</v>
      </c>
      <c r="N178" s="6">
        <f>YEAR(Input_Table[[#This Row],[DATE]])</f>
        <v>2019</v>
      </c>
    </row>
    <row r="179" spans="1:14" x14ac:dyDescent="0.3">
      <c r="A179" s="2">
        <f>_xlfn.XLOOKUP(B179,SuperMarket_Analysis[Invoice ID],SuperMarket_Analysis[Date])</f>
        <v>43538</v>
      </c>
      <c r="B179" s="6" t="s">
        <v>210</v>
      </c>
      <c r="C179" s="7">
        <f>_xlfn.XLOOKUP(B179,SuperMarket_Analysis[Invoice ID],SuperMarket_Analysis[Quantity])</f>
        <v>7</v>
      </c>
      <c r="D179" s="6" t="str">
        <f>_xlfn.XLOOKUP('Input data'!B179,'SuperMarket Analysis'!A:A,'SuperMarket Analysis'!F:F)</f>
        <v>Fashion accessories</v>
      </c>
      <c r="E179" s="6" t="str">
        <f>_xlfn.XLOOKUP(B179,'SuperMarket Analysis'!A:A,'SuperMarket Analysis'!M:M)</f>
        <v>Credit card</v>
      </c>
      <c r="F179" s="6">
        <f>0.05*Input_Table[[#This Row],[TOTAL C.O.G.S]]</f>
        <v>7.8784999999999998</v>
      </c>
      <c r="G179" s="6" t="str">
        <f>_xlfn.XLOOKUP(Input_Table[[#This Row],[INVOICE ID]],'SuperMarket Analysis'!A:A,'SuperMarket Analysis'!B:B)</f>
        <v>Giza</v>
      </c>
      <c r="H179" s="6" t="str">
        <f>_xlfn.XLOOKUP(Input_Table[[#This Row],[INVOICE ID]],'SuperMarket Analysis'!A:A,'SuperMarket Analysis'!F:F)</f>
        <v>Fashion accessories</v>
      </c>
      <c r="I179" s="12">
        <f>_xlfn.XLOOKUP(Input_Table[[#This Row],[INVOICE ID]],'SuperMarket Analysis'!A:A,'SuperMarket Analysis'!G:G)</f>
        <v>22.51</v>
      </c>
      <c r="J179" s="12">
        <f>_xlfn.XLOOKUP(Input_Table[[#This Row],[INVOICE ID]],'SuperMarket Analysis'!A:A,'SuperMarket Analysis'!N:N)</f>
        <v>157.57</v>
      </c>
      <c r="K179" s="12">
        <f>_xlfn.XLOOKUP(Input_Table[[#This Row],[INVOICE ID]],'SuperMarket Analysis'!A:A,'SuperMarket Analysis'!J:J)</f>
        <v>165.4485</v>
      </c>
      <c r="L179" s="6">
        <f>DAY(Input_Table[[#This Row],[DATE]])</f>
        <v>14</v>
      </c>
      <c r="M179" s="6" t="str">
        <f>TEXT(Input_Table[[#This Row],[DATE]],"mmmm")</f>
        <v>March</v>
      </c>
      <c r="N179" s="6">
        <f>YEAR(Input_Table[[#This Row],[DATE]])</f>
        <v>2019</v>
      </c>
    </row>
    <row r="180" spans="1:14" x14ac:dyDescent="0.3">
      <c r="A180" s="2">
        <f>_xlfn.XLOOKUP(B180,SuperMarket_Analysis[Invoice ID],SuperMarket_Analysis[Date])</f>
        <v>43548</v>
      </c>
      <c r="B180" s="6" t="s">
        <v>211</v>
      </c>
      <c r="C180" s="7">
        <f>_xlfn.XLOOKUP(B180,SuperMarket_Analysis[Invoice ID],SuperMarket_Analysis[Quantity])</f>
        <v>6</v>
      </c>
      <c r="D180" s="6" t="str">
        <f>_xlfn.XLOOKUP('Input data'!B180,'SuperMarket Analysis'!A:A,'SuperMarket Analysis'!F:F)</f>
        <v>Food and beverages</v>
      </c>
      <c r="E180" s="6" t="str">
        <f>_xlfn.XLOOKUP(B180,'SuperMarket Analysis'!A:A,'SuperMarket Analysis'!M:M)</f>
        <v>Ewallet</v>
      </c>
      <c r="F180" s="6">
        <f>0.05*Input_Table[[#This Row],[TOTAL C.O.G.S]]</f>
        <v>22.164000000000001</v>
      </c>
      <c r="G180" s="6" t="str">
        <f>_xlfn.XLOOKUP(Input_Table[[#This Row],[INVOICE ID]],'SuperMarket Analysis'!A:A,'SuperMarket Analysis'!B:B)</f>
        <v>Alex</v>
      </c>
      <c r="H180" s="6" t="str">
        <f>_xlfn.XLOOKUP(Input_Table[[#This Row],[INVOICE ID]],'SuperMarket Analysis'!A:A,'SuperMarket Analysis'!F:F)</f>
        <v>Food and beverages</v>
      </c>
      <c r="I180" s="12">
        <f>_xlfn.XLOOKUP(Input_Table[[#This Row],[INVOICE ID]],'SuperMarket Analysis'!A:A,'SuperMarket Analysis'!G:G)</f>
        <v>73.88</v>
      </c>
      <c r="J180" s="12">
        <f>_xlfn.XLOOKUP(Input_Table[[#This Row],[INVOICE ID]],'SuperMarket Analysis'!A:A,'SuperMarket Analysis'!N:N)</f>
        <v>443.28</v>
      </c>
      <c r="K180" s="12">
        <f>_xlfn.XLOOKUP(Input_Table[[#This Row],[INVOICE ID]],'SuperMarket Analysis'!A:A,'SuperMarket Analysis'!J:J)</f>
        <v>465.44400000000002</v>
      </c>
      <c r="L180" s="6">
        <f>DAY(Input_Table[[#This Row],[DATE]])</f>
        <v>24</v>
      </c>
      <c r="M180" s="6" t="str">
        <f>TEXT(Input_Table[[#This Row],[DATE]],"mmmm")</f>
        <v>March</v>
      </c>
      <c r="N180" s="6">
        <f>YEAR(Input_Table[[#This Row],[DATE]])</f>
        <v>2019</v>
      </c>
    </row>
    <row r="181" spans="1:14" x14ac:dyDescent="0.3">
      <c r="A181" s="2">
        <f>_xlfn.XLOOKUP(B181,SuperMarket_Analysis[Invoice ID],SuperMarket_Analysis[Date])</f>
        <v>43545</v>
      </c>
      <c r="B181" s="6" t="s">
        <v>212</v>
      </c>
      <c r="C181" s="7">
        <f>_xlfn.XLOOKUP(B181,SuperMarket_Analysis[Invoice ID],SuperMarket_Analysis[Quantity])</f>
        <v>3</v>
      </c>
      <c r="D181" s="6" t="str">
        <f>_xlfn.XLOOKUP('Input data'!B181,'SuperMarket Analysis'!A:A,'SuperMarket Analysis'!F:F)</f>
        <v>Health and beauty</v>
      </c>
      <c r="E181" s="6" t="str">
        <f>_xlfn.XLOOKUP(B181,'SuperMarket Analysis'!A:A,'SuperMarket Analysis'!M:M)</f>
        <v>Ewallet</v>
      </c>
      <c r="F181" s="6">
        <f>0.05*Input_Table[[#This Row],[TOTAL C.O.G.S]]</f>
        <v>13.02</v>
      </c>
      <c r="G181" s="6" t="str">
        <f>_xlfn.XLOOKUP(Input_Table[[#This Row],[INVOICE ID]],'SuperMarket Analysis'!A:A,'SuperMarket Analysis'!B:B)</f>
        <v>Giza</v>
      </c>
      <c r="H181" s="6" t="str">
        <f>_xlfn.XLOOKUP(Input_Table[[#This Row],[INVOICE ID]],'SuperMarket Analysis'!A:A,'SuperMarket Analysis'!F:F)</f>
        <v>Health and beauty</v>
      </c>
      <c r="I181" s="12">
        <f>_xlfn.XLOOKUP(Input_Table[[#This Row],[INVOICE ID]],'SuperMarket Analysis'!A:A,'SuperMarket Analysis'!G:G)</f>
        <v>86.8</v>
      </c>
      <c r="J181" s="12">
        <f>_xlfn.XLOOKUP(Input_Table[[#This Row],[INVOICE ID]],'SuperMarket Analysis'!A:A,'SuperMarket Analysis'!N:N)</f>
        <v>260.39999999999998</v>
      </c>
      <c r="K181" s="12">
        <f>_xlfn.XLOOKUP(Input_Table[[#This Row],[INVOICE ID]],'SuperMarket Analysis'!A:A,'SuperMarket Analysis'!J:J)</f>
        <v>273.42</v>
      </c>
      <c r="L181" s="6">
        <f>DAY(Input_Table[[#This Row],[DATE]])</f>
        <v>21</v>
      </c>
      <c r="M181" s="6" t="str">
        <f>TEXT(Input_Table[[#This Row],[DATE]],"mmmm")</f>
        <v>March</v>
      </c>
      <c r="N181" s="6">
        <f>YEAR(Input_Table[[#This Row],[DATE]])</f>
        <v>2019</v>
      </c>
    </row>
    <row r="182" spans="1:14" x14ac:dyDescent="0.3">
      <c r="A182" s="2">
        <f>_xlfn.XLOOKUP(B182,SuperMarket_Analysis[Invoice ID],SuperMarket_Analysis[Date])</f>
        <v>43543</v>
      </c>
      <c r="B182" s="6" t="s">
        <v>213</v>
      </c>
      <c r="C182" s="7">
        <f>_xlfn.XLOOKUP(B182,SuperMarket_Analysis[Invoice ID],SuperMarket_Analysis[Quantity])</f>
        <v>7</v>
      </c>
      <c r="D182" s="6" t="str">
        <f>_xlfn.XLOOKUP('Input data'!B182,'SuperMarket Analysis'!A:A,'SuperMarket Analysis'!F:F)</f>
        <v>Fashion accessories</v>
      </c>
      <c r="E182" s="6" t="str">
        <f>_xlfn.XLOOKUP(B182,'SuperMarket Analysis'!A:A,'SuperMarket Analysis'!M:M)</f>
        <v>Cash</v>
      </c>
      <c r="F182" s="6">
        <f>0.05*Input_Table[[#This Row],[TOTAL C.O.G.S]]</f>
        <v>22.491</v>
      </c>
      <c r="G182" s="6" t="str">
        <f>_xlfn.XLOOKUP(Input_Table[[#This Row],[INVOICE ID]],'SuperMarket Analysis'!A:A,'SuperMarket Analysis'!B:B)</f>
        <v>Giza</v>
      </c>
      <c r="H182" s="6" t="str">
        <f>_xlfn.XLOOKUP(Input_Table[[#This Row],[INVOICE ID]],'SuperMarket Analysis'!A:A,'SuperMarket Analysis'!F:F)</f>
        <v>Fashion accessories</v>
      </c>
      <c r="I182" s="12">
        <f>_xlfn.XLOOKUP(Input_Table[[#This Row],[INVOICE ID]],'SuperMarket Analysis'!A:A,'SuperMarket Analysis'!G:G)</f>
        <v>64.260000000000005</v>
      </c>
      <c r="J182" s="12">
        <f>_xlfn.XLOOKUP(Input_Table[[#This Row],[INVOICE ID]],'SuperMarket Analysis'!A:A,'SuperMarket Analysis'!N:N)</f>
        <v>449.82</v>
      </c>
      <c r="K182" s="12">
        <f>_xlfn.XLOOKUP(Input_Table[[#This Row],[INVOICE ID]],'SuperMarket Analysis'!A:A,'SuperMarket Analysis'!J:J)</f>
        <v>472.31099999999998</v>
      </c>
      <c r="L182" s="6">
        <f>DAY(Input_Table[[#This Row],[DATE]])</f>
        <v>19</v>
      </c>
      <c r="M182" s="6" t="str">
        <f>TEXT(Input_Table[[#This Row],[DATE]],"mmmm")</f>
        <v>March</v>
      </c>
      <c r="N182" s="6">
        <f>YEAR(Input_Table[[#This Row],[DATE]])</f>
        <v>2019</v>
      </c>
    </row>
    <row r="183" spans="1:14" x14ac:dyDescent="0.3">
      <c r="A183" s="2">
        <f>_xlfn.XLOOKUP(B183,SuperMarket_Analysis[Invoice ID],SuperMarket_Analysis[Date])</f>
        <v>43520</v>
      </c>
      <c r="B183" s="6" t="s">
        <v>214</v>
      </c>
      <c r="C183" s="7">
        <f>_xlfn.XLOOKUP(B183,SuperMarket_Analysis[Invoice ID],SuperMarket_Analysis[Quantity])</f>
        <v>8</v>
      </c>
      <c r="D183" s="6" t="str">
        <f>_xlfn.XLOOKUP('Input data'!B183,'SuperMarket Analysis'!A:A,'SuperMarket Analysis'!F:F)</f>
        <v>Food and beverages</v>
      </c>
      <c r="E183" s="6" t="str">
        <f>_xlfn.XLOOKUP(B183,'SuperMarket Analysis'!A:A,'SuperMarket Analysis'!M:M)</f>
        <v>Cash</v>
      </c>
      <c r="F183" s="6">
        <f>0.05*Input_Table[[#This Row],[TOTAL C.O.G.S]]</f>
        <v>15.388</v>
      </c>
      <c r="G183" s="6" t="str">
        <f>_xlfn.XLOOKUP(Input_Table[[#This Row],[INVOICE ID]],'SuperMarket Analysis'!A:A,'SuperMarket Analysis'!B:B)</f>
        <v>Giza</v>
      </c>
      <c r="H183" s="6" t="str">
        <f>_xlfn.XLOOKUP(Input_Table[[#This Row],[INVOICE ID]],'SuperMarket Analysis'!A:A,'SuperMarket Analysis'!F:F)</f>
        <v>Food and beverages</v>
      </c>
      <c r="I183" s="12">
        <f>_xlfn.XLOOKUP(Input_Table[[#This Row],[INVOICE ID]],'SuperMarket Analysis'!A:A,'SuperMarket Analysis'!G:G)</f>
        <v>38.47</v>
      </c>
      <c r="J183" s="12">
        <f>_xlfn.XLOOKUP(Input_Table[[#This Row],[INVOICE ID]],'SuperMarket Analysis'!A:A,'SuperMarket Analysis'!N:N)</f>
        <v>307.76</v>
      </c>
      <c r="K183" s="12">
        <f>_xlfn.XLOOKUP(Input_Table[[#This Row],[INVOICE ID]],'SuperMarket Analysis'!A:A,'SuperMarket Analysis'!J:J)</f>
        <v>323.14800000000002</v>
      </c>
      <c r="L183" s="6">
        <f>DAY(Input_Table[[#This Row],[DATE]])</f>
        <v>24</v>
      </c>
      <c r="M183" s="6" t="str">
        <f>TEXT(Input_Table[[#This Row],[DATE]],"mmmm")</f>
        <v>February</v>
      </c>
      <c r="N183" s="6">
        <f>YEAR(Input_Table[[#This Row],[DATE]])</f>
        <v>2019</v>
      </c>
    </row>
    <row r="184" spans="1:14" x14ac:dyDescent="0.3">
      <c r="A184" s="2">
        <f>_xlfn.XLOOKUP(B184,SuperMarket_Analysis[Invoice ID],SuperMarket_Analysis[Date])</f>
        <v>43552</v>
      </c>
      <c r="B184" s="6" t="s">
        <v>215</v>
      </c>
      <c r="C184" s="7">
        <f>_xlfn.XLOOKUP(B184,SuperMarket_Analysis[Invoice ID],SuperMarket_Analysis[Quantity])</f>
        <v>10</v>
      </c>
      <c r="D184" s="6" t="str">
        <f>_xlfn.XLOOKUP('Input data'!B184,'SuperMarket Analysis'!A:A,'SuperMarket Analysis'!F:F)</f>
        <v>Sports and travel</v>
      </c>
      <c r="E184" s="6" t="str">
        <f>_xlfn.XLOOKUP(B184,'SuperMarket Analysis'!A:A,'SuperMarket Analysis'!M:M)</f>
        <v>Ewallet</v>
      </c>
      <c r="F184" s="6">
        <f>0.05*Input_Table[[#This Row],[TOTAL C.O.G.S]]</f>
        <v>7.75</v>
      </c>
      <c r="G184" s="6" t="str">
        <f>_xlfn.XLOOKUP(Input_Table[[#This Row],[INVOICE ID]],'SuperMarket Analysis'!A:A,'SuperMarket Analysis'!B:B)</f>
        <v>Alex</v>
      </c>
      <c r="H184" s="6" t="str">
        <f>_xlfn.XLOOKUP(Input_Table[[#This Row],[INVOICE ID]],'SuperMarket Analysis'!A:A,'SuperMarket Analysis'!F:F)</f>
        <v>Sports and travel</v>
      </c>
      <c r="I184" s="12">
        <f>_xlfn.XLOOKUP(Input_Table[[#This Row],[INVOICE ID]],'SuperMarket Analysis'!A:A,'SuperMarket Analysis'!G:G)</f>
        <v>15.5</v>
      </c>
      <c r="J184" s="12">
        <f>_xlfn.XLOOKUP(Input_Table[[#This Row],[INVOICE ID]],'SuperMarket Analysis'!A:A,'SuperMarket Analysis'!N:N)</f>
        <v>155</v>
      </c>
      <c r="K184" s="12">
        <f>_xlfn.XLOOKUP(Input_Table[[#This Row],[INVOICE ID]],'SuperMarket Analysis'!A:A,'SuperMarket Analysis'!J:J)</f>
        <v>162.75</v>
      </c>
      <c r="L184" s="6">
        <f>DAY(Input_Table[[#This Row],[DATE]])</f>
        <v>28</v>
      </c>
      <c r="M184" s="6" t="str">
        <f>TEXT(Input_Table[[#This Row],[DATE]],"mmmm")</f>
        <v>March</v>
      </c>
      <c r="N184" s="6">
        <f>YEAR(Input_Table[[#This Row],[DATE]])</f>
        <v>2019</v>
      </c>
    </row>
    <row r="185" spans="1:14" x14ac:dyDescent="0.3">
      <c r="A185" s="2">
        <f>_xlfn.XLOOKUP(B185,SuperMarket_Analysis[Invoice ID],SuperMarket_Analysis[Date])</f>
        <v>43511</v>
      </c>
      <c r="B185" s="6" t="s">
        <v>216</v>
      </c>
      <c r="C185" s="7">
        <f>_xlfn.XLOOKUP(B185,SuperMarket_Analysis[Invoice ID],SuperMarket_Analysis[Quantity])</f>
        <v>8</v>
      </c>
      <c r="D185" s="6" t="str">
        <f>_xlfn.XLOOKUP('Input data'!B185,'SuperMarket Analysis'!A:A,'SuperMarket Analysis'!F:F)</f>
        <v>Health and beauty</v>
      </c>
      <c r="E185" s="6" t="str">
        <f>_xlfn.XLOOKUP(B185,'SuperMarket Analysis'!A:A,'SuperMarket Analysis'!M:M)</f>
        <v>Ewallet</v>
      </c>
      <c r="F185" s="6">
        <f>0.05*Input_Table[[#This Row],[TOTAL C.O.G.S]]</f>
        <v>13.724000000000002</v>
      </c>
      <c r="G185" s="6" t="str">
        <f>_xlfn.XLOOKUP(Input_Table[[#This Row],[INVOICE ID]],'SuperMarket Analysis'!A:A,'SuperMarket Analysis'!B:B)</f>
        <v>Giza</v>
      </c>
      <c r="H185" s="6" t="str">
        <f>_xlfn.XLOOKUP(Input_Table[[#This Row],[INVOICE ID]],'SuperMarket Analysis'!A:A,'SuperMarket Analysis'!F:F)</f>
        <v>Health and beauty</v>
      </c>
      <c r="I185" s="12">
        <f>_xlfn.XLOOKUP(Input_Table[[#This Row],[INVOICE ID]],'SuperMarket Analysis'!A:A,'SuperMarket Analysis'!G:G)</f>
        <v>34.31</v>
      </c>
      <c r="J185" s="12">
        <f>_xlfn.XLOOKUP(Input_Table[[#This Row],[INVOICE ID]],'SuperMarket Analysis'!A:A,'SuperMarket Analysis'!N:N)</f>
        <v>274.48</v>
      </c>
      <c r="K185" s="12">
        <f>_xlfn.XLOOKUP(Input_Table[[#This Row],[INVOICE ID]],'SuperMarket Analysis'!A:A,'SuperMarket Analysis'!J:J)</f>
        <v>288.20400000000001</v>
      </c>
      <c r="L185" s="6">
        <f>DAY(Input_Table[[#This Row],[DATE]])</f>
        <v>15</v>
      </c>
      <c r="M185" s="6" t="str">
        <f>TEXT(Input_Table[[#This Row],[DATE]],"mmmm")</f>
        <v>February</v>
      </c>
      <c r="N185" s="6">
        <f>YEAR(Input_Table[[#This Row],[DATE]])</f>
        <v>2019</v>
      </c>
    </row>
    <row r="186" spans="1:14" x14ac:dyDescent="0.3">
      <c r="A186" s="2">
        <f>_xlfn.XLOOKUP(B186,SuperMarket_Analysis[Invoice ID],SuperMarket_Analysis[Date])</f>
        <v>43495</v>
      </c>
      <c r="B186" s="6" t="s">
        <v>217</v>
      </c>
      <c r="C186" s="7">
        <f>_xlfn.XLOOKUP(B186,SuperMarket_Analysis[Invoice ID],SuperMarket_Analysis[Quantity])</f>
        <v>7</v>
      </c>
      <c r="D186" s="6" t="str">
        <f>_xlfn.XLOOKUP('Input data'!B186,'SuperMarket Analysis'!A:A,'SuperMarket Analysis'!F:F)</f>
        <v>Sports and travel</v>
      </c>
      <c r="E186" s="6" t="str">
        <f>_xlfn.XLOOKUP(B186,'SuperMarket Analysis'!A:A,'SuperMarket Analysis'!M:M)</f>
        <v>Credit card</v>
      </c>
      <c r="F186" s="6">
        <f>0.05*Input_Table[[#This Row],[TOTAL C.O.G.S]]</f>
        <v>4.319</v>
      </c>
      <c r="G186" s="6" t="str">
        <f>_xlfn.XLOOKUP(Input_Table[[#This Row],[INVOICE ID]],'SuperMarket Analysis'!A:A,'SuperMarket Analysis'!B:B)</f>
        <v>Alex</v>
      </c>
      <c r="H186" s="6" t="str">
        <f>_xlfn.XLOOKUP(Input_Table[[#This Row],[INVOICE ID]],'SuperMarket Analysis'!A:A,'SuperMarket Analysis'!F:F)</f>
        <v>Sports and travel</v>
      </c>
      <c r="I186" s="12">
        <f>_xlfn.XLOOKUP(Input_Table[[#This Row],[INVOICE ID]],'SuperMarket Analysis'!A:A,'SuperMarket Analysis'!G:G)</f>
        <v>12.34</v>
      </c>
      <c r="J186" s="12">
        <f>_xlfn.XLOOKUP(Input_Table[[#This Row],[INVOICE ID]],'SuperMarket Analysis'!A:A,'SuperMarket Analysis'!N:N)</f>
        <v>86.38</v>
      </c>
      <c r="K186" s="12">
        <f>_xlfn.XLOOKUP(Input_Table[[#This Row],[INVOICE ID]],'SuperMarket Analysis'!A:A,'SuperMarket Analysis'!J:J)</f>
        <v>90.698999999999998</v>
      </c>
      <c r="L186" s="6">
        <f>DAY(Input_Table[[#This Row],[DATE]])</f>
        <v>30</v>
      </c>
      <c r="M186" s="6" t="str">
        <f>TEXT(Input_Table[[#This Row],[DATE]],"mmmm")</f>
        <v>January</v>
      </c>
      <c r="N186" s="6">
        <f>YEAR(Input_Table[[#This Row],[DATE]])</f>
        <v>2019</v>
      </c>
    </row>
    <row r="187" spans="1:14" x14ac:dyDescent="0.3">
      <c r="A187" s="2">
        <f>_xlfn.XLOOKUP(B187,SuperMarket_Analysis[Invoice ID],SuperMarket_Analysis[Date])</f>
        <v>43510</v>
      </c>
      <c r="B187" s="6" t="s">
        <v>218</v>
      </c>
      <c r="C187" s="7">
        <f>_xlfn.XLOOKUP(B187,SuperMarket_Analysis[Invoice ID],SuperMarket_Analysis[Quantity])</f>
        <v>3</v>
      </c>
      <c r="D187" s="6" t="str">
        <f>_xlfn.XLOOKUP('Input data'!B187,'SuperMarket Analysis'!A:A,'SuperMarket Analysis'!F:F)</f>
        <v>Food and beverages</v>
      </c>
      <c r="E187" s="6" t="str">
        <f>_xlfn.XLOOKUP(B187,'SuperMarket Analysis'!A:A,'SuperMarket Analysis'!M:M)</f>
        <v>Ewallet</v>
      </c>
      <c r="F187" s="6">
        <f>0.05*Input_Table[[#This Row],[TOTAL C.O.G.S]]</f>
        <v>2.7120000000000002</v>
      </c>
      <c r="G187" s="6" t="str">
        <f>_xlfn.XLOOKUP(Input_Table[[#This Row],[INVOICE ID]],'SuperMarket Analysis'!A:A,'SuperMarket Analysis'!B:B)</f>
        <v>Cairo</v>
      </c>
      <c r="H187" s="6" t="str">
        <f>_xlfn.XLOOKUP(Input_Table[[#This Row],[INVOICE ID]],'SuperMarket Analysis'!A:A,'SuperMarket Analysis'!F:F)</f>
        <v>Food and beverages</v>
      </c>
      <c r="I187" s="12">
        <f>_xlfn.XLOOKUP(Input_Table[[#This Row],[INVOICE ID]],'SuperMarket Analysis'!A:A,'SuperMarket Analysis'!G:G)</f>
        <v>18.079999999999998</v>
      </c>
      <c r="J187" s="12">
        <f>_xlfn.XLOOKUP(Input_Table[[#This Row],[INVOICE ID]],'SuperMarket Analysis'!A:A,'SuperMarket Analysis'!N:N)</f>
        <v>54.24</v>
      </c>
      <c r="K187" s="12">
        <f>_xlfn.XLOOKUP(Input_Table[[#This Row],[INVOICE ID]],'SuperMarket Analysis'!A:A,'SuperMarket Analysis'!J:J)</f>
        <v>56.951999999999998</v>
      </c>
      <c r="L187" s="6">
        <f>DAY(Input_Table[[#This Row],[DATE]])</f>
        <v>14</v>
      </c>
      <c r="M187" s="6" t="str">
        <f>TEXT(Input_Table[[#This Row],[DATE]],"mmmm")</f>
        <v>February</v>
      </c>
      <c r="N187" s="6">
        <f>YEAR(Input_Table[[#This Row],[DATE]])</f>
        <v>2019</v>
      </c>
    </row>
    <row r="188" spans="1:14" x14ac:dyDescent="0.3">
      <c r="A188" s="2">
        <f>_xlfn.XLOOKUP(B188,SuperMarket_Analysis[Invoice ID],SuperMarket_Analysis[Date])</f>
        <v>43523</v>
      </c>
      <c r="B188" s="6" t="s">
        <v>219</v>
      </c>
      <c r="C188" s="7">
        <f>_xlfn.XLOOKUP(B188,SuperMarket_Analysis[Invoice ID],SuperMarket_Analysis[Quantity])</f>
        <v>8</v>
      </c>
      <c r="D188" s="6" t="str">
        <f>_xlfn.XLOOKUP('Input data'!B188,'SuperMarket Analysis'!A:A,'SuperMarket Analysis'!F:F)</f>
        <v>Home and lifestyle</v>
      </c>
      <c r="E188" s="6" t="str">
        <f>_xlfn.XLOOKUP(B188,'SuperMarket Analysis'!A:A,'SuperMarket Analysis'!M:M)</f>
        <v>Ewallet</v>
      </c>
      <c r="F188" s="6">
        <f>0.05*Input_Table[[#This Row],[TOTAL C.O.G.S]]</f>
        <v>37.795999999999999</v>
      </c>
      <c r="G188" s="6" t="str">
        <f>_xlfn.XLOOKUP(Input_Table[[#This Row],[INVOICE ID]],'SuperMarket Analysis'!A:A,'SuperMarket Analysis'!B:B)</f>
        <v>Cairo</v>
      </c>
      <c r="H188" s="6" t="str">
        <f>_xlfn.XLOOKUP(Input_Table[[#This Row],[INVOICE ID]],'SuperMarket Analysis'!A:A,'SuperMarket Analysis'!F:F)</f>
        <v>Home and lifestyle</v>
      </c>
      <c r="I188" s="12">
        <f>_xlfn.XLOOKUP(Input_Table[[#This Row],[INVOICE ID]],'SuperMarket Analysis'!A:A,'SuperMarket Analysis'!G:G)</f>
        <v>94.49</v>
      </c>
      <c r="J188" s="12">
        <f>_xlfn.XLOOKUP(Input_Table[[#This Row],[INVOICE ID]],'SuperMarket Analysis'!A:A,'SuperMarket Analysis'!N:N)</f>
        <v>755.92</v>
      </c>
      <c r="K188" s="12">
        <f>_xlfn.XLOOKUP(Input_Table[[#This Row],[INVOICE ID]],'SuperMarket Analysis'!A:A,'SuperMarket Analysis'!J:J)</f>
        <v>793.71600000000001</v>
      </c>
      <c r="L188" s="6">
        <f>DAY(Input_Table[[#This Row],[DATE]])</f>
        <v>27</v>
      </c>
      <c r="M188" s="6" t="str">
        <f>TEXT(Input_Table[[#This Row],[DATE]],"mmmm")</f>
        <v>February</v>
      </c>
      <c r="N188" s="6">
        <f>YEAR(Input_Table[[#This Row],[DATE]])</f>
        <v>2019</v>
      </c>
    </row>
    <row r="189" spans="1:14" x14ac:dyDescent="0.3">
      <c r="A189" s="2">
        <f>_xlfn.XLOOKUP(B189,SuperMarket_Analysis[Invoice ID],SuperMarket_Analysis[Date])</f>
        <v>43485</v>
      </c>
      <c r="B189" s="6" t="s">
        <v>220</v>
      </c>
      <c r="C189" s="7">
        <f>_xlfn.XLOOKUP(B189,SuperMarket_Analysis[Invoice ID],SuperMarket_Analysis[Quantity])</f>
        <v>4</v>
      </c>
      <c r="D189" s="6" t="str">
        <f>_xlfn.XLOOKUP('Input data'!B189,'SuperMarket Analysis'!A:A,'SuperMarket Analysis'!F:F)</f>
        <v>Home and lifestyle</v>
      </c>
      <c r="E189" s="6" t="str">
        <f>_xlfn.XLOOKUP(B189,'SuperMarket Analysis'!A:A,'SuperMarket Analysis'!M:M)</f>
        <v>Cash</v>
      </c>
      <c r="F189" s="6">
        <f>0.05*Input_Table[[#This Row],[TOTAL C.O.G.S]]</f>
        <v>9.2940000000000005</v>
      </c>
      <c r="G189" s="6" t="str">
        <f>_xlfn.XLOOKUP(Input_Table[[#This Row],[INVOICE ID]],'SuperMarket Analysis'!A:A,'SuperMarket Analysis'!B:B)</f>
        <v>Cairo</v>
      </c>
      <c r="H189" s="6" t="str">
        <f>_xlfn.XLOOKUP(Input_Table[[#This Row],[INVOICE ID]],'SuperMarket Analysis'!A:A,'SuperMarket Analysis'!F:F)</f>
        <v>Home and lifestyle</v>
      </c>
      <c r="I189" s="12">
        <f>_xlfn.XLOOKUP(Input_Table[[#This Row],[INVOICE ID]],'SuperMarket Analysis'!A:A,'SuperMarket Analysis'!G:G)</f>
        <v>46.47</v>
      </c>
      <c r="J189" s="12">
        <f>_xlfn.XLOOKUP(Input_Table[[#This Row],[INVOICE ID]],'SuperMarket Analysis'!A:A,'SuperMarket Analysis'!N:N)</f>
        <v>185.88</v>
      </c>
      <c r="K189" s="12">
        <f>_xlfn.XLOOKUP(Input_Table[[#This Row],[INVOICE ID]],'SuperMarket Analysis'!A:A,'SuperMarket Analysis'!J:J)</f>
        <v>195.17400000000001</v>
      </c>
      <c r="L189" s="6">
        <f>DAY(Input_Table[[#This Row],[DATE]])</f>
        <v>20</v>
      </c>
      <c r="M189" s="6" t="str">
        <f>TEXT(Input_Table[[#This Row],[DATE]],"mmmm")</f>
        <v>January</v>
      </c>
      <c r="N189" s="6">
        <f>YEAR(Input_Table[[#This Row],[DATE]])</f>
        <v>2019</v>
      </c>
    </row>
    <row r="190" spans="1:14" x14ac:dyDescent="0.3">
      <c r="A190" s="2">
        <f>_xlfn.XLOOKUP(B190,SuperMarket_Analysis[Invoice ID],SuperMarket_Analysis[Date])</f>
        <v>43552</v>
      </c>
      <c r="B190" s="6" t="s">
        <v>221</v>
      </c>
      <c r="C190" s="7">
        <f>_xlfn.XLOOKUP(B190,SuperMarket_Analysis[Invoice ID],SuperMarket_Analysis[Quantity])</f>
        <v>1</v>
      </c>
      <c r="D190" s="6" t="str">
        <f>_xlfn.XLOOKUP('Input data'!B190,'SuperMarket Analysis'!A:A,'SuperMarket Analysis'!F:F)</f>
        <v>Home and lifestyle</v>
      </c>
      <c r="E190" s="6" t="str">
        <f>_xlfn.XLOOKUP(B190,'SuperMarket Analysis'!A:A,'SuperMarket Analysis'!M:M)</f>
        <v>Ewallet</v>
      </c>
      <c r="F190" s="6">
        <f>0.05*Input_Table[[#This Row],[TOTAL C.O.G.S]]</f>
        <v>3.7035</v>
      </c>
      <c r="G190" s="6" t="str">
        <f>_xlfn.XLOOKUP(Input_Table[[#This Row],[INVOICE ID]],'SuperMarket Analysis'!A:A,'SuperMarket Analysis'!B:B)</f>
        <v>Alex</v>
      </c>
      <c r="H190" s="6" t="str">
        <f>_xlfn.XLOOKUP(Input_Table[[#This Row],[INVOICE ID]],'SuperMarket Analysis'!A:A,'SuperMarket Analysis'!F:F)</f>
        <v>Home and lifestyle</v>
      </c>
      <c r="I190" s="12">
        <f>_xlfn.XLOOKUP(Input_Table[[#This Row],[INVOICE ID]],'SuperMarket Analysis'!A:A,'SuperMarket Analysis'!G:G)</f>
        <v>74.069999999999993</v>
      </c>
      <c r="J190" s="12">
        <f>_xlfn.XLOOKUP(Input_Table[[#This Row],[INVOICE ID]],'SuperMarket Analysis'!A:A,'SuperMarket Analysis'!N:N)</f>
        <v>74.069999999999993</v>
      </c>
      <c r="K190" s="12">
        <f>_xlfn.XLOOKUP(Input_Table[[#This Row],[INVOICE ID]],'SuperMarket Analysis'!A:A,'SuperMarket Analysis'!J:J)</f>
        <v>77.773499999999999</v>
      </c>
      <c r="L190" s="6">
        <f>DAY(Input_Table[[#This Row],[DATE]])</f>
        <v>28</v>
      </c>
      <c r="M190" s="6" t="str">
        <f>TEXT(Input_Table[[#This Row],[DATE]],"mmmm")</f>
        <v>March</v>
      </c>
      <c r="N190" s="6">
        <f>YEAR(Input_Table[[#This Row],[DATE]])</f>
        <v>2019</v>
      </c>
    </row>
    <row r="191" spans="1:14" x14ac:dyDescent="0.3">
      <c r="A191" s="2">
        <f>_xlfn.XLOOKUP(B191,SuperMarket_Analysis[Invoice ID],SuperMarket_Analysis[Date])</f>
        <v>43523</v>
      </c>
      <c r="B191" s="6" t="s">
        <v>222</v>
      </c>
      <c r="C191" s="7">
        <f>_xlfn.XLOOKUP(B191,SuperMarket_Analysis[Invoice ID],SuperMarket_Analysis[Quantity])</f>
        <v>4</v>
      </c>
      <c r="D191" s="6" t="str">
        <f>_xlfn.XLOOKUP('Input data'!B191,'SuperMarket Analysis'!A:A,'SuperMarket Analysis'!F:F)</f>
        <v>Home and lifestyle</v>
      </c>
      <c r="E191" s="6" t="str">
        <f>_xlfn.XLOOKUP(B191,'SuperMarket Analysis'!A:A,'SuperMarket Analysis'!M:M)</f>
        <v>Credit card</v>
      </c>
      <c r="F191" s="6">
        <f>0.05*Input_Table[[#This Row],[TOTAL C.O.G.S]]</f>
        <v>13.962000000000002</v>
      </c>
      <c r="G191" s="6" t="str">
        <f>_xlfn.XLOOKUP(Input_Table[[#This Row],[INVOICE ID]],'SuperMarket Analysis'!A:A,'SuperMarket Analysis'!B:B)</f>
        <v>Giza</v>
      </c>
      <c r="H191" s="6" t="str">
        <f>_xlfn.XLOOKUP(Input_Table[[#This Row],[INVOICE ID]],'SuperMarket Analysis'!A:A,'SuperMarket Analysis'!F:F)</f>
        <v>Home and lifestyle</v>
      </c>
      <c r="I191" s="12">
        <f>_xlfn.XLOOKUP(Input_Table[[#This Row],[INVOICE ID]],'SuperMarket Analysis'!A:A,'SuperMarket Analysis'!G:G)</f>
        <v>69.81</v>
      </c>
      <c r="J191" s="12">
        <f>_xlfn.XLOOKUP(Input_Table[[#This Row],[INVOICE ID]],'SuperMarket Analysis'!A:A,'SuperMarket Analysis'!N:N)</f>
        <v>279.24</v>
      </c>
      <c r="K191" s="12">
        <f>_xlfn.XLOOKUP(Input_Table[[#This Row],[INVOICE ID]],'SuperMarket Analysis'!A:A,'SuperMarket Analysis'!J:J)</f>
        <v>293.202</v>
      </c>
      <c r="L191" s="6">
        <f>DAY(Input_Table[[#This Row],[DATE]])</f>
        <v>27</v>
      </c>
      <c r="M191" s="6" t="str">
        <f>TEXT(Input_Table[[#This Row],[DATE]],"mmmm")</f>
        <v>February</v>
      </c>
      <c r="N191" s="6">
        <f>YEAR(Input_Table[[#This Row],[DATE]])</f>
        <v>2019</v>
      </c>
    </row>
    <row r="192" spans="1:14" x14ac:dyDescent="0.3">
      <c r="A192" s="2">
        <f>_xlfn.XLOOKUP(B192,SuperMarket_Analysis[Invoice ID],SuperMarket_Analysis[Date])</f>
        <v>43511</v>
      </c>
      <c r="B192" s="6" t="s">
        <v>223</v>
      </c>
      <c r="C192" s="7">
        <f>_xlfn.XLOOKUP(B192,SuperMarket_Analysis[Invoice ID],SuperMarket_Analysis[Quantity])</f>
        <v>3</v>
      </c>
      <c r="D192" s="6" t="str">
        <f>_xlfn.XLOOKUP('Input data'!B192,'SuperMarket Analysis'!A:A,'SuperMarket Analysis'!F:F)</f>
        <v>Home and lifestyle</v>
      </c>
      <c r="E192" s="6" t="str">
        <f>_xlfn.XLOOKUP(B192,'SuperMarket Analysis'!A:A,'SuperMarket Analysis'!M:M)</f>
        <v>Credit card</v>
      </c>
      <c r="F192" s="6">
        <f>0.05*Input_Table[[#This Row],[TOTAL C.O.G.S]]</f>
        <v>11.556000000000001</v>
      </c>
      <c r="G192" s="6" t="str">
        <f>_xlfn.XLOOKUP(Input_Table[[#This Row],[INVOICE ID]],'SuperMarket Analysis'!A:A,'SuperMarket Analysis'!B:B)</f>
        <v>Cairo</v>
      </c>
      <c r="H192" s="6" t="str">
        <f>_xlfn.XLOOKUP(Input_Table[[#This Row],[INVOICE ID]],'SuperMarket Analysis'!A:A,'SuperMarket Analysis'!F:F)</f>
        <v>Home and lifestyle</v>
      </c>
      <c r="I192" s="12">
        <f>_xlfn.XLOOKUP(Input_Table[[#This Row],[INVOICE ID]],'SuperMarket Analysis'!A:A,'SuperMarket Analysis'!G:G)</f>
        <v>77.040000000000006</v>
      </c>
      <c r="J192" s="12">
        <f>_xlfn.XLOOKUP(Input_Table[[#This Row],[INVOICE ID]],'SuperMarket Analysis'!A:A,'SuperMarket Analysis'!N:N)</f>
        <v>231.12</v>
      </c>
      <c r="K192" s="12">
        <f>_xlfn.XLOOKUP(Input_Table[[#This Row],[INVOICE ID]],'SuperMarket Analysis'!A:A,'SuperMarket Analysis'!J:J)</f>
        <v>242.67599999999999</v>
      </c>
      <c r="L192" s="6">
        <f>DAY(Input_Table[[#This Row],[DATE]])</f>
        <v>15</v>
      </c>
      <c r="M192" s="6" t="str">
        <f>TEXT(Input_Table[[#This Row],[DATE]],"mmmm")</f>
        <v>February</v>
      </c>
      <c r="N192" s="6">
        <f>YEAR(Input_Table[[#This Row],[DATE]])</f>
        <v>2019</v>
      </c>
    </row>
    <row r="193" spans="1:14" x14ac:dyDescent="0.3">
      <c r="A193" s="2">
        <f>_xlfn.XLOOKUP(B193,SuperMarket_Analysis[Invoice ID],SuperMarket_Analysis[Date])</f>
        <v>43491</v>
      </c>
      <c r="B193" s="6" t="s">
        <v>224</v>
      </c>
      <c r="C193" s="7">
        <f>_xlfn.XLOOKUP(B193,SuperMarket_Analysis[Invoice ID],SuperMarket_Analysis[Quantity])</f>
        <v>2</v>
      </c>
      <c r="D193" s="6" t="str">
        <f>_xlfn.XLOOKUP('Input data'!B193,'SuperMarket Analysis'!A:A,'SuperMarket Analysis'!F:F)</f>
        <v>Fashion accessories</v>
      </c>
      <c r="E193" s="6" t="str">
        <f>_xlfn.XLOOKUP(B193,'SuperMarket Analysis'!A:A,'SuperMarket Analysis'!M:M)</f>
        <v>Ewallet</v>
      </c>
      <c r="F193" s="6">
        <f>0.05*Input_Table[[#This Row],[TOTAL C.O.G.S]]</f>
        <v>7.3520000000000003</v>
      </c>
      <c r="G193" s="6" t="str">
        <f>_xlfn.XLOOKUP(Input_Table[[#This Row],[INVOICE ID]],'SuperMarket Analysis'!A:A,'SuperMarket Analysis'!B:B)</f>
        <v>Cairo</v>
      </c>
      <c r="H193" s="6" t="str">
        <f>_xlfn.XLOOKUP(Input_Table[[#This Row],[INVOICE ID]],'SuperMarket Analysis'!A:A,'SuperMarket Analysis'!F:F)</f>
        <v>Fashion accessories</v>
      </c>
      <c r="I193" s="12">
        <f>_xlfn.XLOOKUP(Input_Table[[#This Row],[INVOICE ID]],'SuperMarket Analysis'!A:A,'SuperMarket Analysis'!G:G)</f>
        <v>73.52</v>
      </c>
      <c r="J193" s="12">
        <f>_xlfn.XLOOKUP(Input_Table[[#This Row],[INVOICE ID]],'SuperMarket Analysis'!A:A,'SuperMarket Analysis'!N:N)</f>
        <v>147.04</v>
      </c>
      <c r="K193" s="12">
        <f>_xlfn.XLOOKUP(Input_Table[[#This Row],[INVOICE ID]],'SuperMarket Analysis'!A:A,'SuperMarket Analysis'!J:J)</f>
        <v>154.392</v>
      </c>
      <c r="L193" s="6">
        <f>DAY(Input_Table[[#This Row],[DATE]])</f>
        <v>26</v>
      </c>
      <c r="M193" s="6" t="str">
        <f>TEXT(Input_Table[[#This Row],[DATE]],"mmmm")</f>
        <v>January</v>
      </c>
      <c r="N193" s="6">
        <f>YEAR(Input_Table[[#This Row],[DATE]])</f>
        <v>2019</v>
      </c>
    </row>
    <row r="194" spans="1:14" x14ac:dyDescent="0.3">
      <c r="A194" s="2">
        <f>_xlfn.XLOOKUP(B194,SuperMarket_Analysis[Invoice ID],SuperMarket_Analysis[Date])</f>
        <v>43538</v>
      </c>
      <c r="B194" s="6" t="s">
        <v>225</v>
      </c>
      <c r="C194" s="7">
        <f>_xlfn.XLOOKUP(B194,SuperMarket_Analysis[Invoice ID],SuperMarket_Analysis[Quantity])</f>
        <v>9</v>
      </c>
      <c r="D194" s="6" t="str">
        <f>_xlfn.XLOOKUP('Input data'!B194,'SuperMarket Analysis'!A:A,'SuperMarket Analysis'!F:F)</f>
        <v>Food and beverages</v>
      </c>
      <c r="E194" s="6" t="str">
        <f>_xlfn.XLOOKUP(B194,'SuperMarket Analysis'!A:A,'SuperMarket Analysis'!M:M)</f>
        <v>Cash</v>
      </c>
      <c r="F194" s="6">
        <f>0.05*Input_Table[[#This Row],[TOTAL C.O.G.S]]</f>
        <v>39.510000000000005</v>
      </c>
      <c r="G194" s="6" t="str">
        <f>_xlfn.XLOOKUP(Input_Table[[#This Row],[INVOICE ID]],'SuperMarket Analysis'!A:A,'SuperMarket Analysis'!B:B)</f>
        <v>Giza</v>
      </c>
      <c r="H194" s="6" t="str">
        <f>_xlfn.XLOOKUP(Input_Table[[#This Row],[INVOICE ID]],'SuperMarket Analysis'!A:A,'SuperMarket Analysis'!F:F)</f>
        <v>Food and beverages</v>
      </c>
      <c r="I194" s="12">
        <f>_xlfn.XLOOKUP(Input_Table[[#This Row],[INVOICE ID]],'SuperMarket Analysis'!A:A,'SuperMarket Analysis'!G:G)</f>
        <v>87.8</v>
      </c>
      <c r="J194" s="12">
        <f>_xlfn.XLOOKUP(Input_Table[[#This Row],[INVOICE ID]],'SuperMarket Analysis'!A:A,'SuperMarket Analysis'!N:N)</f>
        <v>790.2</v>
      </c>
      <c r="K194" s="12">
        <f>_xlfn.XLOOKUP(Input_Table[[#This Row],[INVOICE ID]],'SuperMarket Analysis'!A:A,'SuperMarket Analysis'!J:J)</f>
        <v>829.71</v>
      </c>
      <c r="L194" s="6">
        <f>DAY(Input_Table[[#This Row],[DATE]])</f>
        <v>14</v>
      </c>
      <c r="M194" s="6" t="str">
        <f>TEXT(Input_Table[[#This Row],[DATE]],"mmmm")</f>
        <v>March</v>
      </c>
      <c r="N194" s="6">
        <f>YEAR(Input_Table[[#This Row],[DATE]])</f>
        <v>2019</v>
      </c>
    </row>
    <row r="195" spans="1:14" x14ac:dyDescent="0.3">
      <c r="A195" s="2">
        <f>_xlfn.XLOOKUP(B195,SuperMarket_Analysis[Invoice ID],SuperMarket_Analysis[Date])</f>
        <v>43540</v>
      </c>
      <c r="B195" s="6" t="s">
        <v>226</v>
      </c>
      <c r="C195" s="7">
        <f>_xlfn.XLOOKUP(B195,SuperMarket_Analysis[Invoice ID],SuperMarket_Analysis[Quantity])</f>
        <v>4</v>
      </c>
      <c r="D195" s="6" t="str">
        <f>_xlfn.XLOOKUP('Input data'!B195,'SuperMarket Analysis'!A:A,'SuperMarket Analysis'!F:F)</f>
        <v>Home and lifestyle</v>
      </c>
      <c r="E195" s="6" t="str">
        <f>_xlfn.XLOOKUP(B195,'SuperMarket Analysis'!A:A,'SuperMarket Analysis'!M:M)</f>
        <v>Ewallet</v>
      </c>
      <c r="F195" s="6">
        <f>0.05*Input_Table[[#This Row],[TOTAL C.O.G.S]]</f>
        <v>5.1100000000000003</v>
      </c>
      <c r="G195" s="6" t="str">
        <f>_xlfn.XLOOKUP(Input_Table[[#This Row],[INVOICE ID]],'SuperMarket Analysis'!A:A,'SuperMarket Analysis'!B:B)</f>
        <v>Cairo</v>
      </c>
      <c r="H195" s="6" t="str">
        <f>_xlfn.XLOOKUP(Input_Table[[#This Row],[INVOICE ID]],'SuperMarket Analysis'!A:A,'SuperMarket Analysis'!F:F)</f>
        <v>Home and lifestyle</v>
      </c>
      <c r="I195" s="12">
        <f>_xlfn.XLOOKUP(Input_Table[[#This Row],[INVOICE ID]],'SuperMarket Analysis'!A:A,'SuperMarket Analysis'!G:G)</f>
        <v>25.55</v>
      </c>
      <c r="J195" s="12">
        <f>_xlfn.XLOOKUP(Input_Table[[#This Row],[INVOICE ID]],'SuperMarket Analysis'!A:A,'SuperMarket Analysis'!N:N)</f>
        <v>102.2</v>
      </c>
      <c r="K195" s="12">
        <f>_xlfn.XLOOKUP(Input_Table[[#This Row],[INVOICE ID]],'SuperMarket Analysis'!A:A,'SuperMarket Analysis'!J:J)</f>
        <v>107.31</v>
      </c>
      <c r="L195" s="6">
        <f>DAY(Input_Table[[#This Row],[DATE]])</f>
        <v>16</v>
      </c>
      <c r="M195" s="6" t="str">
        <f>TEXT(Input_Table[[#This Row],[DATE]],"mmmm")</f>
        <v>March</v>
      </c>
      <c r="N195" s="6">
        <f>YEAR(Input_Table[[#This Row],[DATE]])</f>
        <v>2019</v>
      </c>
    </row>
    <row r="196" spans="1:14" x14ac:dyDescent="0.3">
      <c r="A196" s="2">
        <f>_xlfn.XLOOKUP(B196,SuperMarket_Analysis[Invoice ID],SuperMarket_Analysis[Date])</f>
        <v>43513</v>
      </c>
      <c r="B196" s="6" t="s">
        <v>227</v>
      </c>
      <c r="C196" s="7">
        <f>_xlfn.XLOOKUP(B196,SuperMarket_Analysis[Invoice ID],SuperMarket_Analysis[Quantity])</f>
        <v>5</v>
      </c>
      <c r="D196" s="6" t="str">
        <f>_xlfn.XLOOKUP('Input data'!B196,'SuperMarket Analysis'!A:A,'SuperMarket Analysis'!F:F)</f>
        <v>Electronic accessories</v>
      </c>
      <c r="E196" s="6" t="str">
        <f>_xlfn.XLOOKUP(B196,'SuperMarket Analysis'!A:A,'SuperMarket Analysis'!M:M)</f>
        <v>Credit card</v>
      </c>
      <c r="F196" s="6">
        <f>0.05*Input_Table[[#This Row],[TOTAL C.O.G.S]]</f>
        <v>8.1775000000000002</v>
      </c>
      <c r="G196" s="6" t="str">
        <f>_xlfn.XLOOKUP(Input_Table[[#This Row],[INVOICE ID]],'SuperMarket Analysis'!A:A,'SuperMarket Analysis'!B:B)</f>
        <v>Alex</v>
      </c>
      <c r="H196" s="6" t="str">
        <f>_xlfn.XLOOKUP(Input_Table[[#This Row],[INVOICE ID]],'SuperMarket Analysis'!A:A,'SuperMarket Analysis'!F:F)</f>
        <v>Electronic accessories</v>
      </c>
      <c r="I196" s="12">
        <f>_xlfn.XLOOKUP(Input_Table[[#This Row],[INVOICE ID]],'SuperMarket Analysis'!A:A,'SuperMarket Analysis'!G:G)</f>
        <v>32.71</v>
      </c>
      <c r="J196" s="12">
        <f>_xlfn.XLOOKUP(Input_Table[[#This Row],[INVOICE ID]],'SuperMarket Analysis'!A:A,'SuperMarket Analysis'!N:N)</f>
        <v>163.55000000000001</v>
      </c>
      <c r="K196" s="12">
        <f>_xlfn.XLOOKUP(Input_Table[[#This Row],[INVOICE ID]],'SuperMarket Analysis'!A:A,'SuperMarket Analysis'!J:J)</f>
        <v>171.72749999999999</v>
      </c>
      <c r="L196" s="6">
        <f>DAY(Input_Table[[#This Row],[DATE]])</f>
        <v>17</v>
      </c>
      <c r="M196" s="6" t="str">
        <f>TEXT(Input_Table[[#This Row],[DATE]],"mmmm")</f>
        <v>February</v>
      </c>
      <c r="N196" s="6">
        <f>YEAR(Input_Table[[#This Row],[DATE]])</f>
        <v>2019</v>
      </c>
    </row>
    <row r="197" spans="1:14" x14ac:dyDescent="0.3">
      <c r="A197" s="2">
        <f>_xlfn.XLOOKUP(B197,SuperMarket_Analysis[Invoice ID],SuperMarket_Analysis[Date])</f>
        <v>43523</v>
      </c>
      <c r="B197" s="6" t="s">
        <v>228</v>
      </c>
      <c r="C197" s="7">
        <f>_xlfn.XLOOKUP(B197,SuperMarket_Analysis[Invoice ID],SuperMarket_Analysis[Quantity])</f>
        <v>1</v>
      </c>
      <c r="D197" s="6" t="str">
        <f>_xlfn.XLOOKUP('Input data'!B197,'SuperMarket Analysis'!A:A,'SuperMarket Analysis'!F:F)</f>
        <v>Fashion accessories</v>
      </c>
      <c r="E197" s="6" t="str">
        <f>_xlfn.XLOOKUP(B197,'SuperMarket Analysis'!A:A,'SuperMarket Analysis'!M:M)</f>
        <v>Cash</v>
      </c>
      <c r="F197" s="6">
        <f>0.05*Input_Table[[#This Row],[TOTAL C.O.G.S]]</f>
        <v>3.7145000000000006</v>
      </c>
      <c r="G197" s="6" t="str">
        <f>_xlfn.XLOOKUP(Input_Table[[#This Row],[INVOICE ID]],'SuperMarket Analysis'!A:A,'SuperMarket Analysis'!B:B)</f>
        <v>Giza</v>
      </c>
      <c r="H197" s="6" t="str">
        <f>_xlfn.XLOOKUP(Input_Table[[#This Row],[INVOICE ID]],'SuperMarket Analysis'!A:A,'SuperMarket Analysis'!F:F)</f>
        <v>Fashion accessories</v>
      </c>
      <c r="I197" s="12">
        <f>_xlfn.XLOOKUP(Input_Table[[#This Row],[INVOICE ID]],'SuperMarket Analysis'!A:A,'SuperMarket Analysis'!G:G)</f>
        <v>74.290000000000006</v>
      </c>
      <c r="J197" s="12">
        <f>_xlfn.XLOOKUP(Input_Table[[#This Row],[INVOICE ID]],'SuperMarket Analysis'!A:A,'SuperMarket Analysis'!N:N)</f>
        <v>74.290000000000006</v>
      </c>
      <c r="K197" s="12">
        <f>_xlfn.XLOOKUP(Input_Table[[#This Row],[INVOICE ID]],'SuperMarket Analysis'!A:A,'SuperMarket Analysis'!J:J)</f>
        <v>78.004499999999993</v>
      </c>
      <c r="L197" s="6">
        <f>DAY(Input_Table[[#This Row],[DATE]])</f>
        <v>27</v>
      </c>
      <c r="M197" s="6" t="str">
        <f>TEXT(Input_Table[[#This Row],[DATE]],"mmmm")</f>
        <v>February</v>
      </c>
      <c r="N197" s="6">
        <f>YEAR(Input_Table[[#This Row],[DATE]])</f>
        <v>2019</v>
      </c>
    </row>
    <row r="198" spans="1:14" x14ac:dyDescent="0.3">
      <c r="A198" s="2">
        <f>_xlfn.XLOOKUP(B198,SuperMarket_Analysis[Invoice ID],SuperMarket_Analysis[Date])</f>
        <v>43486</v>
      </c>
      <c r="B198" s="6" t="s">
        <v>229</v>
      </c>
      <c r="C198" s="7">
        <f>_xlfn.XLOOKUP(B198,SuperMarket_Analysis[Invoice ID],SuperMarket_Analysis[Quantity])</f>
        <v>2</v>
      </c>
      <c r="D198" s="6" t="str">
        <f>_xlfn.XLOOKUP('Input data'!B198,'SuperMarket Analysis'!A:A,'SuperMarket Analysis'!F:F)</f>
        <v>Health and beauty</v>
      </c>
      <c r="E198" s="6" t="str">
        <f>_xlfn.XLOOKUP(B198,'SuperMarket Analysis'!A:A,'SuperMarket Analysis'!M:M)</f>
        <v>Cash</v>
      </c>
      <c r="F198" s="6">
        <f>0.05*Input_Table[[#This Row],[TOTAL C.O.G.S]]</f>
        <v>4.37</v>
      </c>
      <c r="G198" s="6" t="str">
        <f>_xlfn.XLOOKUP(Input_Table[[#This Row],[INVOICE ID]],'SuperMarket Analysis'!A:A,'SuperMarket Analysis'!B:B)</f>
        <v>Giza</v>
      </c>
      <c r="H198" s="6" t="str">
        <f>_xlfn.XLOOKUP(Input_Table[[#This Row],[INVOICE ID]],'SuperMarket Analysis'!A:A,'SuperMarket Analysis'!F:F)</f>
        <v>Health and beauty</v>
      </c>
      <c r="I198" s="12">
        <f>_xlfn.XLOOKUP(Input_Table[[#This Row],[INVOICE ID]],'SuperMarket Analysis'!A:A,'SuperMarket Analysis'!G:G)</f>
        <v>43.7</v>
      </c>
      <c r="J198" s="12">
        <f>_xlfn.XLOOKUP(Input_Table[[#This Row],[INVOICE ID]],'SuperMarket Analysis'!A:A,'SuperMarket Analysis'!N:N)</f>
        <v>87.4</v>
      </c>
      <c r="K198" s="12">
        <f>_xlfn.XLOOKUP(Input_Table[[#This Row],[INVOICE ID]],'SuperMarket Analysis'!A:A,'SuperMarket Analysis'!J:J)</f>
        <v>91.77</v>
      </c>
      <c r="L198" s="6">
        <f>DAY(Input_Table[[#This Row],[DATE]])</f>
        <v>21</v>
      </c>
      <c r="M198" s="6" t="str">
        <f>TEXT(Input_Table[[#This Row],[DATE]],"mmmm")</f>
        <v>January</v>
      </c>
      <c r="N198" s="6">
        <f>YEAR(Input_Table[[#This Row],[DATE]])</f>
        <v>2019</v>
      </c>
    </row>
    <row r="199" spans="1:14" x14ac:dyDescent="0.3">
      <c r="A199" s="2">
        <f>_xlfn.XLOOKUP(B199,SuperMarket_Analysis[Invoice ID],SuperMarket_Analysis[Date])</f>
        <v>43515</v>
      </c>
      <c r="B199" s="6" t="s">
        <v>230</v>
      </c>
      <c r="C199" s="7">
        <f>_xlfn.XLOOKUP(B199,SuperMarket_Analysis[Invoice ID],SuperMarket_Analysis[Quantity])</f>
        <v>1</v>
      </c>
      <c r="D199" s="6" t="str">
        <f>_xlfn.XLOOKUP('Input data'!B199,'SuperMarket Analysis'!A:A,'SuperMarket Analysis'!F:F)</f>
        <v>Home and lifestyle</v>
      </c>
      <c r="E199" s="6" t="str">
        <f>_xlfn.XLOOKUP(B199,'SuperMarket Analysis'!A:A,'SuperMarket Analysis'!M:M)</f>
        <v>Ewallet</v>
      </c>
      <c r="F199" s="6">
        <f>0.05*Input_Table[[#This Row],[TOTAL C.O.G.S]]</f>
        <v>1.2645</v>
      </c>
      <c r="G199" s="6" t="str">
        <f>_xlfn.XLOOKUP(Input_Table[[#This Row],[INVOICE ID]],'SuperMarket Analysis'!A:A,'SuperMarket Analysis'!B:B)</f>
        <v>Alex</v>
      </c>
      <c r="H199" s="6" t="str">
        <f>_xlfn.XLOOKUP(Input_Table[[#This Row],[INVOICE ID]],'SuperMarket Analysis'!A:A,'SuperMarket Analysis'!F:F)</f>
        <v>Home and lifestyle</v>
      </c>
      <c r="I199" s="12">
        <f>_xlfn.XLOOKUP(Input_Table[[#This Row],[INVOICE ID]],'SuperMarket Analysis'!A:A,'SuperMarket Analysis'!G:G)</f>
        <v>25.29</v>
      </c>
      <c r="J199" s="12">
        <f>_xlfn.XLOOKUP(Input_Table[[#This Row],[INVOICE ID]],'SuperMarket Analysis'!A:A,'SuperMarket Analysis'!N:N)</f>
        <v>25.29</v>
      </c>
      <c r="K199" s="12">
        <f>_xlfn.XLOOKUP(Input_Table[[#This Row],[INVOICE ID]],'SuperMarket Analysis'!A:A,'SuperMarket Analysis'!J:J)</f>
        <v>26.554500000000001</v>
      </c>
      <c r="L199" s="6">
        <f>DAY(Input_Table[[#This Row],[DATE]])</f>
        <v>19</v>
      </c>
      <c r="M199" s="6" t="str">
        <f>TEXT(Input_Table[[#This Row],[DATE]],"mmmm")</f>
        <v>February</v>
      </c>
      <c r="N199" s="6">
        <f>YEAR(Input_Table[[#This Row],[DATE]])</f>
        <v>2019</v>
      </c>
    </row>
    <row r="200" spans="1:14" x14ac:dyDescent="0.3">
      <c r="A200" s="2">
        <f>_xlfn.XLOOKUP(B200,SuperMarket_Analysis[Invoice ID],SuperMarket_Analysis[Date])</f>
        <v>43538</v>
      </c>
      <c r="B200" s="6" t="s">
        <v>231</v>
      </c>
      <c r="C200" s="7">
        <f>_xlfn.XLOOKUP(B200,SuperMarket_Analysis[Invoice ID],SuperMarket_Analysis[Quantity])</f>
        <v>4</v>
      </c>
      <c r="D200" s="6" t="str">
        <f>_xlfn.XLOOKUP('Input data'!B200,'SuperMarket Analysis'!A:A,'SuperMarket Analysis'!F:F)</f>
        <v>Health and beauty</v>
      </c>
      <c r="E200" s="6" t="str">
        <f>_xlfn.XLOOKUP(B200,'SuperMarket Analysis'!A:A,'SuperMarket Analysis'!M:M)</f>
        <v>Credit card</v>
      </c>
      <c r="F200" s="6">
        <f>0.05*Input_Table[[#This Row],[TOTAL C.O.G.S]]</f>
        <v>8.3000000000000007</v>
      </c>
      <c r="G200" s="6" t="str">
        <f>_xlfn.XLOOKUP(Input_Table[[#This Row],[INVOICE ID]],'SuperMarket Analysis'!A:A,'SuperMarket Analysis'!B:B)</f>
        <v>Giza</v>
      </c>
      <c r="H200" s="6" t="str">
        <f>_xlfn.XLOOKUP(Input_Table[[#This Row],[INVOICE ID]],'SuperMarket Analysis'!A:A,'SuperMarket Analysis'!F:F)</f>
        <v>Health and beauty</v>
      </c>
      <c r="I200" s="12">
        <f>_xlfn.XLOOKUP(Input_Table[[#This Row],[INVOICE ID]],'SuperMarket Analysis'!A:A,'SuperMarket Analysis'!G:G)</f>
        <v>41.5</v>
      </c>
      <c r="J200" s="12">
        <f>_xlfn.XLOOKUP(Input_Table[[#This Row],[INVOICE ID]],'SuperMarket Analysis'!A:A,'SuperMarket Analysis'!N:N)</f>
        <v>166</v>
      </c>
      <c r="K200" s="12">
        <f>_xlfn.XLOOKUP(Input_Table[[#This Row],[INVOICE ID]],'SuperMarket Analysis'!A:A,'SuperMarket Analysis'!J:J)</f>
        <v>174.3</v>
      </c>
      <c r="L200" s="6">
        <f>DAY(Input_Table[[#This Row],[DATE]])</f>
        <v>14</v>
      </c>
      <c r="M200" s="6" t="str">
        <f>TEXT(Input_Table[[#This Row],[DATE]],"mmmm")</f>
        <v>March</v>
      </c>
      <c r="N200" s="6">
        <f>YEAR(Input_Table[[#This Row],[DATE]])</f>
        <v>2019</v>
      </c>
    </row>
    <row r="201" spans="1:14" x14ac:dyDescent="0.3">
      <c r="A201" s="2">
        <f>_xlfn.XLOOKUP(B201,SuperMarket_Analysis[Invoice ID],SuperMarket_Analysis[Date])</f>
        <v>43548</v>
      </c>
      <c r="B201" s="6" t="s">
        <v>232</v>
      </c>
      <c r="C201" s="7">
        <f>_xlfn.XLOOKUP(B201,SuperMarket_Analysis[Invoice ID],SuperMarket_Analysis[Quantity])</f>
        <v>5</v>
      </c>
      <c r="D201" s="6" t="str">
        <f>_xlfn.XLOOKUP('Input data'!B201,'SuperMarket Analysis'!A:A,'SuperMarket Analysis'!F:F)</f>
        <v>Food and beverages</v>
      </c>
      <c r="E201" s="6" t="str">
        <f>_xlfn.XLOOKUP(B201,'SuperMarket Analysis'!A:A,'SuperMarket Analysis'!M:M)</f>
        <v>Credit card</v>
      </c>
      <c r="F201" s="6">
        <f>0.05*Input_Table[[#This Row],[TOTAL C.O.G.S]]</f>
        <v>17.8475</v>
      </c>
      <c r="G201" s="6" t="str">
        <f>_xlfn.XLOOKUP(Input_Table[[#This Row],[INVOICE ID]],'SuperMarket Analysis'!A:A,'SuperMarket Analysis'!B:B)</f>
        <v>Giza</v>
      </c>
      <c r="H201" s="6" t="str">
        <f>_xlfn.XLOOKUP(Input_Table[[#This Row],[INVOICE ID]],'SuperMarket Analysis'!A:A,'SuperMarket Analysis'!F:F)</f>
        <v>Food and beverages</v>
      </c>
      <c r="I201" s="12">
        <f>_xlfn.XLOOKUP(Input_Table[[#This Row],[INVOICE ID]],'SuperMarket Analysis'!A:A,'SuperMarket Analysis'!G:G)</f>
        <v>71.39</v>
      </c>
      <c r="J201" s="12">
        <f>_xlfn.XLOOKUP(Input_Table[[#This Row],[INVOICE ID]],'SuperMarket Analysis'!A:A,'SuperMarket Analysis'!N:N)</f>
        <v>356.95</v>
      </c>
      <c r="K201" s="12">
        <f>_xlfn.XLOOKUP(Input_Table[[#This Row],[INVOICE ID]],'SuperMarket Analysis'!A:A,'SuperMarket Analysis'!J:J)</f>
        <v>374.79750000000001</v>
      </c>
      <c r="L201" s="6">
        <f>DAY(Input_Table[[#This Row],[DATE]])</f>
        <v>24</v>
      </c>
      <c r="M201" s="6" t="str">
        <f>TEXT(Input_Table[[#This Row],[DATE]],"mmmm")</f>
        <v>March</v>
      </c>
      <c r="N201" s="6">
        <f>YEAR(Input_Table[[#This Row],[DATE]])</f>
        <v>2019</v>
      </c>
    </row>
    <row r="202" spans="1:14" x14ac:dyDescent="0.3">
      <c r="A202" s="2">
        <f>_xlfn.XLOOKUP(B202,SuperMarket_Analysis[Invoice ID],SuperMarket_Analysis[Date])</f>
        <v>43492</v>
      </c>
      <c r="B202" s="6" t="s">
        <v>233</v>
      </c>
      <c r="C202" s="7">
        <f>_xlfn.XLOOKUP(B202,SuperMarket_Analysis[Invoice ID],SuperMarket_Analysis[Quantity])</f>
        <v>6</v>
      </c>
      <c r="D202" s="6" t="str">
        <f>_xlfn.XLOOKUP('Input data'!B202,'SuperMarket Analysis'!A:A,'SuperMarket Analysis'!F:F)</f>
        <v>Sports and travel</v>
      </c>
      <c r="E202" s="6" t="str">
        <f>_xlfn.XLOOKUP(B202,'SuperMarket Analysis'!A:A,'SuperMarket Analysis'!M:M)</f>
        <v>Credit card</v>
      </c>
      <c r="F202" s="6">
        <f>0.05*Input_Table[[#This Row],[TOTAL C.O.G.S]]</f>
        <v>5.745000000000001</v>
      </c>
      <c r="G202" s="6" t="str">
        <f>_xlfn.XLOOKUP(Input_Table[[#This Row],[INVOICE ID]],'SuperMarket Analysis'!A:A,'SuperMarket Analysis'!B:B)</f>
        <v>Giza</v>
      </c>
      <c r="H202" s="6" t="str">
        <f>_xlfn.XLOOKUP(Input_Table[[#This Row],[INVOICE ID]],'SuperMarket Analysis'!A:A,'SuperMarket Analysis'!F:F)</f>
        <v>Sports and travel</v>
      </c>
      <c r="I202" s="12">
        <f>_xlfn.XLOOKUP(Input_Table[[#This Row],[INVOICE ID]],'SuperMarket Analysis'!A:A,'SuperMarket Analysis'!G:G)</f>
        <v>19.149999999999999</v>
      </c>
      <c r="J202" s="12">
        <f>_xlfn.XLOOKUP(Input_Table[[#This Row],[INVOICE ID]],'SuperMarket Analysis'!A:A,'SuperMarket Analysis'!N:N)</f>
        <v>114.9</v>
      </c>
      <c r="K202" s="12">
        <f>_xlfn.XLOOKUP(Input_Table[[#This Row],[INVOICE ID]],'SuperMarket Analysis'!A:A,'SuperMarket Analysis'!J:J)</f>
        <v>120.645</v>
      </c>
      <c r="L202" s="6">
        <f>DAY(Input_Table[[#This Row],[DATE]])</f>
        <v>27</v>
      </c>
      <c r="M202" s="6" t="str">
        <f>TEXT(Input_Table[[#This Row],[DATE]],"mmmm")</f>
        <v>January</v>
      </c>
      <c r="N202" s="6">
        <f>YEAR(Input_Table[[#This Row],[DATE]])</f>
        <v>2019</v>
      </c>
    </row>
    <row r="203" spans="1:14" x14ac:dyDescent="0.3">
      <c r="A203" s="2">
        <f>_xlfn.XLOOKUP(B203,SuperMarket_Analysis[Invoice ID],SuperMarket_Analysis[Date])</f>
        <v>43490</v>
      </c>
      <c r="B203" s="6" t="s">
        <v>234</v>
      </c>
      <c r="C203" s="7">
        <f>_xlfn.XLOOKUP(B203,SuperMarket_Analysis[Invoice ID],SuperMarket_Analysis[Quantity])</f>
        <v>4</v>
      </c>
      <c r="D203" s="6" t="str">
        <f>_xlfn.XLOOKUP('Input data'!B203,'SuperMarket Analysis'!A:A,'SuperMarket Analysis'!F:F)</f>
        <v>Electronic accessories</v>
      </c>
      <c r="E203" s="6" t="str">
        <f>_xlfn.XLOOKUP(B203,'SuperMarket Analysis'!A:A,'SuperMarket Analysis'!M:M)</f>
        <v>Cash</v>
      </c>
      <c r="F203" s="6">
        <f>0.05*Input_Table[[#This Row],[TOTAL C.O.G.S]]</f>
        <v>11.498000000000001</v>
      </c>
      <c r="G203" s="6" t="str">
        <f>_xlfn.XLOOKUP(Input_Table[[#This Row],[INVOICE ID]],'SuperMarket Analysis'!A:A,'SuperMarket Analysis'!B:B)</f>
        <v>Cairo</v>
      </c>
      <c r="H203" s="6" t="str">
        <f>_xlfn.XLOOKUP(Input_Table[[#This Row],[INVOICE ID]],'SuperMarket Analysis'!A:A,'SuperMarket Analysis'!F:F)</f>
        <v>Electronic accessories</v>
      </c>
      <c r="I203" s="12">
        <f>_xlfn.XLOOKUP(Input_Table[[#This Row],[INVOICE ID]],'SuperMarket Analysis'!A:A,'SuperMarket Analysis'!G:G)</f>
        <v>57.49</v>
      </c>
      <c r="J203" s="12">
        <f>_xlfn.XLOOKUP(Input_Table[[#This Row],[INVOICE ID]],'SuperMarket Analysis'!A:A,'SuperMarket Analysis'!N:N)</f>
        <v>229.96</v>
      </c>
      <c r="K203" s="12">
        <f>_xlfn.XLOOKUP(Input_Table[[#This Row],[INVOICE ID]],'SuperMarket Analysis'!A:A,'SuperMarket Analysis'!J:J)</f>
        <v>241.458</v>
      </c>
      <c r="L203" s="6">
        <f>DAY(Input_Table[[#This Row],[DATE]])</f>
        <v>25</v>
      </c>
      <c r="M203" s="6" t="str">
        <f>TEXT(Input_Table[[#This Row],[DATE]],"mmmm")</f>
        <v>January</v>
      </c>
      <c r="N203" s="6">
        <f>YEAR(Input_Table[[#This Row],[DATE]])</f>
        <v>2019</v>
      </c>
    </row>
    <row r="204" spans="1:14" x14ac:dyDescent="0.3">
      <c r="A204" s="2">
        <f>_xlfn.XLOOKUP(B204,SuperMarket_Analysis[Invoice ID],SuperMarket_Analysis[Date])</f>
        <v>43538</v>
      </c>
      <c r="B204" s="6" t="s">
        <v>235</v>
      </c>
      <c r="C204" s="7">
        <f>_xlfn.XLOOKUP(B204,SuperMarket_Analysis[Invoice ID],SuperMarket_Analysis[Quantity])</f>
        <v>7</v>
      </c>
      <c r="D204" s="6" t="str">
        <f>_xlfn.XLOOKUP('Input data'!B204,'SuperMarket Analysis'!A:A,'SuperMarket Analysis'!F:F)</f>
        <v>Electronic accessories</v>
      </c>
      <c r="E204" s="6" t="str">
        <f>_xlfn.XLOOKUP(B204,'SuperMarket Analysis'!A:A,'SuperMarket Analysis'!M:M)</f>
        <v>Cash</v>
      </c>
      <c r="F204" s="6">
        <f>0.05*Input_Table[[#This Row],[TOTAL C.O.G.S]]</f>
        <v>21.493500000000001</v>
      </c>
      <c r="G204" s="6" t="str">
        <f>_xlfn.XLOOKUP(Input_Table[[#This Row],[INVOICE ID]],'SuperMarket Analysis'!A:A,'SuperMarket Analysis'!B:B)</f>
        <v>Giza</v>
      </c>
      <c r="H204" s="6" t="str">
        <f>_xlfn.XLOOKUP(Input_Table[[#This Row],[INVOICE ID]],'SuperMarket Analysis'!A:A,'SuperMarket Analysis'!F:F)</f>
        <v>Electronic accessories</v>
      </c>
      <c r="I204" s="12">
        <f>_xlfn.XLOOKUP(Input_Table[[#This Row],[INVOICE ID]],'SuperMarket Analysis'!A:A,'SuperMarket Analysis'!G:G)</f>
        <v>61.41</v>
      </c>
      <c r="J204" s="12">
        <f>_xlfn.XLOOKUP(Input_Table[[#This Row],[INVOICE ID]],'SuperMarket Analysis'!A:A,'SuperMarket Analysis'!N:N)</f>
        <v>429.87</v>
      </c>
      <c r="K204" s="12">
        <f>_xlfn.XLOOKUP(Input_Table[[#This Row],[INVOICE ID]],'SuperMarket Analysis'!A:A,'SuperMarket Analysis'!J:J)</f>
        <v>451.36349999999999</v>
      </c>
      <c r="L204" s="6">
        <f>DAY(Input_Table[[#This Row],[DATE]])</f>
        <v>14</v>
      </c>
      <c r="M204" s="6" t="str">
        <f>TEXT(Input_Table[[#This Row],[DATE]],"mmmm")</f>
        <v>March</v>
      </c>
      <c r="N204" s="6">
        <f>YEAR(Input_Table[[#This Row],[DATE]])</f>
        <v>2019</v>
      </c>
    </row>
    <row r="205" spans="1:14" x14ac:dyDescent="0.3">
      <c r="A205" s="2">
        <f>_xlfn.XLOOKUP(B205,SuperMarket_Analysis[Invoice ID],SuperMarket_Analysis[Date])</f>
        <v>43494</v>
      </c>
      <c r="B205" s="6" t="s">
        <v>236</v>
      </c>
      <c r="C205" s="7">
        <f>_xlfn.XLOOKUP(B205,SuperMarket_Analysis[Invoice ID],SuperMarket_Analysis[Quantity])</f>
        <v>10</v>
      </c>
      <c r="D205" s="6" t="str">
        <f>_xlfn.XLOOKUP('Input data'!B205,'SuperMarket Analysis'!A:A,'SuperMarket Analysis'!F:F)</f>
        <v>Health and beauty</v>
      </c>
      <c r="E205" s="6" t="str">
        <f>_xlfn.XLOOKUP(B205,'SuperMarket Analysis'!A:A,'SuperMarket Analysis'!M:M)</f>
        <v>Ewallet</v>
      </c>
      <c r="F205" s="6">
        <f>0.05*Input_Table[[#This Row],[TOTAL C.O.G.S]]</f>
        <v>12.950000000000001</v>
      </c>
      <c r="G205" s="6" t="str">
        <f>_xlfn.XLOOKUP(Input_Table[[#This Row],[INVOICE ID]],'SuperMarket Analysis'!A:A,'SuperMarket Analysis'!B:B)</f>
        <v>Cairo</v>
      </c>
      <c r="H205" s="6" t="str">
        <f>_xlfn.XLOOKUP(Input_Table[[#This Row],[INVOICE ID]],'SuperMarket Analysis'!A:A,'SuperMarket Analysis'!F:F)</f>
        <v>Health and beauty</v>
      </c>
      <c r="I205" s="12">
        <f>_xlfn.XLOOKUP(Input_Table[[#This Row],[INVOICE ID]],'SuperMarket Analysis'!A:A,'SuperMarket Analysis'!G:G)</f>
        <v>25.9</v>
      </c>
      <c r="J205" s="12">
        <f>_xlfn.XLOOKUP(Input_Table[[#This Row],[INVOICE ID]],'SuperMarket Analysis'!A:A,'SuperMarket Analysis'!N:N)</f>
        <v>259</v>
      </c>
      <c r="K205" s="12">
        <f>_xlfn.XLOOKUP(Input_Table[[#This Row],[INVOICE ID]],'SuperMarket Analysis'!A:A,'SuperMarket Analysis'!J:J)</f>
        <v>271.95</v>
      </c>
      <c r="L205" s="6">
        <f>DAY(Input_Table[[#This Row],[DATE]])</f>
        <v>29</v>
      </c>
      <c r="M205" s="6" t="str">
        <f>TEXT(Input_Table[[#This Row],[DATE]],"mmmm")</f>
        <v>January</v>
      </c>
      <c r="N205" s="6">
        <f>YEAR(Input_Table[[#This Row],[DATE]])</f>
        <v>2019</v>
      </c>
    </row>
    <row r="206" spans="1:14" x14ac:dyDescent="0.3">
      <c r="A206" s="2">
        <f>_xlfn.XLOOKUP(B206,SuperMarket_Analysis[Invoice ID],SuperMarket_Analysis[Date])</f>
        <v>43479</v>
      </c>
      <c r="B206" s="6" t="s">
        <v>237</v>
      </c>
      <c r="C206" s="7">
        <f>_xlfn.XLOOKUP(B206,SuperMarket_Analysis[Invoice ID],SuperMarket_Analysis[Quantity])</f>
        <v>5</v>
      </c>
      <c r="D206" s="6" t="str">
        <f>_xlfn.XLOOKUP('Input data'!B206,'SuperMarket Analysis'!A:A,'SuperMarket Analysis'!F:F)</f>
        <v>Home and lifestyle</v>
      </c>
      <c r="E206" s="6" t="str">
        <f>_xlfn.XLOOKUP(B206,'SuperMarket Analysis'!A:A,'SuperMarket Analysis'!M:M)</f>
        <v>Credit card</v>
      </c>
      <c r="F206" s="6">
        <f>0.05*Input_Table[[#This Row],[TOTAL C.O.G.S]]</f>
        <v>4.4424999999999999</v>
      </c>
      <c r="G206" s="6" t="str">
        <f>_xlfn.XLOOKUP(Input_Table[[#This Row],[INVOICE ID]],'SuperMarket Analysis'!A:A,'SuperMarket Analysis'!B:B)</f>
        <v>Cairo</v>
      </c>
      <c r="H206" s="6" t="str">
        <f>_xlfn.XLOOKUP(Input_Table[[#This Row],[INVOICE ID]],'SuperMarket Analysis'!A:A,'SuperMarket Analysis'!F:F)</f>
        <v>Home and lifestyle</v>
      </c>
      <c r="I206" s="12">
        <f>_xlfn.XLOOKUP(Input_Table[[#This Row],[INVOICE ID]],'SuperMarket Analysis'!A:A,'SuperMarket Analysis'!G:G)</f>
        <v>17.77</v>
      </c>
      <c r="J206" s="12">
        <f>_xlfn.XLOOKUP(Input_Table[[#This Row],[INVOICE ID]],'SuperMarket Analysis'!A:A,'SuperMarket Analysis'!N:N)</f>
        <v>88.85</v>
      </c>
      <c r="K206" s="12">
        <f>_xlfn.XLOOKUP(Input_Table[[#This Row],[INVOICE ID]],'SuperMarket Analysis'!A:A,'SuperMarket Analysis'!J:J)</f>
        <v>93.292500000000004</v>
      </c>
      <c r="L206" s="6">
        <f>DAY(Input_Table[[#This Row],[DATE]])</f>
        <v>14</v>
      </c>
      <c r="M206" s="6" t="str">
        <f>TEXT(Input_Table[[#This Row],[DATE]],"mmmm")</f>
        <v>January</v>
      </c>
      <c r="N206" s="6">
        <f>YEAR(Input_Table[[#This Row],[DATE]])</f>
        <v>2019</v>
      </c>
    </row>
    <row r="207" spans="1:14" x14ac:dyDescent="0.3">
      <c r="A207" s="2">
        <f>_xlfn.XLOOKUP(B207,SuperMarket_Analysis[Invoice ID],SuperMarket_Analysis[Date])</f>
        <v>43518</v>
      </c>
      <c r="B207" s="6" t="s">
        <v>238</v>
      </c>
      <c r="C207" s="7">
        <f>_xlfn.XLOOKUP(B207,SuperMarket_Analysis[Invoice ID],SuperMarket_Analysis[Quantity])</f>
        <v>9</v>
      </c>
      <c r="D207" s="6" t="str">
        <f>_xlfn.XLOOKUP('Input data'!B207,'SuperMarket Analysis'!A:A,'SuperMarket Analysis'!F:F)</f>
        <v>Health and beauty</v>
      </c>
      <c r="E207" s="6" t="str">
        <f>_xlfn.XLOOKUP(B207,'SuperMarket Analysis'!A:A,'SuperMarket Analysis'!M:M)</f>
        <v>Ewallet</v>
      </c>
      <c r="F207" s="6">
        <f>0.05*Input_Table[[#This Row],[TOTAL C.O.G.S]]</f>
        <v>10.363500000000002</v>
      </c>
      <c r="G207" s="6" t="str">
        <f>_xlfn.XLOOKUP(Input_Table[[#This Row],[INVOICE ID]],'SuperMarket Analysis'!A:A,'SuperMarket Analysis'!B:B)</f>
        <v>Alex</v>
      </c>
      <c r="H207" s="6" t="str">
        <f>_xlfn.XLOOKUP(Input_Table[[#This Row],[INVOICE ID]],'SuperMarket Analysis'!A:A,'SuperMarket Analysis'!F:F)</f>
        <v>Health and beauty</v>
      </c>
      <c r="I207" s="12">
        <f>_xlfn.XLOOKUP(Input_Table[[#This Row],[INVOICE ID]],'SuperMarket Analysis'!A:A,'SuperMarket Analysis'!G:G)</f>
        <v>23.03</v>
      </c>
      <c r="J207" s="12">
        <f>_xlfn.XLOOKUP(Input_Table[[#This Row],[INVOICE ID]],'SuperMarket Analysis'!A:A,'SuperMarket Analysis'!N:N)</f>
        <v>207.27</v>
      </c>
      <c r="K207" s="12">
        <f>_xlfn.XLOOKUP(Input_Table[[#This Row],[INVOICE ID]],'SuperMarket Analysis'!A:A,'SuperMarket Analysis'!J:J)</f>
        <v>217.6335</v>
      </c>
      <c r="L207" s="6">
        <f>DAY(Input_Table[[#This Row],[DATE]])</f>
        <v>22</v>
      </c>
      <c r="M207" s="6" t="str">
        <f>TEXT(Input_Table[[#This Row],[DATE]],"mmmm")</f>
        <v>February</v>
      </c>
      <c r="N207" s="6">
        <f>YEAR(Input_Table[[#This Row],[DATE]])</f>
        <v>2019</v>
      </c>
    </row>
    <row r="208" spans="1:14" x14ac:dyDescent="0.3">
      <c r="A208" s="2">
        <f>_xlfn.XLOOKUP(B208,SuperMarket_Analysis[Invoice ID],SuperMarket_Analysis[Date])</f>
        <v>43495</v>
      </c>
      <c r="B208" s="6" t="s">
        <v>239</v>
      </c>
      <c r="C208" s="7">
        <f>_xlfn.XLOOKUP(B208,SuperMarket_Analysis[Invoice ID],SuperMarket_Analysis[Quantity])</f>
        <v>9</v>
      </c>
      <c r="D208" s="6" t="str">
        <f>_xlfn.XLOOKUP('Input data'!B208,'SuperMarket Analysis'!A:A,'SuperMarket Analysis'!F:F)</f>
        <v>Electronic accessories</v>
      </c>
      <c r="E208" s="6" t="str">
        <f>_xlfn.XLOOKUP(B208,'SuperMarket Analysis'!A:A,'SuperMarket Analysis'!M:M)</f>
        <v>Credit card</v>
      </c>
      <c r="F208" s="6">
        <f>0.05*Input_Table[[#This Row],[TOTAL C.O.G.S]]</f>
        <v>29.992500000000003</v>
      </c>
      <c r="G208" s="6" t="str">
        <f>_xlfn.XLOOKUP(Input_Table[[#This Row],[INVOICE ID]],'SuperMarket Analysis'!A:A,'SuperMarket Analysis'!B:B)</f>
        <v>Giza</v>
      </c>
      <c r="H208" s="6" t="str">
        <f>_xlfn.XLOOKUP(Input_Table[[#This Row],[INVOICE ID]],'SuperMarket Analysis'!A:A,'SuperMarket Analysis'!F:F)</f>
        <v>Electronic accessories</v>
      </c>
      <c r="I208" s="12">
        <f>_xlfn.XLOOKUP(Input_Table[[#This Row],[INVOICE ID]],'SuperMarket Analysis'!A:A,'SuperMarket Analysis'!G:G)</f>
        <v>66.650000000000006</v>
      </c>
      <c r="J208" s="12">
        <f>_xlfn.XLOOKUP(Input_Table[[#This Row],[INVOICE ID]],'SuperMarket Analysis'!A:A,'SuperMarket Analysis'!N:N)</f>
        <v>599.85</v>
      </c>
      <c r="K208" s="12">
        <f>_xlfn.XLOOKUP(Input_Table[[#This Row],[INVOICE ID]],'SuperMarket Analysis'!A:A,'SuperMarket Analysis'!J:J)</f>
        <v>629.84249999999997</v>
      </c>
      <c r="L208" s="6">
        <f>DAY(Input_Table[[#This Row],[DATE]])</f>
        <v>30</v>
      </c>
      <c r="M208" s="6" t="str">
        <f>TEXT(Input_Table[[#This Row],[DATE]],"mmmm")</f>
        <v>January</v>
      </c>
      <c r="N208" s="6">
        <f>YEAR(Input_Table[[#This Row],[DATE]])</f>
        <v>2019</v>
      </c>
    </row>
    <row r="209" spans="1:14" x14ac:dyDescent="0.3">
      <c r="A209" s="2">
        <f>_xlfn.XLOOKUP(B209,SuperMarket_Analysis[Invoice ID],SuperMarket_Analysis[Date])</f>
        <v>43543</v>
      </c>
      <c r="B209" s="6" t="s">
        <v>240</v>
      </c>
      <c r="C209" s="7">
        <f>_xlfn.XLOOKUP(B209,SuperMarket_Analysis[Invoice ID],SuperMarket_Analysis[Quantity])</f>
        <v>10</v>
      </c>
      <c r="D209" s="6" t="str">
        <f>_xlfn.XLOOKUP('Input data'!B209,'SuperMarket Analysis'!A:A,'SuperMarket Analysis'!F:F)</f>
        <v>Home and lifestyle</v>
      </c>
      <c r="E209" s="6" t="str">
        <f>_xlfn.XLOOKUP(B209,'SuperMarket Analysis'!A:A,'SuperMarket Analysis'!M:M)</f>
        <v>Ewallet</v>
      </c>
      <c r="F209" s="6">
        <f>0.05*Input_Table[[#This Row],[TOTAL C.O.G.S]]</f>
        <v>14.265000000000001</v>
      </c>
      <c r="G209" s="6" t="str">
        <f>_xlfn.XLOOKUP(Input_Table[[#This Row],[INVOICE ID]],'SuperMarket Analysis'!A:A,'SuperMarket Analysis'!B:B)</f>
        <v>Giza</v>
      </c>
      <c r="H209" s="6" t="str">
        <f>_xlfn.XLOOKUP(Input_Table[[#This Row],[INVOICE ID]],'SuperMarket Analysis'!A:A,'SuperMarket Analysis'!F:F)</f>
        <v>Home and lifestyle</v>
      </c>
      <c r="I209" s="12">
        <f>_xlfn.XLOOKUP(Input_Table[[#This Row],[INVOICE ID]],'SuperMarket Analysis'!A:A,'SuperMarket Analysis'!G:G)</f>
        <v>28.53</v>
      </c>
      <c r="J209" s="12">
        <f>_xlfn.XLOOKUP(Input_Table[[#This Row],[INVOICE ID]],'SuperMarket Analysis'!A:A,'SuperMarket Analysis'!N:N)</f>
        <v>285.3</v>
      </c>
      <c r="K209" s="12">
        <f>_xlfn.XLOOKUP(Input_Table[[#This Row],[INVOICE ID]],'SuperMarket Analysis'!A:A,'SuperMarket Analysis'!J:J)</f>
        <v>299.565</v>
      </c>
      <c r="L209" s="6">
        <f>DAY(Input_Table[[#This Row],[DATE]])</f>
        <v>19</v>
      </c>
      <c r="M209" s="6" t="str">
        <f>TEXT(Input_Table[[#This Row],[DATE]],"mmmm")</f>
        <v>March</v>
      </c>
      <c r="N209" s="6">
        <f>YEAR(Input_Table[[#This Row],[DATE]])</f>
        <v>2019</v>
      </c>
    </row>
    <row r="210" spans="1:14" x14ac:dyDescent="0.3">
      <c r="A210" s="2">
        <f>_xlfn.XLOOKUP(B210,SuperMarket_Analysis[Invoice ID],SuperMarket_Analysis[Date])</f>
        <v>43479</v>
      </c>
      <c r="B210" s="6" t="s">
        <v>241</v>
      </c>
      <c r="C210" s="7">
        <f>_xlfn.XLOOKUP(B210,SuperMarket_Analysis[Invoice ID],SuperMarket_Analysis[Quantity])</f>
        <v>3</v>
      </c>
      <c r="D210" s="6" t="str">
        <f>_xlfn.XLOOKUP('Input data'!B210,'SuperMarket Analysis'!A:A,'SuperMarket Analysis'!F:F)</f>
        <v>Fashion accessories</v>
      </c>
      <c r="E210" s="6" t="str">
        <f>_xlfn.XLOOKUP(B210,'SuperMarket Analysis'!A:A,'SuperMarket Analysis'!M:M)</f>
        <v>Ewallet</v>
      </c>
      <c r="F210" s="6">
        <f>0.05*Input_Table[[#This Row],[TOTAL C.O.G.S]]</f>
        <v>4.5555000000000003</v>
      </c>
      <c r="G210" s="6" t="str">
        <f>_xlfn.XLOOKUP(Input_Table[[#This Row],[INVOICE ID]],'SuperMarket Analysis'!A:A,'SuperMarket Analysis'!B:B)</f>
        <v>Cairo</v>
      </c>
      <c r="H210" s="6" t="str">
        <f>_xlfn.XLOOKUP(Input_Table[[#This Row],[INVOICE ID]],'SuperMarket Analysis'!A:A,'SuperMarket Analysis'!F:F)</f>
        <v>Fashion accessories</v>
      </c>
      <c r="I210" s="12">
        <f>_xlfn.XLOOKUP(Input_Table[[#This Row],[INVOICE ID]],'SuperMarket Analysis'!A:A,'SuperMarket Analysis'!G:G)</f>
        <v>30.37</v>
      </c>
      <c r="J210" s="12">
        <f>_xlfn.XLOOKUP(Input_Table[[#This Row],[INVOICE ID]],'SuperMarket Analysis'!A:A,'SuperMarket Analysis'!N:N)</f>
        <v>91.11</v>
      </c>
      <c r="K210" s="12">
        <f>_xlfn.XLOOKUP(Input_Table[[#This Row],[INVOICE ID]],'SuperMarket Analysis'!A:A,'SuperMarket Analysis'!J:J)</f>
        <v>95.665499999999994</v>
      </c>
      <c r="L210" s="6">
        <f>DAY(Input_Table[[#This Row],[DATE]])</f>
        <v>14</v>
      </c>
      <c r="M210" s="6" t="str">
        <f>TEXT(Input_Table[[#This Row],[DATE]],"mmmm")</f>
        <v>January</v>
      </c>
      <c r="N210" s="6">
        <f>YEAR(Input_Table[[#This Row],[DATE]])</f>
        <v>2019</v>
      </c>
    </row>
    <row r="211" spans="1:14" x14ac:dyDescent="0.3">
      <c r="A211" s="2">
        <f>_xlfn.XLOOKUP(B211,SuperMarket_Analysis[Invoice ID],SuperMarket_Analysis[Date])</f>
        <v>43496</v>
      </c>
      <c r="B211" s="6" t="s">
        <v>242</v>
      </c>
      <c r="C211" s="7">
        <f>_xlfn.XLOOKUP(B211,SuperMarket_Analysis[Invoice ID],SuperMarket_Analysis[Quantity])</f>
        <v>9</v>
      </c>
      <c r="D211" s="6" t="str">
        <f>_xlfn.XLOOKUP('Input data'!B211,'SuperMarket Analysis'!A:A,'SuperMarket Analysis'!F:F)</f>
        <v>Electronic accessories</v>
      </c>
      <c r="E211" s="6" t="str">
        <f>_xlfn.XLOOKUP(B211,'SuperMarket Analysis'!A:A,'SuperMarket Analysis'!M:M)</f>
        <v>Credit card</v>
      </c>
      <c r="F211" s="6">
        <f>0.05*Input_Table[[#This Row],[TOTAL C.O.G.S]]</f>
        <v>44.878500000000003</v>
      </c>
      <c r="G211" s="6" t="str">
        <f>_xlfn.XLOOKUP(Input_Table[[#This Row],[INVOICE ID]],'SuperMarket Analysis'!A:A,'SuperMarket Analysis'!B:B)</f>
        <v>Cairo</v>
      </c>
      <c r="H211" s="6" t="str">
        <f>_xlfn.XLOOKUP(Input_Table[[#This Row],[INVOICE ID]],'SuperMarket Analysis'!A:A,'SuperMarket Analysis'!F:F)</f>
        <v>Electronic accessories</v>
      </c>
      <c r="I211" s="12">
        <f>_xlfn.XLOOKUP(Input_Table[[#This Row],[INVOICE ID]],'SuperMarket Analysis'!A:A,'SuperMarket Analysis'!G:G)</f>
        <v>99.73</v>
      </c>
      <c r="J211" s="12">
        <f>_xlfn.XLOOKUP(Input_Table[[#This Row],[INVOICE ID]],'SuperMarket Analysis'!A:A,'SuperMarket Analysis'!N:N)</f>
        <v>897.57</v>
      </c>
      <c r="K211" s="12">
        <f>_xlfn.XLOOKUP(Input_Table[[#This Row],[INVOICE ID]],'SuperMarket Analysis'!A:A,'SuperMarket Analysis'!J:J)</f>
        <v>942.44849999999997</v>
      </c>
      <c r="L211" s="6">
        <f>DAY(Input_Table[[#This Row],[DATE]])</f>
        <v>31</v>
      </c>
      <c r="M211" s="6" t="str">
        <f>TEXT(Input_Table[[#This Row],[DATE]],"mmmm")</f>
        <v>January</v>
      </c>
      <c r="N211" s="6">
        <f>YEAR(Input_Table[[#This Row],[DATE]])</f>
        <v>2019</v>
      </c>
    </row>
    <row r="212" spans="1:14" x14ac:dyDescent="0.3">
      <c r="A212" s="2">
        <f>_xlfn.XLOOKUP(B212,SuperMarket_Analysis[Invoice ID],SuperMarket_Analysis[Date])</f>
        <v>43516</v>
      </c>
      <c r="B212" s="6" t="s">
        <v>243</v>
      </c>
      <c r="C212" s="7">
        <f>_xlfn.XLOOKUP(B212,SuperMarket_Analysis[Invoice ID],SuperMarket_Analysis[Quantity])</f>
        <v>9</v>
      </c>
      <c r="D212" s="6" t="str">
        <f>_xlfn.XLOOKUP('Input data'!B212,'SuperMarket Analysis'!A:A,'SuperMarket Analysis'!F:F)</f>
        <v>Electronic accessories</v>
      </c>
      <c r="E212" s="6" t="str">
        <f>_xlfn.XLOOKUP(B212,'SuperMarket Analysis'!A:A,'SuperMarket Analysis'!M:M)</f>
        <v>Ewallet</v>
      </c>
      <c r="F212" s="6">
        <f>0.05*Input_Table[[#This Row],[TOTAL C.O.G.S]]</f>
        <v>11.8035</v>
      </c>
      <c r="G212" s="6" t="str">
        <f>_xlfn.XLOOKUP(Input_Table[[#This Row],[INVOICE ID]],'SuperMarket Analysis'!A:A,'SuperMarket Analysis'!B:B)</f>
        <v>Alex</v>
      </c>
      <c r="H212" s="6" t="str">
        <f>_xlfn.XLOOKUP(Input_Table[[#This Row],[INVOICE ID]],'SuperMarket Analysis'!A:A,'SuperMarket Analysis'!F:F)</f>
        <v>Electronic accessories</v>
      </c>
      <c r="I212" s="12">
        <f>_xlfn.XLOOKUP(Input_Table[[#This Row],[INVOICE ID]],'SuperMarket Analysis'!A:A,'SuperMarket Analysis'!G:G)</f>
        <v>26.23</v>
      </c>
      <c r="J212" s="12">
        <f>_xlfn.XLOOKUP(Input_Table[[#This Row],[INVOICE ID]],'SuperMarket Analysis'!A:A,'SuperMarket Analysis'!N:N)</f>
        <v>236.07</v>
      </c>
      <c r="K212" s="12">
        <f>_xlfn.XLOOKUP(Input_Table[[#This Row],[INVOICE ID]],'SuperMarket Analysis'!A:A,'SuperMarket Analysis'!J:J)</f>
        <v>247.87350000000001</v>
      </c>
      <c r="L212" s="6">
        <f>DAY(Input_Table[[#This Row],[DATE]])</f>
        <v>20</v>
      </c>
      <c r="M212" s="6" t="str">
        <f>TEXT(Input_Table[[#This Row],[DATE]],"mmmm")</f>
        <v>February</v>
      </c>
      <c r="N212" s="6">
        <f>YEAR(Input_Table[[#This Row],[DATE]])</f>
        <v>2019</v>
      </c>
    </row>
    <row r="213" spans="1:14" x14ac:dyDescent="0.3">
      <c r="A213" s="2">
        <f>_xlfn.XLOOKUP(B213,SuperMarket_Analysis[Invoice ID],SuperMarket_Analysis[Date])</f>
        <v>43492</v>
      </c>
      <c r="B213" s="6" t="s">
        <v>244</v>
      </c>
      <c r="C213" s="7">
        <f>_xlfn.XLOOKUP(B213,SuperMarket_Analysis[Invoice ID],SuperMarket_Analysis[Quantity])</f>
        <v>9</v>
      </c>
      <c r="D213" s="6" t="str">
        <f>_xlfn.XLOOKUP('Input data'!B213,'SuperMarket Analysis'!A:A,'SuperMarket Analysis'!F:F)</f>
        <v>Food and beverages</v>
      </c>
      <c r="E213" s="6" t="str">
        <f>_xlfn.XLOOKUP(B213,'SuperMarket Analysis'!A:A,'SuperMarket Analysis'!M:M)</f>
        <v>Cash</v>
      </c>
      <c r="F213" s="6">
        <f>0.05*Input_Table[[#This Row],[TOTAL C.O.G.S]]</f>
        <v>41.967000000000006</v>
      </c>
      <c r="G213" s="6" t="str">
        <f>_xlfn.XLOOKUP(Input_Table[[#This Row],[INVOICE ID]],'SuperMarket Analysis'!A:A,'SuperMarket Analysis'!B:B)</f>
        <v>Giza</v>
      </c>
      <c r="H213" s="6" t="str">
        <f>_xlfn.XLOOKUP(Input_Table[[#This Row],[INVOICE ID]],'SuperMarket Analysis'!A:A,'SuperMarket Analysis'!F:F)</f>
        <v>Food and beverages</v>
      </c>
      <c r="I213" s="12">
        <f>_xlfn.XLOOKUP(Input_Table[[#This Row],[INVOICE ID]],'SuperMarket Analysis'!A:A,'SuperMarket Analysis'!G:G)</f>
        <v>93.26</v>
      </c>
      <c r="J213" s="12">
        <f>_xlfn.XLOOKUP(Input_Table[[#This Row],[INVOICE ID]],'SuperMarket Analysis'!A:A,'SuperMarket Analysis'!N:N)</f>
        <v>839.34</v>
      </c>
      <c r="K213" s="12">
        <f>_xlfn.XLOOKUP(Input_Table[[#This Row],[INVOICE ID]],'SuperMarket Analysis'!A:A,'SuperMarket Analysis'!J:J)</f>
        <v>881.30700000000002</v>
      </c>
      <c r="L213" s="6">
        <f>DAY(Input_Table[[#This Row],[DATE]])</f>
        <v>27</v>
      </c>
      <c r="M213" s="6" t="str">
        <f>TEXT(Input_Table[[#This Row],[DATE]],"mmmm")</f>
        <v>January</v>
      </c>
      <c r="N213" s="6">
        <f>YEAR(Input_Table[[#This Row],[DATE]])</f>
        <v>2019</v>
      </c>
    </row>
    <row r="214" spans="1:14" x14ac:dyDescent="0.3">
      <c r="A214" s="2">
        <f>_xlfn.XLOOKUP(B214,SuperMarket_Analysis[Invoice ID],SuperMarket_Analysis[Date])</f>
        <v>43511</v>
      </c>
      <c r="B214" s="6" t="s">
        <v>245</v>
      </c>
      <c r="C214" s="7">
        <f>_xlfn.XLOOKUP(B214,SuperMarket_Analysis[Invoice ID],SuperMarket_Analysis[Quantity])</f>
        <v>5</v>
      </c>
      <c r="D214" s="6" t="str">
        <f>_xlfn.XLOOKUP('Input data'!B214,'SuperMarket Analysis'!A:A,'SuperMarket Analysis'!F:F)</f>
        <v>Home and lifestyle</v>
      </c>
      <c r="E214" s="6" t="str">
        <f>_xlfn.XLOOKUP(B214,'SuperMarket Analysis'!A:A,'SuperMarket Analysis'!M:M)</f>
        <v>Ewallet</v>
      </c>
      <c r="F214" s="6">
        <f>0.05*Input_Table[[#This Row],[TOTAL C.O.G.S]]</f>
        <v>23.090000000000003</v>
      </c>
      <c r="G214" s="6" t="str">
        <f>_xlfn.XLOOKUP(Input_Table[[#This Row],[INVOICE ID]],'SuperMarket Analysis'!A:A,'SuperMarket Analysis'!B:B)</f>
        <v>Cairo</v>
      </c>
      <c r="H214" s="6" t="str">
        <f>_xlfn.XLOOKUP(Input_Table[[#This Row],[INVOICE ID]],'SuperMarket Analysis'!A:A,'SuperMarket Analysis'!F:F)</f>
        <v>Home and lifestyle</v>
      </c>
      <c r="I214" s="12">
        <f>_xlfn.XLOOKUP(Input_Table[[#This Row],[INVOICE ID]],'SuperMarket Analysis'!A:A,'SuperMarket Analysis'!G:G)</f>
        <v>92.36</v>
      </c>
      <c r="J214" s="12">
        <f>_xlfn.XLOOKUP(Input_Table[[#This Row],[INVOICE ID]],'SuperMarket Analysis'!A:A,'SuperMarket Analysis'!N:N)</f>
        <v>461.8</v>
      </c>
      <c r="K214" s="12">
        <f>_xlfn.XLOOKUP(Input_Table[[#This Row],[INVOICE ID]],'SuperMarket Analysis'!A:A,'SuperMarket Analysis'!J:J)</f>
        <v>484.89</v>
      </c>
      <c r="L214" s="6">
        <f>DAY(Input_Table[[#This Row],[DATE]])</f>
        <v>15</v>
      </c>
      <c r="M214" s="6" t="str">
        <f>TEXT(Input_Table[[#This Row],[DATE]],"mmmm")</f>
        <v>February</v>
      </c>
      <c r="N214" s="6">
        <f>YEAR(Input_Table[[#This Row],[DATE]])</f>
        <v>2019</v>
      </c>
    </row>
    <row r="215" spans="1:14" x14ac:dyDescent="0.3">
      <c r="A215" s="2">
        <f>_xlfn.XLOOKUP(B215,SuperMarket_Analysis[Invoice ID],SuperMarket_Analysis[Date])</f>
        <v>43491</v>
      </c>
      <c r="B215" s="6" t="s">
        <v>246</v>
      </c>
      <c r="C215" s="7">
        <f>_xlfn.XLOOKUP(B215,SuperMarket_Analysis[Invoice ID],SuperMarket_Analysis[Quantity])</f>
        <v>3</v>
      </c>
      <c r="D215" s="6" t="str">
        <f>_xlfn.XLOOKUP('Input data'!B215,'SuperMarket Analysis'!A:A,'SuperMarket Analysis'!F:F)</f>
        <v>Sports and travel</v>
      </c>
      <c r="E215" s="6" t="str">
        <f>_xlfn.XLOOKUP(B215,'SuperMarket Analysis'!A:A,'SuperMarket Analysis'!M:M)</f>
        <v>Credit card</v>
      </c>
      <c r="F215" s="6">
        <f>0.05*Input_Table[[#This Row],[TOTAL C.O.G.S]]</f>
        <v>6.9630000000000001</v>
      </c>
      <c r="G215" s="6" t="str">
        <f>_xlfn.XLOOKUP(Input_Table[[#This Row],[INVOICE ID]],'SuperMarket Analysis'!A:A,'SuperMarket Analysis'!B:B)</f>
        <v>Cairo</v>
      </c>
      <c r="H215" s="6" t="str">
        <f>_xlfn.XLOOKUP(Input_Table[[#This Row],[INVOICE ID]],'SuperMarket Analysis'!A:A,'SuperMarket Analysis'!F:F)</f>
        <v>Sports and travel</v>
      </c>
      <c r="I215" s="12">
        <f>_xlfn.XLOOKUP(Input_Table[[#This Row],[INVOICE ID]],'SuperMarket Analysis'!A:A,'SuperMarket Analysis'!G:G)</f>
        <v>46.42</v>
      </c>
      <c r="J215" s="12">
        <f>_xlfn.XLOOKUP(Input_Table[[#This Row],[INVOICE ID]],'SuperMarket Analysis'!A:A,'SuperMarket Analysis'!N:N)</f>
        <v>139.26</v>
      </c>
      <c r="K215" s="12">
        <f>_xlfn.XLOOKUP(Input_Table[[#This Row],[INVOICE ID]],'SuperMarket Analysis'!A:A,'SuperMarket Analysis'!J:J)</f>
        <v>146.22300000000001</v>
      </c>
      <c r="L215" s="6">
        <f>DAY(Input_Table[[#This Row],[DATE]])</f>
        <v>26</v>
      </c>
      <c r="M215" s="6" t="str">
        <f>TEXT(Input_Table[[#This Row],[DATE]],"mmmm")</f>
        <v>January</v>
      </c>
      <c r="N215" s="6">
        <f>YEAR(Input_Table[[#This Row],[DATE]])</f>
        <v>2019</v>
      </c>
    </row>
    <row r="216" spans="1:14" x14ac:dyDescent="0.3">
      <c r="A216" s="2">
        <f>_xlfn.XLOOKUP(B216,SuperMarket_Analysis[Invoice ID],SuperMarket_Analysis[Date])</f>
        <v>43509</v>
      </c>
      <c r="B216" s="6" t="s">
        <v>247</v>
      </c>
      <c r="C216" s="7">
        <f>_xlfn.XLOOKUP(B216,SuperMarket_Analysis[Invoice ID],SuperMarket_Analysis[Quantity])</f>
        <v>7</v>
      </c>
      <c r="D216" s="6" t="str">
        <f>_xlfn.XLOOKUP('Input data'!B216,'SuperMarket Analysis'!A:A,'SuperMarket Analysis'!F:F)</f>
        <v>Sports and travel</v>
      </c>
      <c r="E216" s="6" t="str">
        <f>_xlfn.XLOOKUP(B216,'SuperMarket Analysis'!A:A,'SuperMarket Analysis'!M:M)</f>
        <v>Cash</v>
      </c>
      <c r="F216" s="6">
        <f>0.05*Input_Table[[#This Row],[TOTAL C.O.G.S]]</f>
        <v>10.363500000000002</v>
      </c>
      <c r="G216" s="6" t="str">
        <f>_xlfn.XLOOKUP(Input_Table[[#This Row],[INVOICE ID]],'SuperMarket Analysis'!A:A,'SuperMarket Analysis'!B:B)</f>
        <v>Cairo</v>
      </c>
      <c r="H216" s="6" t="str">
        <f>_xlfn.XLOOKUP(Input_Table[[#This Row],[INVOICE ID]],'SuperMarket Analysis'!A:A,'SuperMarket Analysis'!F:F)</f>
        <v>Sports and travel</v>
      </c>
      <c r="I216" s="12">
        <f>_xlfn.XLOOKUP(Input_Table[[#This Row],[INVOICE ID]],'SuperMarket Analysis'!A:A,'SuperMarket Analysis'!G:G)</f>
        <v>29.61</v>
      </c>
      <c r="J216" s="12">
        <f>_xlfn.XLOOKUP(Input_Table[[#This Row],[INVOICE ID]],'SuperMarket Analysis'!A:A,'SuperMarket Analysis'!N:N)</f>
        <v>207.27</v>
      </c>
      <c r="K216" s="12">
        <f>_xlfn.XLOOKUP(Input_Table[[#This Row],[INVOICE ID]],'SuperMarket Analysis'!A:A,'SuperMarket Analysis'!J:J)</f>
        <v>217.6335</v>
      </c>
      <c r="L216" s="6">
        <f>DAY(Input_Table[[#This Row],[DATE]])</f>
        <v>13</v>
      </c>
      <c r="M216" s="6" t="str">
        <f>TEXT(Input_Table[[#This Row],[DATE]],"mmmm")</f>
        <v>February</v>
      </c>
      <c r="N216" s="6">
        <f>YEAR(Input_Table[[#This Row],[DATE]])</f>
        <v>2019</v>
      </c>
    </row>
    <row r="217" spans="1:14" x14ac:dyDescent="0.3">
      <c r="A217" s="2">
        <f>_xlfn.XLOOKUP(B217,SuperMarket_Analysis[Invoice ID],SuperMarket_Analysis[Date])</f>
        <v>43489</v>
      </c>
      <c r="B217" s="6" t="s">
        <v>248</v>
      </c>
      <c r="C217" s="7">
        <f>_xlfn.XLOOKUP(B217,SuperMarket_Analysis[Invoice ID],SuperMarket_Analysis[Quantity])</f>
        <v>1</v>
      </c>
      <c r="D217" s="6" t="str">
        <f>_xlfn.XLOOKUP('Input data'!B217,'SuperMarket Analysis'!A:A,'SuperMarket Analysis'!F:F)</f>
        <v>Home and lifestyle</v>
      </c>
      <c r="E217" s="6" t="str">
        <f>_xlfn.XLOOKUP(B217,'SuperMarket Analysis'!A:A,'SuperMarket Analysis'!M:M)</f>
        <v>Credit card</v>
      </c>
      <c r="F217" s="6">
        <f>0.05*Input_Table[[#This Row],[TOTAL C.O.G.S]]</f>
        <v>0.91400000000000015</v>
      </c>
      <c r="G217" s="6" t="str">
        <f>_xlfn.XLOOKUP(Input_Table[[#This Row],[INVOICE ID]],'SuperMarket Analysis'!A:A,'SuperMarket Analysis'!B:B)</f>
        <v>Alex</v>
      </c>
      <c r="H217" s="6" t="str">
        <f>_xlfn.XLOOKUP(Input_Table[[#This Row],[INVOICE ID]],'SuperMarket Analysis'!A:A,'SuperMarket Analysis'!F:F)</f>
        <v>Home and lifestyle</v>
      </c>
      <c r="I217" s="12">
        <f>_xlfn.XLOOKUP(Input_Table[[#This Row],[INVOICE ID]],'SuperMarket Analysis'!A:A,'SuperMarket Analysis'!G:G)</f>
        <v>18.28</v>
      </c>
      <c r="J217" s="12">
        <f>_xlfn.XLOOKUP(Input_Table[[#This Row],[INVOICE ID]],'SuperMarket Analysis'!A:A,'SuperMarket Analysis'!N:N)</f>
        <v>18.28</v>
      </c>
      <c r="K217" s="12">
        <f>_xlfn.XLOOKUP(Input_Table[[#This Row],[INVOICE ID]],'SuperMarket Analysis'!A:A,'SuperMarket Analysis'!J:J)</f>
        <v>19.193999999999999</v>
      </c>
      <c r="L217" s="6">
        <f>DAY(Input_Table[[#This Row],[DATE]])</f>
        <v>24</v>
      </c>
      <c r="M217" s="6" t="str">
        <f>TEXT(Input_Table[[#This Row],[DATE]],"mmmm")</f>
        <v>January</v>
      </c>
      <c r="N217" s="6">
        <f>YEAR(Input_Table[[#This Row],[DATE]])</f>
        <v>2019</v>
      </c>
    </row>
    <row r="218" spans="1:14" x14ac:dyDescent="0.3">
      <c r="A218" s="2">
        <f>_xlfn.XLOOKUP(B218,SuperMarket_Analysis[Invoice ID],SuperMarket_Analysis[Date])</f>
        <v>43537</v>
      </c>
      <c r="B218" s="6" t="s">
        <v>249</v>
      </c>
      <c r="C218" s="7">
        <f>_xlfn.XLOOKUP(B218,SuperMarket_Analysis[Invoice ID],SuperMarket_Analysis[Quantity])</f>
        <v>5</v>
      </c>
      <c r="D218" s="6" t="str">
        <f>_xlfn.XLOOKUP('Input data'!B218,'SuperMarket Analysis'!A:A,'SuperMarket Analysis'!F:F)</f>
        <v>Sports and travel</v>
      </c>
      <c r="E218" s="6" t="str">
        <f>_xlfn.XLOOKUP(B218,'SuperMarket Analysis'!A:A,'SuperMarket Analysis'!M:M)</f>
        <v>Cash</v>
      </c>
      <c r="F218" s="6">
        <f>0.05*Input_Table[[#This Row],[TOTAL C.O.G.S]]</f>
        <v>6.1924999999999999</v>
      </c>
      <c r="G218" s="6" t="str">
        <f>_xlfn.XLOOKUP(Input_Table[[#This Row],[INVOICE ID]],'SuperMarket Analysis'!A:A,'SuperMarket Analysis'!B:B)</f>
        <v>Cairo</v>
      </c>
      <c r="H218" s="6" t="str">
        <f>_xlfn.XLOOKUP(Input_Table[[#This Row],[INVOICE ID]],'SuperMarket Analysis'!A:A,'SuperMarket Analysis'!F:F)</f>
        <v>Sports and travel</v>
      </c>
      <c r="I218" s="12">
        <f>_xlfn.XLOOKUP(Input_Table[[#This Row],[INVOICE ID]],'SuperMarket Analysis'!A:A,'SuperMarket Analysis'!G:G)</f>
        <v>24.77</v>
      </c>
      <c r="J218" s="12">
        <f>_xlfn.XLOOKUP(Input_Table[[#This Row],[INVOICE ID]],'SuperMarket Analysis'!A:A,'SuperMarket Analysis'!N:N)</f>
        <v>123.85</v>
      </c>
      <c r="K218" s="12">
        <f>_xlfn.XLOOKUP(Input_Table[[#This Row],[INVOICE ID]],'SuperMarket Analysis'!A:A,'SuperMarket Analysis'!J:J)</f>
        <v>130.04249999999999</v>
      </c>
      <c r="L218" s="6">
        <f>DAY(Input_Table[[#This Row],[DATE]])</f>
        <v>13</v>
      </c>
      <c r="M218" s="6" t="str">
        <f>TEXT(Input_Table[[#This Row],[DATE]],"mmmm")</f>
        <v>March</v>
      </c>
      <c r="N218" s="6">
        <f>YEAR(Input_Table[[#This Row],[DATE]])</f>
        <v>2019</v>
      </c>
    </row>
    <row r="219" spans="1:14" x14ac:dyDescent="0.3">
      <c r="A219" s="2">
        <f>_xlfn.XLOOKUP(B219,SuperMarket_Analysis[Invoice ID],SuperMarket_Analysis[Date])</f>
        <v>43539</v>
      </c>
      <c r="B219" s="6" t="s">
        <v>250</v>
      </c>
      <c r="C219" s="7">
        <f>_xlfn.XLOOKUP(B219,SuperMarket_Analysis[Invoice ID],SuperMarket_Analysis[Quantity])</f>
        <v>3</v>
      </c>
      <c r="D219" s="6" t="str">
        <f>_xlfn.XLOOKUP('Input data'!B219,'SuperMarket Analysis'!A:A,'SuperMarket Analysis'!F:F)</f>
        <v>Electronic accessories</v>
      </c>
      <c r="E219" s="6" t="str">
        <f>_xlfn.XLOOKUP(B219,'SuperMarket Analysis'!A:A,'SuperMarket Analysis'!M:M)</f>
        <v>Cash</v>
      </c>
      <c r="F219" s="6">
        <f>0.05*Input_Table[[#This Row],[TOTAL C.O.G.S]]</f>
        <v>14.196000000000002</v>
      </c>
      <c r="G219" s="6" t="str">
        <f>_xlfn.XLOOKUP(Input_Table[[#This Row],[INVOICE ID]],'SuperMarket Analysis'!A:A,'SuperMarket Analysis'!B:B)</f>
        <v>Alex</v>
      </c>
      <c r="H219" s="6" t="str">
        <f>_xlfn.XLOOKUP(Input_Table[[#This Row],[INVOICE ID]],'SuperMarket Analysis'!A:A,'SuperMarket Analysis'!F:F)</f>
        <v>Electronic accessories</v>
      </c>
      <c r="I219" s="12">
        <f>_xlfn.XLOOKUP(Input_Table[[#This Row],[INVOICE ID]],'SuperMarket Analysis'!A:A,'SuperMarket Analysis'!G:G)</f>
        <v>94.64</v>
      </c>
      <c r="J219" s="12">
        <f>_xlfn.XLOOKUP(Input_Table[[#This Row],[INVOICE ID]],'SuperMarket Analysis'!A:A,'SuperMarket Analysis'!N:N)</f>
        <v>283.92</v>
      </c>
      <c r="K219" s="12">
        <f>_xlfn.XLOOKUP(Input_Table[[#This Row],[INVOICE ID]],'SuperMarket Analysis'!A:A,'SuperMarket Analysis'!J:J)</f>
        <v>298.11599999999999</v>
      </c>
      <c r="L219" s="6">
        <f>DAY(Input_Table[[#This Row],[DATE]])</f>
        <v>15</v>
      </c>
      <c r="M219" s="6" t="str">
        <f>TEXT(Input_Table[[#This Row],[DATE]],"mmmm")</f>
        <v>March</v>
      </c>
      <c r="N219" s="6">
        <f>YEAR(Input_Table[[#This Row],[DATE]])</f>
        <v>2019</v>
      </c>
    </row>
    <row r="220" spans="1:14" x14ac:dyDescent="0.3">
      <c r="A220" s="2">
        <f>_xlfn.XLOOKUP(B220,SuperMarket_Analysis[Invoice ID],SuperMarket_Analysis[Date])</f>
        <v>43549</v>
      </c>
      <c r="B220" s="6" t="s">
        <v>251</v>
      </c>
      <c r="C220" s="7">
        <f>_xlfn.XLOOKUP(B220,SuperMarket_Analysis[Invoice ID],SuperMarket_Analysis[Quantity])</f>
        <v>8</v>
      </c>
      <c r="D220" s="6" t="str">
        <f>_xlfn.XLOOKUP('Input data'!B220,'SuperMarket Analysis'!A:A,'SuperMarket Analysis'!F:F)</f>
        <v>Fashion accessories</v>
      </c>
      <c r="E220" s="6" t="str">
        <f>_xlfn.XLOOKUP(B220,'SuperMarket Analysis'!A:A,'SuperMarket Analysis'!M:M)</f>
        <v>Ewallet</v>
      </c>
      <c r="F220" s="6">
        <f>0.05*Input_Table[[#This Row],[TOTAL C.O.G.S]]</f>
        <v>37.948</v>
      </c>
      <c r="G220" s="6" t="str">
        <f>_xlfn.XLOOKUP(Input_Table[[#This Row],[INVOICE ID]],'SuperMarket Analysis'!A:A,'SuperMarket Analysis'!B:B)</f>
        <v>Cairo</v>
      </c>
      <c r="H220" s="6" t="str">
        <f>_xlfn.XLOOKUP(Input_Table[[#This Row],[INVOICE ID]],'SuperMarket Analysis'!A:A,'SuperMarket Analysis'!F:F)</f>
        <v>Fashion accessories</v>
      </c>
      <c r="I220" s="12">
        <f>_xlfn.XLOOKUP(Input_Table[[#This Row],[INVOICE ID]],'SuperMarket Analysis'!A:A,'SuperMarket Analysis'!G:G)</f>
        <v>94.87</v>
      </c>
      <c r="J220" s="12">
        <f>_xlfn.XLOOKUP(Input_Table[[#This Row],[INVOICE ID]],'SuperMarket Analysis'!A:A,'SuperMarket Analysis'!N:N)</f>
        <v>758.96</v>
      </c>
      <c r="K220" s="12">
        <f>_xlfn.XLOOKUP(Input_Table[[#This Row],[INVOICE ID]],'SuperMarket Analysis'!A:A,'SuperMarket Analysis'!J:J)</f>
        <v>796.90800000000002</v>
      </c>
      <c r="L220" s="6">
        <f>DAY(Input_Table[[#This Row],[DATE]])</f>
        <v>25</v>
      </c>
      <c r="M220" s="6" t="str">
        <f>TEXT(Input_Table[[#This Row],[DATE]],"mmmm")</f>
        <v>March</v>
      </c>
      <c r="N220" s="6">
        <f>YEAR(Input_Table[[#This Row],[DATE]])</f>
        <v>2019</v>
      </c>
    </row>
    <row r="221" spans="1:14" x14ac:dyDescent="0.3">
      <c r="A221" s="2">
        <f>_xlfn.XLOOKUP(B221,SuperMarket_Analysis[Invoice ID],SuperMarket_Analysis[Date])</f>
        <v>43518</v>
      </c>
      <c r="B221" s="6" t="s">
        <v>252</v>
      </c>
      <c r="C221" s="7">
        <f>_xlfn.XLOOKUP(B221,SuperMarket_Analysis[Invoice ID],SuperMarket_Analysis[Quantity])</f>
        <v>3</v>
      </c>
      <c r="D221" s="6" t="str">
        <f>_xlfn.XLOOKUP('Input data'!B221,'SuperMarket Analysis'!A:A,'SuperMarket Analysis'!F:F)</f>
        <v>Food and beverages</v>
      </c>
      <c r="E221" s="6" t="str">
        <f>_xlfn.XLOOKUP(B221,'SuperMarket Analysis'!A:A,'SuperMarket Analysis'!M:M)</f>
        <v>Credit card</v>
      </c>
      <c r="F221" s="6">
        <f>0.05*Input_Table[[#This Row],[TOTAL C.O.G.S]]</f>
        <v>8.6010000000000009</v>
      </c>
      <c r="G221" s="6" t="str">
        <f>_xlfn.XLOOKUP(Input_Table[[#This Row],[INVOICE ID]],'SuperMarket Analysis'!A:A,'SuperMarket Analysis'!B:B)</f>
        <v>Cairo</v>
      </c>
      <c r="H221" s="6" t="str">
        <f>_xlfn.XLOOKUP(Input_Table[[#This Row],[INVOICE ID]],'SuperMarket Analysis'!A:A,'SuperMarket Analysis'!F:F)</f>
        <v>Food and beverages</v>
      </c>
      <c r="I221" s="12">
        <f>_xlfn.XLOOKUP(Input_Table[[#This Row],[INVOICE ID]],'SuperMarket Analysis'!A:A,'SuperMarket Analysis'!G:G)</f>
        <v>57.34</v>
      </c>
      <c r="J221" s="12">
        <f>_xlfn.XLOOKUP(Input_Table[[#This Row],[INVOICE ID]],'SuperMarket Analysis'!A:A,'SuperMarket Analysis'!N:N)</f>
        <v>172.02</v>
      </c>
      <c r="K221" s="12">
        <f>_xlfn.XLOOKUP(Input_Table[[#This Row],[INVOICE ID]],'SuperMarket Analysis'!A:A,'SuperMarket Analysis'!J:J)</f>
        <v>180.62100000000001</v>
      </c>
      <c r="L221" s="6">
        <f>DAY(Input_Table[[#This Row],[DATE]])</f>
        <v>22</v>
      </c>
      <c r="M221" s="6" t="str">
        <f>TEXT(Input_Table[[#This Row],[DATE]],"mmmm")</f>
        <v>February</v>
      </c>
      <c r="N221" s="6">
        <f>YEAR(Input_Table[[#This Row],[DATE]])</f>
        <v>2019</v>
      </c>
    </row>
    <row r="222" spans="1:14" x14ac:dyDescent="0.3">
      <c r="A222" s="2">
        <f>_xlfn.XLOOKUP(B222,SuperMarket_Analysis[Invoice ID],SuperMarket_Analysis[Date])</f>
        <v>43512</v>
      </c>
      <c r="B222" s="6" t="s">
        <v>253</v>
      </c>
      <c r="C222" s="7">
        <f>_xlfn.XLOOKUP(B222,SuperMarket_Analysis[Invoice ID],SuperMarket_Analysis[Quantity])</f>
        <v>6</v>
      </c>
      <c r="D222" s="6" t="str">
        <f>_xlfn.XLOOKUP('Input data'!B222,'SuperMarket Analysis'!A:A,'SuperMarket Analysis'!F:F)</f>
        <v>Electronic accessories</v>
      </c>
      <c r="E222" s="6" t="str">
        <f>_xlfn.XLOOKUP(B222,'SuperMarket Analysis'!A:A,'SuperMarket Analysis'!M:M)</f>
        <v>Ewallet</v>
      </c>
      <c r="F222" s="6">
        <f>0.05*Input_Table[[#This Row],[TOTAL C.O.G.S]]</f>
        <v>13.605000000000002</v>
      </c>
      <c r="G222" s="6" t="str">
        <f>_xlfn.XLOOKUP(Input_Table[[#This Row],[INVOICE ID]],'SuperMarket Analysis'!A:A,'SuperMarket Analysis'!B:B)</f>
        <v>Cairo</v>
      </c>
      <c r="H222" s="6" t="str">
        <f>_xlfn.XLOOKUP(Input_Table[[#This Row],[INVOICE ID]],'SuperMarket Analysis'!A:A,'SuperMarket Analysis'!F:F)</f>
        <v>Electronic accessories</v>
      </c>
      <c r="I222" s="12">
        <f>_xlfn.XLOOKUP(Input_Table[[#This Row],[INVOICE ID]],'SuperMarket Analysis'!A:A,'SuperMarket Analysis'!G:G)</f>
        <v>45.35</v>
      </c>
      <c r="J222" s="12">
        <f>_xlfn.XLOOKUP(Input_Table[[#This Row],[INVOICE ID]],'SuperMarket Analysis'!A:A,'SuperMarket Analysis'!N:N)</f>
        <v>272.10000000000002</v>
      </c>
      <c r="K222" s="12">
        <f>_xlfn.XLOOKUP(Input_Table[[#This Row],[INVOICE ID]],'SuperMarket Analysis'!A:A,'SuperMarket Analysis'!J:J)</f>
        <v>285.70499999999998</v>
      </c>
      <c r="L222" s="6">
        <f>DAY(Input_Table[[#This Row],[DATE]])</f>
        <v>16</v>
      </c>
      <c r="M222" s="6" t="str">
        <f>TEXT(Input_Table[[#This Row],[DATE]],"mmmm")</f>
        <v>February</v>
      </c>
      <c r="N222" s="6">
        <f>YEAR(Input_Table[[#This Row],[DATE]])</f>
        <v>2019</v>
      </c>
    </row>
    <row r="223" spans="1:14" x14ac:dyDescent="0.3">
      <c r="A223" s="2">
        <f>_xlfn.XLOOKUP(B223,SuperMarket_Analysis[Invoice ID],SuperMarket_Analysis[Date])</f>
        <v>43484</v>
      </c>
      <c r="B223" s="6" t="s">
        <v>254</v>
      </c>
      <c r="C223" s="7">
        <f>_xlfn.XLOOKUP(B223,SuperMarket_Analysis[Invoice ID],SuperMarket_Analysis[Quantity])</f>
        <v>7</v>
      </c>
      <c r="D223" s="6" t="str">
        <f>_xlfn.XLOOKUP('Input data'!B223,'SuperMarket Analysis'!A:A,'SuperMarket Analysis'!F:F)</f>
        <v>Food and beverages</v>
      </c>
      <c r="E223" s="6" t="str">
        <f>_xlfn.XLOOKUP(B223,'SuperMarket Analysis'!A:A,'SuperMarket Analysis'!M:M)</f>
        <v>Ewallet</v>
      </c>
      <c r="F223" s="6">
        <f>0.05*Input_Table[[#This Row],[TOTAL C.O.G.S]]</f>
        <v>21.728000000000002</v>
      </c>
      <c r="G223" s="6" t="str">
        <f>_xlfn.XLOOKUP(Input_Table[[#This Row],[INVOICE ID]],'SuperMarket Analysis'!A:A,'SuperMarket Analysis'!B:B)</f>
        <v>Cairo</v>
      </c>
      <c r="H223" s="6" t="str">
        <f>_xlfn.XLOOKUP(Input_Table[[#This Row],[INVOICE ID]],'SuperMarket Analysis'!A:A,'SuperMarket Analysis'!F:F)</f>
        <v>Food and beverages</v>
      </c>
      <c r="I223" s="12">
        <f>_xlfn.XLOOKUP(Input_Table[[#This Row],[INVOICE ID]],'SuperMarket Analysis'!A:A,'SuperMarket Analysis'!G:G)</f>
        <v>62.08</v>
      </c>
      <c r="J223" s="12">
        <f>_xlfn.XLOOKUP(Input_Table[[#This Row],[INVOICE ID]],'SuperMarket Analysis'!A:A,'SuperMarket Analysis'!N:N)</f>
        <v>434.56</v>
      </c>
      <c r="K223" s="12">
        <f>_xlfn.XLOOKUP(Input_Table[[#This Row],[INVOICE ID]],'SuperMarket Analysis'!A:A,'SuperMarket Analysis'!J:J)</f>
        <v>456.28800000000001</v>
      </c>
      <c r="L223" s="6">
        <f>DAY(Input_Table[[#This Row],[DATE]])</f>
        <v>19</v>
      </c>
      <c r="M223" s="6" t="str">
        <f>TEXT(Input_Table[[#This Row],[DATE]],"mmmm")</f>
        <v>January</v>
      </c>
      <c r="N223" s="6">
        <f>YEAR(Input_Table[[#This Row],[DATE]])</f>
        <v>2019</v>
      </c>
    </row>
    <row r="224" spans="1:14" x14ac:dyDescent="0.3">
      <c r="A224" s="2">
        <f>_xlfn.XLOOKUP(B224,SuperMarket_Analysis[Invoice ID],SuperMarket_Analysis[Date])</f>
        <v>43493</v>
      </c>
      <c r="B224" s="6" t="s">
        <v>255</v>
      </c>
      <c r="C224" s="7">
        <f>_xlfn.XLOOKUP(B224,SuperMarket_Analysis[Invoice ID],SuperMarket_Analysis[Quantity])</f>
        <v>5</v>
      </c>
      <c r="D224" s="6" t="str">
        <f>_xlfn.XLOOKUP('Input data'!B224,'SuperMarket Analysis'!A:A,'SuperMarket Analysis'!F:F)</f>
        <v>Electronic accessories</v>
      </c>
      <c r="E224" s="6" t="str">
        <f>_xlfn.XLOOKUP(B224,'SuperMarket Analysis'!A:A,'SuperMarket Analysis'!M:M)</f>
        <v>Cash</v>
      </c>
      <c r="F224" s="6">
        <f>0.05*Input_Table[[#This Row],[TOTAL C.O.G.S]]</f>
        <v>2.9525000000000001</v>
      </c>
      <c r="G224" s="6" t="str">
        <f>_xlfn.XLOOKUP(Input_Table[[#This Row],[INVOICE ID]],'SuperMarket Analysis'!A:A,'SuperMarket Analysis'!B:B)</f>
        <v>Giza</v>
      </c>
      <c r="H224" s="6" t="str">
        <f>_xlfn.XLOOKUP(Input_Table[[#This Row],[INVOICE ID]],'SuperMarket Analysis'!A:A,'SuperMarket Analysis'!F:F)</f>
        <v>Electronic accessories</v>
      </c>
      <c r="I224" s="12">
        <f>_xlfn.XLOOKUP(Input_Table[[#This Row],[INVOICE ID]],'SuperMarket Analysis'!A:A,'SuperMarket Analysis'!G:G)</f>
        <v>11.81</v>
      </c>
      <c r="J224" s="12">
        <f>_xlfn.XLOOKUP(Input_Table[[#This Row],[INVOICE ID]],'SuperMarket Analysis'!A:A,'SuperMarket Analysis'!N:N)</f>
        <v>59.05</v>
      </c>
      <c r="K224" s="12">
        <f>_xlfn.XLOOKUP(Input_Table[[#This Row],[INVOICE ID]],'SuperMarket Analysis'!A:A,'SuperMarket Analysis'!J:J)</f>
        <v>62.002499999999998</v>
      </c>
      <c r="L224" s="6">
        <f>DAY(Input_Table[[#This Row],[DATE]])</f>
        <v>28</v>
      </c>
      <c r="M224" s="6" t="str">
        <f>TEXT(Input_Table[[#This Row],[DATE]],"mmmm")</f>
        <v>January</v>
      </c>
      <c r="N224" s="6">
        <f>YEAR(Input_Table[[#This Row],[DATE]])</f>
        <v>2019</v>
      </c>
    </row>
    <row r="225" spans="1:14" x14ac:dyDescent="0.3">
      <c r="A225" s="2">
        <f>_xlfn.XLOOKUP(B225,SuperMarket_Analysis[Invoice ID],SuperMarket_Analysis[Date])</f>
        <v>43490</v>
      </c>
      <c r="B225" s="6" t="s">
        <v>256</v>
      </c>
      <c r="C225" s="7">
        <f>_xlfn.XLOOKUP(B225,SuperMarket_Analysis[Invoice ID],SuperMarket_Analysis[Quantity])</f>
        <v>1</v>
      </c>
      <c r="D225" s="6" t="str">
        <f>_xlfn.XLOOKUP('Input data'!B225,'SuperMarket Analysis'!A:A,'SuperMarket Analysis'!F:F)</f>
        <v>Fashion accessories</v>
      </c>
      <c r="E225" s="6" t="str">
        <f>_xlfn.XLOOKUP(B225,'SuperMarket Analysis'!A:A,'SuperMarket Analysis'!M:M)</f>
        <v>Cash</v>
      </c>
      <c r="F225" s="6">
        <f>0.05*Input_Table[[#This Row],[TOTAL C.O.G.S]]</f>
        <v>0.627</v>
      </c>
      <c r="G225" s="6" t="str">
        <f>_xlfn.XLOOKUP(Input_Table[[#This Row],[INVOICE ID]],'SuperMarket Analysis'!A:A,'SuperMarket Analysis'!B:B)</f>
        <v>Giza</v>
      </c>
      <c r="H225" s="6" t="str">
        <f>_xlfn.XLOOKUP(Input_Table[[#This Row],[INVOICE ID]],'SuperMarket Analysis'!A:A,'SuperMarket Analysis'!F:F)</f>
        <v>Fashion accessories</v>
      </c>
      <c r="I225" s="12">
        <f>_xlfn.XLOOKUP(Input_Table[[#This Row],[INVOICE ID]],'SuperMarket Analysis'!A:A,'SuperMarket Analysis'!G:G)</f>
        <v>12.54</v>
      </c>
      <c r="J225" s="12">
        <f>_xlfn.XLOOKUP(Input_Table[[#This Row],[INVOICE ID]],'SuperMarket Analysis'!A:A,'SuperMarket Analysis'!N:N)</f>
        <v>12.54</v>
      </c>
      <c r="K225" s="12">
        <f>_xlfn.XLOOKUP(Input_Table[[#This Row],[INVOICE ID]],'SuperMarket Analysis'!A:A,'SuperMarket Analysis'!J:J)</f>
        <v>13.167</v>
      </c>
      <c r="L225" s="6">
        <f>DAY(Input_Table[[#This Row],[DATE]])</f>
        <v>25</v>
      </c>
      <c r="M225" s="6" t="str">
        <f>TEXT(Input_Table[[#This Row],[DATE]],"mmmm")</f>
        <v>January</v>
      </c>
      <c r="N225" s="6">
        <f>YEAR(Input_Table[[#This Row],[DATE]])</f>
        <v>2019</v>
      </c>
    </row>
    <row r="226" spans="1:14" x14ac:dyDescent="0.3">
      <c r="A226" s="2">
        <f>_xlfn.XLOOKUP(B226,SuperMarket_Analysis[Invoice ID],SuperMarket_Analysis[Date])</f>
        <v>43546</v>
      </c>
      <c r="B226" s="6" t="s">
        <v>257</v>
      </c>
      <c r="C226" s="7">
        <f>_xlfn.XLOOKUP(B226,SuperMarket_Analysis[Invoice ID],SuperMarket_Analysis[Quantity])</f>
        <v>2</v>
      </c>
      <c r="D226" s="6" t="str">
        <f>_xlfn.XLOOKUP('Input data'!B226,'SuperMarket Analysis'!A:A,'SuperMarket Analysis'!F:F)</f>
        <v>Food and beverages</v>
      </c>
      <c r="E226" s="6" t="str">
        <f>_xlfn.XLOOKUP(B226,'SuperMarket Analysis'!A:A,'SuperMarket Analysis'!M:M)</f>
        <v>Cash</v>
      </c>
      <c r="F226" s="6">
        <f>0.05*Input_Table[[#This Row],[TOTAL C.O.G.S]]</f>
        <v>4.3250000000000002</v>
      </c>
      <c r="G226" s="6" t="str">
        <f>_xlfn.XLOOKUP(Input_Table[[#This Row],[INVOICE ID]],'SuperMarket Analysis'!A:A,'SuperMarket Analysis'!B:B)</f>
        <v>Alex</v>
      </c>
      <c r="H226" s="6" t="str">
        <f>_xlfn.XLOOKUP(Input_Table[[#This Row],[INVOICE ID]],'SuperMarket Analysis'!A:A,'SuperMarket Analysis'!F:F)</f>
        <v>Food and beverages</v>
      </c>
      <c r="I226" s="12">
        <f>_xlfn.XLOOKUP(Input_Table[[#This Row],[INVOICE ID]],'SuperMarket Analysis'!A:A,'SuperMarket Analysis'!G:G)</f>
        <v>43.25</v>
      </c>
      <c r="J226" s="12">
        <f>_xlfn.XLOOKUP(Input_Table[[#This Row],[INVOICE ID]],'SuperMarket Analysis'!A:A,'SuperMarket Analysis'!N:N)</f>
        <v>86.5</v>
      </c>
      <c r="K226" s="12">
        <f>_xlfn.XLOOKUP(Input_Table[[#This Row],[INVOICE ID]],'SuperMarket Analysis'!A:A,'SuperMarket Analysis'!J:J)</f>
        <v>90.825000000000003</v>
      </c>
      <c r="L226" s="6">
        <f>DAY(Input_Table[[#This Row],[DATE]])</f>
        <v>22</v>
      </c>
      <c r="M226" s="6" t="str">
        <f>TEXT(Input_Table[[#This Row],[DATE]],"mmmm")</f>
        <v>March</v>
      </c>
      <c r="N226" s="6">
        <f>YEAR(Input_Table[[#This Row],[DATE]])</f>
        <v>2019</v>
      </c>
    </row>
    <row r="227" spans="1:14" x14ac:dyDescent="0.3">
      <c r="A227" s="2">
        <f>_xlfn.XLOOKUP(B227,SuperMarket_Analysis[Invoice ID],SuperMarket_Analysis[Date])</f>
        <v>43490</v>
      </c>
      <c r="B227" s="6" t="s">
        <v>258</v>
      </c>
      <c r="C227" s="7">
        <f>_xlfn.XLOOKUP(B227,SuperMarket_Analysis[Invoice ID],SuperMarket_Analysis[Quantity])</f>
        <v>2</v>
      </c>
      <c r="D227" s="6" t="str">
        <f>_xlfn.XLOOKUP('Input data'!B227,'SuperMarket Analysis'!A:A,'SuperMarket Analysis'!F:F)</f>
        <v>Sports and travel</v>
      </c>
      <c r="E227" s="6" t="str">
        <f>_xlfn.XLOOKUP(B227,'SuperMarket Analysis'!A:A,'SuperMarket Analysis'!M:M)</f>
        <v>Credit card</v>
      </c>
      <c r="F227" s="6">
        <f>0.05*Input_Table[[#This Row],[TOTAL C.O.G.S]]</f>
        <v>8.7159999999999993</v>
      </c>
      <c r="G227" s="6" t="str">
        <f>_xlfn.XLOOKUP(Input_Table[[#This Row],[INVOICE ID]],'SuperMarket Analysis'!A:A,'SuperMarket Analysis'!B:B)</f>
        <v>Giza</v>
      </c>
      <c r="H227" s="6" t="str">
        <f>_xlfn.XLOOKUP(Input_Table[[#This Row],[INVOICE ID]],'SuperMarket Analysis'!A:A,'SuperMarket Analysis'!F:F)</f>
        <v>Sports and travel</v>
      </c>
      <c r="I227" s="12">
        <f>_xlfn.XLOOKUP(Input_Table[[#This Row],[INVOICE ID]],'SuperMarket Analysis'!A:A,'SuperMarket Analysis'!G:G)</f>
        <v>87.16</v>
      </c>
      <c r="J227" s="12">
        <f>_xlfn.XLOOKUP(Input_Table[[#This Row],[INVOICE ID]],'SuperMarket Analysis'!A:A,'SuperMarket Analysis'!N:N)</f>
        <v>174.32</v>
      </c>
      <c r="K227" s="12">
        <f>_xlfn.XLOOKUP(Input_Table[[#This Row],[INVOICE ID]],'SuperMarket Analysis'!A:A,'SuperMarket Analysis'!J:J)</f>
        <v>183.036</v>
      </c>
      <c r="L227" s="6">
        <f>DAY(Input_Table[[#This Row],[DATE]])</f>
        <v>25</v>
      </c>
      <c r="M227" s="6" t="str">
        <f>TEXT(Input_Table[[#This Row],[DATE]],"mmmm")</f>
        <v>January</v>
      </c>
      <c r="N227" s="6">
        <f>YEAR(Input_Table[[#This Row],[DATE]])</f>
        <v>2019</v>
      </c>
    </row>
    <row r="228" spans="1:14" x14ac:dyDescent="0.3">
      <c r="A228" s="2">
        <f>_xlfn.XLOOKUP(B228,SuperMarket_Analysis[Invoice ID],SuperMarket_Analysis[Date])</f>
        <v>43487</v>
      </c>
      <c r="B228" s="6" t="s">
        <v>259</v>
      </c>
      <c r="C228" s="7">
        <f>_xlfn.XLOOKUP(B228,SuperMarket_Analysis[Invoice ID],SuperMarket_Analysis[Quantity])</f>
        <v>9</v>
      </c>
      <c r="D228" s="6" t="str">
        <f>_xlfn.XLOOKUP('Input data'!B228,'SuperMarket Analysis'!A:A,'SuperMarket Analysis'!F:F)</f>
        <v>Health and beauty</v>
      </c>
      <c r="E228" s="6" t="str">
        <f>_xlfn.XLOOKUP(B228,'SuperMarket Analysis'!A:A,'SuperMarket Analysis'!M:M)</f>
        <v>Ewallet</v>
      </c>
      <c r="F228" s="6">
        <f>0.05*Input_Table[[#This Row],[TOTAL C.O.G.S]]</f>
        <v>31.216500000000003</v>
      </c>
      <c r="G228" s="6" t="str">
        <f>_xlfn.XLOOKUP(Input_Table[[#This Row],[INVOICE ID]],'SuperMarket Analysis'!A:A,'SuperMarket Analysis'!B:B)</f>
        <v>Cairo</v>
      </c>
      <c r="H228" s="6" t="str">
        <f>_xlfn.XLOOKUP(Input_Table[[#This Row],[INVOICE ID]],'SuperMarket Analysis'!A:A,'SuperMarket Analysis'!F:F)</f>
        <v>Health and beauty</v>
      </c>
      <c r="I228" s="12">
        <f>_xlfn.XLOOKUP(Input_Table[[#This Row],[INVOICE ID]],'SuperMarket Analysis'!A:A,'SuperMarket Analysis'!G:G)</f>
        <v>69.37</v>
      </c>
      <c r="J228" s="12">
        <f>_xlfn.XLOOKUP(Input_Table[[#This Row],[INVOICE ID]],'SuperMarket Analysis'!A:A,'SuperMarket Analysis'!N:N)</f>
        <v>624.33000000000004</v>
      </c>
      <c r="K228" s="12">
        <f>_xlfn.XLOOKUP(Input_Table[[#This Row],[INVOICE ID]],'SuperMarket Analysis'!A:A,'SuperMarket Analysis'!J:J)</f>
        <v>655.54650000000004</v>
      </c>
      <c r="L228" s="6">
        <f>DAY(Input_Table[[#This Row],[DATE]])</f>
        <v>22</v>
      </c>
      <c r="M228" s="6" t="str">
        <f>TEXT(Input_Table[[#This Row],[DATE]],"mmmm")</f>
        <v>January</v>
      </c>
      <c r="N228" s="6">
        <f>YEAR(Input_Table[[#This Row],[DATE]])</f>
        <v>2019</v>
      </c>
    </row>
    <row r="229" spans="1:14" x14ac:dyDescent="0.3">
      <c r="A229" s="2">
        <f>_xlfn.XLOOKUP(B229,SuperMarket_Analysis[Invoice ID],SuperMarket_Analysis[Date])</f>
        <v>43552</v>
      </c>
      <c r="B229" s="6" t="s">
        <v>260</v>
      </c>
      <c r="C229" s="7">
        <f>_xlfn.XLOOKUP(B229,SuperMarket_Analysis[Invoice ID],SuperMarket_Analysis[Quantity])</f>
        <v>4</v>
      </c>
      <c r="D229" s="6" t="str">
        <f>_xlfn.XLOOKUP('Input data'!B229,'SuperMarket Analysis'!A:A,'SuperMarket Analysis'!F:F)</f>
        <v>Electronic accessories</v>
      </c>
      <c r="E229" s="6" t="str">
        <f>_xlfn.XLOOKUP(B229,'SuperMarket Analysis'!A:A,'SuperMarket Analysis'!M:M)</f>
        <v>Ewallet</v>
      </c>
      <c r="F229" s="6">
        <f>0.05*Input_Table[[#This Row],[TOTAL C.O.G.S]]</f>
        <v>7.4120000000000008</v>
      </c>
      <c r="G229" s="6" t="str">
        <f>_xlfn.XLOOKUP(Input_Table[[#This Row],[INVOICE ID]],'SuperMarket Analysis'!A:A,'SuperMarket Analysis'!B:B)</f>
        <v>Giza</v>
      </c>
      <c r="H229" s="6" t="str">
        <f>_xlfn.XLOOKUP(Input_Table[[#This Row],[INVOICE ID]],'SuperMarket Analysis'!A:A,'SuperMarket Analysis'!F:F)</f>
        <v>Electronic accessories</v>
      </c>
      <c r="I229" s="12">
        <f>_xlfn.XLOOKUP(Input_Table[[#This Row],[INVOICE ID]],'SuperMarket Analysis'!A:A,'SuperMarket Analysis'!G:G)</f>
        <v>37.06</v>
      </c>
      <c r="J229" s="12">
        <f>_xlfn.XLOOKUP(Input_Table[[#This Row],[INVOICE ID]],'SuperMarket Analysis'!A:A,'SuperMarket Analysis'!N:N)</f>
        <v>148.24</v>
      </c>
      <c r="K229" s="12">
        <f>_xlfn.XLOOKUP(Input_Table[[#This Row],[INVOICE ID]],'SuperMarket Analysis'!A:A,'SuperMarket Analysis'!J:J)</f>
        <v>155.65199999999999</v>
      </c>
      <c r="L229" s="6">
        <f>DAY(Input_Table[[#This Row],[DATE]])</f>
        <v>28</v>
      </c>
      <c r="M229" s="6" t="str">
        <f>TEXT(Input_Table[[#This Row],[DATE]],"mmmm")</f>
        <v>March</v>
      </c>
      <c r="N229" s="6">
        <f>YEAR(Input_Table[[#This Row],[DATE]])</f>
        <v>2019</v>
      </c>
    </row>
    <row r="230" spans="1:14" x14ac:dyDescent="0.3">
      <c r="A230" s="2">
        <f>_xlfn.XLOOKUP(B230,SuperMarket_Analysis[Invoice ID],SuperMarket_Analysis[Date])</f>
        <v>43488</v>
      </c>
      <c r="B230" s="6" t="s">
        <v>261</v>
      </c>
      <c r="C230" s="7">
        <f>_xlfn.XLOOKUP(B230,SuperMarket_Analysis[Invoice ID],SuperMarket_Analysis[Quantity])</f>
        <v>6</v>
      </c>
      <c r="D230" s="6" t="str">
        <f>_xlfn.XLOOKUP('Input data'!B230,'SuperMarket Analysis'!A:A,'SuperMarket Analysis'!F:F)</f>
        <v>Electronic accessories</v>
      </c>
      <c r="E230" s="6" t="str">
        <f>_xlfn.XLOOKUP(B230,'SuperMarket Analysis'!A:A,'SuperMarket Analysis'!M:M)</f>
        <v>Cash</v>
      </c>
      <c r="F230" s="6">
        <f>0.05*Input_Table[[#This Row],[TOTAL C.O.G.S]]</f>
        <v>27.210000000000004</v>
      </c>
      <c r="G230" s="6" t="str">
        <f>_xlfn.XLOOKUP(Input_Table[[#This Row],[INVOICE ID]],'SuperMarket Analysis'!A:A,'SuperMarket Analysis'!B:B)</f>
        <v>Cairo</v>
      </c>
      <c r="H230" s="6" t="str">
        <f>_xlfn.XLOOKUP(Input_Table[[#This Row],[INVOICE ID]],'SuperMarket Analysis'!A:A,'SuperMarket Analysis'!F:F)</f>
        <v>Electronic accessories</v>
      </c>
      <c r="I230" s="12">
        <f>_xlfn.XLOOKUP(Input_Table[[#This Row],[INVOICE ID]],'SuperMarket Analysis'!A:A,'SuperMarket Analysis'!G:G)</f>
        <v>90.7</v>
      </c>
      <c r="J230" s="12">
        <f>_xlfn.XLOOKUP(Input_Table[[#This Row],[INVOICE ID]],'SuperMarket Analysis'!A:A,'SuperMarket Analysis'!N:N)</f>
        <v>544.20000000000005</v>
      </c>
      <c r="K230" s="12">
        <f>_xlfn.XLOOKUP(Input_Table[[#This Row],[INVOICE ID]],'SuperMarket Analysis'!A:A,'SuperMarket Analysis'!J:J)</f>
        <v>571.41</v>
      </c>
      <c r="L230" s="6">
        <f>DAY(Input_Table[[#This Row],[DATE]])</f>
        <v>23</v>
      </c>
      <c r="M230" s="6" t="str">
        <f>TEXT(Input_Table[[#This Row],[DATE]],"mmmm")</f>
        <v>January</v>
      </c>
      <c r="N230" s="6">
        <f>YEAR(Input_Table[[#This Row],[DATE]])</f>
        <v>2019</v>
      </c>
    </row>
    <row r="231" spans="1:14" x14ac:dyDescent="0.3">
      <c r="A231" s="2">
        <f>_xlfn.XLOOKUP(B231,SuperMarket_Analysis[Invoice ID],SuperMarket_Analysis[Date])</f>
        <v>43543</v>
      </c>
      <c r="B231" s="6" t="s">
        <v>262</v>
      </c>
      <c r="C231" s="7">
        <f>_xlfn.XLOOKUP(B231,SuperMarket_Analysis[Invoice ID],SuperMarket_Analysis[Quantity])</f>
        <v>8</v>
      </c>
      <c r="D231" s="6" t="str">
        <f>_xlfn.XLOOKUP('Input data'!B231,'SuperMarket Analysis'!A:A,'SuperMarket Analysis'!F:F)</f>
        <v>Home and lifestyle</v>
      </c>
      <c r="E231" s="6" t="str">
        <f>_xlfn.XLOOKUP(B231,'SuperMarket Analysis'!A:A,'SuperMarket Analysis'!M:M)</f>
        <v>Ewallet</v>
      </c>
      <c r="F231" s="6">
        <f>0.05*Input_Table[[#This Row],[TOTAL C.O.G.S]]</f>
        <v>25.368000000000002</v>
      </c>
      <c r="G231" s="6" t="str">
        <f>_xlfn.XLOOKUP(Input_Table[[#This Row],[INVOICE ID]],'SuperMarket Analysis'!A:A,'SuperMarket Analysis'!B:B)</f>
        <v>Alex</v>
      </c>
      <c r="H231" s="6" t="str">
        <f>_xlfn.XLOOKUP(Input_Table[[#This Row],[INVOICE ID]],'SuperMarket Analysis'!A:A,'SuperMarket Analysis'!F:F)</f>
        <v>Home and lifestyle</v>
      </c>
      <c r="I231" s="12">
        <f>_xlfn.XLOOKUP(Input_Table[[#This Row],[INVOICE ID]],'SuperMarket Analysis'!A:A,'SuperMarket Analysis'!G:G)</f>
        <v>63.42</v>
      </c>
      <c r="J231" s="12">
        <f>_xlfn.XLOOKUP(Input_Table[[#This Row],[INVOICE ID]],'SuperMarket Analysis'!A:A,'SuperMarket Analysis'!N:N)</f>
        <v>507.36</v>
      </c>
      <c r="K231" s="12">
        <f>_xlfn.XLOOKUP(Input_Table[[#This Row],[INVOICE ID]],'SuperMarket Analysis'!A:A,'SuperMarket Analysis'!J:J)</f>
        <v>532.72799999999995</v>
      </c>
      <c r="L231" s="6">
        <f>DAY(Input_Table[[#This Row],[DATE]])</f>
        <v>19</v>
      </c>
      <c r="M231" s="6" t="str">
        <f>TEXT(Input_Table[[#This Row],[DATE]],"mmmm")</f>
        <v>March</v>
      </c>
      <c r="N231" s="6">
        <f>YEAR(Input_Table[[#This Row],[DATE]])</f>
        <v>2019</v>
      </c>
    </row>
    <row r="232" spans="1:14" x14ac:dyDescent="0.3">
      <c r="A232" s="2">
        <f>_xlfn.XLOOKUP(B232,SuperMarket_Analysis[Invoice ID],SuperMarket_Analysis[Date])</f>
        <v>43486</v>
      </c>
      <c r="B232" s="6" t="s">
        <v>263</v>
      </c>
      <c r="C232" s="7">
        <f>_xlfn.XLOOKUP(B232,SuperMarket_Analysis[Invoice ID],SuperMarket_Analysis[Quantity])</f>
        <v>2</v>
      </c>
      <c r="D232" s="6" t="str">
        <f>_xlfn.XLOOKUP('Input data'!B232,'SuperMarket Analysis'!A:A,'SuperMarket Analysis'!F:F)</f>
        <v>Fashion accessories</v>
      </c>
      <c r="E232" s="6" t="str">
        <f>_xlfn.XLOOKUP(B232,'SuperMarket Analysis'!A:A,'SuperMarket Analysis'!M:M)</f>
        <v>Cash</v>
      </c>
      <c r="F232" s="6">
        <f>0.05*Input_Table[[#This Row],[TOTAL C.O.G.S]]</f>
        <v>8.1370000000000005</v>
      </c>
      <c r="G232" s="6" t="str">
        <f>_xlfn.XLOOKUP(Input_Table[[#This Row],[INVOICE ID]],'SuperMarket Analysis'!A:A,'SuperMarket Analysis'!B:B)</f>
        <v>Cairo</v>
      </c>
      <c r="H232" s="6" t="str">
        <f>_xlfn.XLOOKUP(Input_Table[[#This Row],[INVOICE ID]],'SuperMarket Analysis'!A:A,'SuperMarket Analysis'!F:F)</f>
        <v>Fashion accessories</v>
      </c>
      <c r="I232" s="12">
        <f>_xlfn.XLOOKUP(Input_Table[[#This Row],[INVOICE ID]],'SuperMarket Analysis'!A:A,'SuperMarket Analysis'!G:G)</f>
        <v>81.37</v>
      </c>
      <c r="J232" s="12">
        <f>_xlfn.XLOOKUP(Input_Table[[#This Row],[INVOICE ID]],'SuperMarket Analysis'!A:A,'SuperMarket Analysis'!N:N)</f>
        <v>162.74</v>
      </c>
      <c r="K232" s="12">
        <f>_xlfn.XLOOKUP(Input_Table[[#This Row],[INVOICE ID]],'SuperMarket Analysis'!A:A,'SuperMarket Analysis'!J:J)</f>
        <v>170.87700000000001</v>
      </c>
      <c r="L232" s="6">
        <f>DAY(Input_Table[[#This Row],[DATE]])</f>
        <v>21</v>
      </c>
      <c r="M232" s="6" t="str">
        <f>TEXT(Input_Table[[#This Row],[DATE]],"mmmm")</f>
        <v>January</v>
      </c>
      <c r="N232" s="6">
        <f>YEAR(Input_Table[[#This Row],[DATE]])</f>
        <v>2019</v>
      </c>
    </row>
    <row r="233" spans="1:14" x14ac:dyDescent="0.3">
      <c r="A233" s="2">
        <f>_xlfn.XLOOKUP(B233,SuperMarket_Analysis[Invoice ID],SuperMarket_Analysis[Date])</f>
        <v>43544</v>
      </c>
      <c r="B233" s="6" t="s">
        <v>264</v>
      </c>
      <c r="C233" s="7">
        <f>_xlfn.XLOOKUP(B233,SuperMarket_Analysis[Invoice ID],SuperMarket_Analysis[Quantity])</f>
        <v>3</v>
      </c>
      <c r="D233" s="6" t="str">
        <f>_xlfn.XLOOKUP('Input data'!B233,'SuperMarket Analysis'!A:A,'SuperMarket Analysis'!F:F)</f>
        <v>Electronic accessories</v>
      </c>
      <c r="E233" s="6" t="str">
        <f>_xlfn.XLOOKUP(B233,'SuperMarket Analysis'!A:A,'SuperMarket Analysis'!M:M)</f>
        <v>Credit card</v>
      </c>
      <c r="F233" s="6">
        <f>0.05*Input_Table[[#This Row],[TOTAL C.O.G.S]]</f>
        <v>1.5885</v>
      </c>
      <c r="G233" s="6" t="str">
        <f>_xlfn.XLOOKUP(Input_Table[[#This Row],[INVOICE ID]],'SuperMarket Analysis'!A:A,'SuperMarket Analysis'!B:B)</f>
        <v>Cairo</v>
      </c>
      <c r="H233" s="6" t="str">
        <f>_xlfn.XLOOKUP(Input_Table[[#This Row],[INVOICE ID]],'SuperMarket Analysis'!A:A,'SuperMarket Analysis'!F:F)</f>
        <v>Electronic accessories</v>
      </c>
      <c r="I233" s="12">
        <f>_xlfn.XLOOKUP(Input_Table[[#This Row],[INVOICE ID]],'SuperMarket Analysis'!A:A,'SuperMarket Analysis'!G:G)</f>
        <v>10.59</v>
      </c>
      <c r="J233" s="12">
        <f>_xlfn.XLOOKUP(Input_Table[[#This Row],[INVOICE ID]],'SuperMarket Analysis'!A:A,'SuperMarket Analysis'!N:N)</f>
        <v>31.77</v>
      </c>
      <c r="K233" s="12">
        <f>_xlfn.XLOOKUP(Input_Table[[#This Row],[INVOICE ID]],'SuperMarket Analysis'!A:A,'SuperMarket Analysis'!J:J)</f>
        <v>33.358499999999999</v>
      </c>
      <c r="L233" s="6">
        <f>DAY(Input_Table[[#This Row],[DATE]])</f>
        <v>20</v>
      </c>
      <c r="M233" s="6" t="str">
        <f>TEXT(Input_Table[[#This Row],[DATE]],"mmmm")</f>
        <v>March</v>
      </c>
      <c r="N233" s="6">
        <f>YEAR(Input_Table[[#This Row],[DATE]])</f>
        <v>2019</v>
      </c>
    </row>
    <row r="234" spans="1:14" x14ac:dyDescent="0.3">
      <c r="A234" s="2">
        <f>_xlfn.XLOOKUP(B234,SuperMarket_Analysis[Invoice ID],SuperMarket_Analysis[Date])</f>
        <v>43523</v>
      </c>
      <c r="B234" s="6" t="s">
        <v>265</v>
      </c>
      <c r="C234" s="7">
        <f>_xlfn.XLOOKUP(B234,SuperMarket_Analysis[Invoice ID],SuperMarket_Analysis[Quantity])</f>
        <v>9</v>
      </c>
      <c r="D234" s="6" t="str">
        <f>_xlfn.XLOOKUP('Input data'!B234,'SuperMarket Analysis'!A:A,'SuperMarket Analysis'!F:F)</f>
        <v>Health and beauty</v>
      </c>
      <c r="E234" s="6" t="str">
        <f>_xlfn.XLOOKUP(B234,'SuperMarket Analysis'!A:A,'SuperMarket Analysis'!M:M)</f>
        <v>Cash</v>
      </c>
      <c r="F234" s="6">
        <f>0.05*Input_Table[[#This Row],[TOTAL C.O.G.S]]</f>
        <v>37.840499999999999</v>
      </c>
      <c r="G234" s="6" t="str">
        <f>_xlfn.XLOOKUP(Input_Table[[#This Row],[INVOICE ID]],'SuperMarket Analysis'!A:A,'SuperMarket Analysis'!B:B)</f>
        <v>Cairo</v>
      </c>
      <c r="H234" s="6" t="str">
        <f>_xlfn.XLOOKUP(Input_Table[[#This Row],[INVOICE ID]],'SuperMarket Analysis'!A:A,'SuperMarket Analysis'!F:F)</f>
        <v>Health and beauty</v>
      </c>
      <c r="I234" s="12">
        <f>_xlfn.XLOOKUP(Input_Table[[#This Row],[INVOICE ID]],'SuperMarket Analysis'!A:A,'SuperMarket Analysis'!G:G)</f>
        <v>84.09</v>
      </c>
      <c r="J234" s="12">
        <f>_xlfn.XLOOKUP(Input_Table[[#This Row],[INVOICE ID]],'SuperMarket Analysis'!A:A,'SuperMarket Analysis'!N:N)</f>
        <v>756.81</v>
      </c>
      <c r="K234" s="12">
        <f>_xlfn.XLOOKUP(Input_Table[[#This Row],[INVOICE ID]],'SuperMarket Analysis'!A:A,'SuperMarket Analysis'!J:J)</f>
        <v>794.65049999999997</v>
      </c>
      <c r="L234" s="6">
        <f>DAY(Input_Table[[#This Row],[DATE]])</f>
        <v>27</v>
      </c>
      <c r="M234" s="6" t="str">
        <f>TEXT(Input_Table[[#This Row],[DATE]],"mmmm")</f>
        <v>February</v>
      </c>
      <c r="N234" s="6">
        <f>YEAR(Input_Table[[#This Row],[DATE]])</f>
        <v>2019</v>
      </c>
    </row>
    <row r="235" spans="1:14" x14ac:dyDescent="0.3">
      <c r="A235" s="2">
        <f>_xlfn.XLOOKUP(B235,SuperMarket_Analysis[Invoice ID],SuperMarket_Analysis[Date])</f>
        <v>43496</v>
      </c>
      <c r="B235" s="6" t="s">
        <v>266</v>
      </c>
      <c r="C235" s="7">
        <f>_xlfn.XLOOKUP(B235,SuperMarket_Analysis[Invoice ID],SuperMarket_Analysis[Quantity])</f>
        <v>4</v>
      </c>
      <c r="D235" s="6" t="str">
        <f>_xlfn.XLOOKUP('Input data'!B235,'SuperMarket Analysis'!A:A,'SuperMarket Analysis'!F:F)</f>
        <v>Fashion accessories</v>
      </c>
      <c r="E235" s="6" t="str">
        <f>_xlfn.XLOOKUP(B235,'SuperMarket Analysis'!A:A,'SuperMarket Analysis'!M:M)</f>
        <v>Cash</v>
      </c>
      <c r="F235" s="6">
        <f>0.05*Input_Table[[#This Row],[TOTAL C.O.G.S]]</f>
        <v>14.763999999999999</v>
      </c>
      <c r="G235" s="6" t="str">
        <f>_xlfn.XLOOKUP(Input_Table[[#This Row],[INVOICE ID]],'SuperMarket Analysis'!A:A,'SuperMarket Analysis'!B:B)</f>
        <v>Cairo</v>
      </c>
      <c r="H235" s="6" t="str">
        <f>_xlfn.XLOOKUP(Input_Table[[#This Row],[INVOICE ID]],'SuperMarket Analysis'!A:A,'SuperMarket Analysis'!F:F)</f>
        <v>Fashion accessories</v>
      </c>
      <c r="I235" s="12">
        <f>_xlfn.XLOOKUP(Input_Table[[#This Row],[INVOICE ID]],'SuperMarket Analysis'!A:A,'SuperMarket Analysis'!G:G)</f>
        <v>73.819999999999993</v>
      </c>
      <c r="J235" s="12">
        <f>_xlfn.XLOOKUP(Input_Table[[#This Row],[INVOICE ID]],'SuperMarket Analysis'!A:A,'SuperMarket Analysis'!N:N)</f>
        <v>295.27999999999997</v>
      </c>
      <c r="K235" s="12">
        <f>_xlfn.XLOOKUP(Input_Table[[#This Row],[INVOICE ID]],'SuperMarket Analysis'!A:A,'SuperMarket Analysis'!J:J)</f>
        <v>310.04399999999998</v>
      </c>
      <c r="L235" s="6">
        <f>DAY(Input_Table[[#This Row],[DATE]])</f>
        <v>31</v>
      </c>
      <c r="M235" s="6" t="str">
        <f>TEXT(Input_Table[[#This Row],[DATE]],"mmmm")</f>
        <v>January</v>
      </c>
      <c r="N235" s="6">
        <f>YEAR(Input_Table[[#This Row],[DATE]])</f>
        <v>2019</v>
      </c>
    </row>
    <row r="236" spans="1:14" x14ac:dyDescent="0.3">
      <c r="A236" s="2">
        <f>_xlfn.XLOOKUP(B236,SuperMarket_Analysis[Invoice ID],SuperMarket_Analysis[Date])</f>
        <v>43478</v>
      </c>
      <c r="B236" s="6" t="s">
        <v>267</v>
      </c>
      <c r="C236" s="7">
        <f>_xlfn.XLOOKUP(B236,SuperMarket_Analysis[Invoice ID],SuperMarket_Analysis[Quantity])</f>
        <v>10</v>
      </c>
      <c r="D236" s="6" t="str">
        <f>_xlfn.XLOOKUP('Input data'!B236,'SuperMarket Analysis'!A:A,'SuperMarket Analysis'!F:F)</f>
        <v>Health and beauty</v>
      </c>
      <c r="E236" s="6" t="str">
        <f>_xlfn.XLOOKUP(B236,'SuperMarket Analysis'!A:A,'SuperMarket Analysis'!M:M)</f>
        <v>Ewallet</v>
      </c>
      <c r="F236" s="6">
        <f>0.05*Input_Table[[#This Row],[TOTAL C.O.G.S]]</f>
        <v>25.97</v>
      </c>
      <c r="G236" s="6" t="str">
        <f>_xlfn.XLOOKUP(Input_Table[[#This Row],[INVOICE ID]],'SuperMarket Analysis'!A:A,'SuperMarket Analysis'!B:B)</f>
        <v>Alex</v>
      </c>
      <c r="H236" s="6" t="str">
        <f>_xlfn.XLOOKUP(Input_Table[[#This Row],[INVOICE ID]],'SuperMarket Analysis'!A:A,'SuperMarket Analysis'!F:F)</f>
        <v>Health and beauty</v>
      </c>
      <c r="I236" s="12">
        <f>_xlfn.XLOOKUP(Input_Table[[#This Row],[INVOICE ID]],'SuperMarket Analysis'!A:A,'SuperMarket Analysis'!G:G)</f>
        <v>51.94</v>
      </c>
      <c r="J236" s="12">
        <f>_xlfn.XLOOKUP(Input_Table[[#This Row],[INVOICE ID]],'SuperMarket Analysis'!A:A,'SuperMarket Analysis'!N:N)</f>
        <v>519.4</v>
      </c>
      <c r="K236" s="12">
        <f>_xlfn.XLOOKUP(Input_Table[[#This Row],[INVOICE ID]],'SuperMarket Analysis'!A:A,'SuperMarket Analysis'!J:J)</f>
        <v>545.37</v>
      </c>
      <c r="L236" s="6">
        <f>DAY(Input_Table[[#This Row],[DATE]])</f>
        <v>13</v>
      </c>
      <c r="M236" s="6" t="str">
        <f>TEXT(Input_Table[[#This Row],[DATE]],"mmmm")</f>
        <v>January</v>
      </c>
      <c r="N236" s="6">
        <f>YEAR(Input_Table[[#This Row],[DATE]])</f>
        <v>2019</v>
      </c>
    </row>
    <row r="237" spans="1:14" x14ac:dyDescent="0.3">
      <c r="A237" s="2">
        <f>_xlfn.XLOOKUP(B237,SuperMarket_Analysis[Invoice ID],SuperMarket_Analysis[Date])</f>
        <v>43518</v>
      </c>
      <c r="B237" s="6" t="s">
        <v>268</v>
      </c>
      <c r="C237" s="7">
        <f>_xlfn.XLOOKUP(B237,SuperMarket_Analysis[Invoice ID],SuperMarket_Analysis[Quantity])</f>
        <v>2</v>
      </c>
      <c r="D237" s="6" t="str">
        <f>_xlfn.XLOOKUP('Input data'!B237,'SuperMarket Analysis'!A:A,'SuperMarket Analysis'!F:F)</f>
        <v>Sports and travel</v>
      </c>
      <c r="E237" s="6" t="str">
        <f>_xlfn.XLOOKUP(B237,'SuperMarket Analysis'!A:A,'SuperMarket Analysis'!M:M)</f>
        <v>Ewallet</v>
      </c>
      <c r="F237" s="6">
        <f>0.05*Input_Table[[#This Row],[TOTAL C.O.G.S]]</f>
        <v>9.3140000000000001</v>
      </c>
      <c r="G237" s="6" t="str">
        <f>_xlfn.XLOOKUP(Input_Table[[#This Row],[INVOICE ID]],'SuperMarket Analysis'!A:A,'SuperMarket Analysis'!B:B)</f>
        <v>Alex</v>
      </c>
      <c r="H237" s="6" t="str">
        <f>_xlfn.XLOOKUP(Input_Table[[#This Row],[INVOICE ID]],'SuperMarket Analysis'!A:A,'SuperMarket Analysis'!F:F)</f>
        <v>Sports and travel</v>
      </c>
      <c r="I237" s="12">
        <f>_xlfn.XLOOKUP(Input_Table[[#This Row],[INVOICE ID]],'SuperMarket Analysis'!A:A,'SuperMarket Analysis'!G:G)</f>
        <v>93.14</v>
      </c>
      <c r="J237" s="12">
        <f>_xlfn.XLOOKUP(Input_Table[[#This Row],[INVOICE ID]],'SuperMarket Analysis'!A:A,'SuperMarket Analysis'!N:N)</f>
        <v>186.28</v>
      </c>
      <c r="K237" s="12">
        <f>_xlfn.XLOOKUP(Input_Table[[#This Row],[INVOICE ID]],'SuperMarket Analysis'!A:A,'SuperMarket Analysis'!J:J)</f>
        <v>195.59399999999999</v>
      </c>
      <c r="L237" s="6">
        <f>DAY(Input_Table[[#This Row],[DATE]])</f>
        <v>22</v>
      </c>
      <c r="M237" s="6" t="str">
        <f>TEXT(Input_Table[[#This Row],[DATE]],"mmmm")</f>
        <v>February</v>
      </c>
      <c r="N237" s="6">
        <f>YEAR(Input_Table[[#This Row],[DATE]])</f>
        <v>2019</v>
      </c>
    </row>
    <row r="238" spans="1:14" x14ac:dyDescent="0.3">
      <c r="A238" s="2">
        <f>_xlfn.XLOOKUP(B238,SuperMarket_Analysis[Invoice ID],SuperMarket_Analysis[Date])</f>
        <v>43543</v>
      </c>
      <c r="B238" s="6" t="s">
        <v>269</v>
      </c>
      <c r="C238" s="7">
        <f>_xlfn.XLOOKUP(B238,SuperMarket_Analysis[Invoice ID],SuperMarket_Analysis[Quantity])</f>
        <v>5</v>
      </c>
      <c r="D238" s="6" t="str">
        <f>_xlfn.XLOOKUP('Input data'!B238,'SuperMarket Analysis'!A:A,'SuperMarket Analysis'!F:F)</f>
        <v>Health and beauty</v>
      </c>
      <c r="E238" s="6" t="str">
        <f>_xlfn.XLOOKUP(B238,'SuperMarket Analysis'!A:A,'SuperMarket Analysis'!M:M)</f>
        <v>Credit card</v>
      </c>
      <c r="F238" s="6">
        <f>0.05*Input_Table[[#This Row],[TOTAL C.O.G.S]]</f>
        <v>4.3525</v>
      </c>
      <c r="G238" s="6" t="str">
        <f>_xlfn.XLOOKUP(Input_Table[[#This Row],[INVOICE ID]],'SuperMarket Analysis'!A:A,'SuperMarket Analysis'!B:B)</f>
        <v>Giza</v>
      </c>
      <c r="H238" s="6" t="str">
        <f>_xlfn.XLOOKUP(Input_Table[[#This Row],[INVOICE ID]],'SuperMarket Analysis'!A:A,'SuperMarket Analysis'!F:F)</f>
        <v>Health and beauty</v>
      </c>
      <c r="I238" s="12">
        <f>_xlfn.XLOOKUP(Input_Table[[#This Row],[INVOICE ID]],'SuperMarket Analysis'!A:A,'SuperMarket Analysis'!G:G)</f>
        <v>17.41</v>
      </c>
      <c r="J238" s="12">
        <f>_xlfn.XLOOKUP(Input_Table[[#This Row],[INVOICE ID]],'SuperMarket Analysis'!A:A,'SuperMarket Analysis'!N:N)</f>
        <v>87.05</v>
      </c>
      <c r="K238" s="12">
        <f>_xlfn.XLOOKUP(Input_Table[[#This Row],[INVOICE ID]],'SuperMarket Analysis'!A:A,'SuperMarket Analysis'!J:J)</f>
        <v>91.402500000000003</v>
      </c>
      <c r="L238" s="6">
        <f>DAY(Input_Table[[#This Row],[DATE]])</f>
        <v>19</v>
      </c>
      <c r="M238" s="6" t="str">
        <f>TEXT(Input_Table[[#This Row],[DATE]],"mmmm")</f>
        <v>March</v>
      </c>
      <c r="N238" s="6">
        <f>YEAR(Input_Table[[#This Row],[DATE]])</f>
        <v>2019</v>
      </c>
    </row>
    <row r="239" spans="1:14" x14ac:dyDescent="0.3">
      <c r="A239" s="2">
        <f>_xlfn.XLOOKUP(B239,SuperMarket_Analysis[Invoice ID],SuperMarket_Analysis[Date])</f>
        <v>43485</v>
      </c>
      <c r="B239" s="6" t="s">
        <v>270</v>
      </c>
      <c r="C239" s="7">
        <f>_xlfn.XLOOKUP(B239,SuperMarket_Analysis[Invoice ID],SuperMarket_Analysis[Quantity])</f>
        <v>5</v>
      </c>
      <c r="D239" s="6" t="str">
        <f>_xlfn.XLOOKUP('Input data'!B239,'SuperMarket Analysis'!A:A,'SuperMarket Analysis'!F:F)</f>
        <v>Fashion accessories</v>
      </c>
      <c r="E239" s="6" t="str">
        <f>_xlfn.XLOOKUP(B239,'SuperMarket Analysis'!A:A,'SuperMarket Analysis'!M:M)</f>
        <v>Credit card</v>
      </c>
      <c r="F239" s="6">
        <f>0.05*Input_Table[[#This Row],[TOTAL C.O.G.S]]</f>
        <v>11.055</v>
      </c>
      <c r="G239" s="6" t="str">
        <f>_xlfn.XLOOKUP(Input_Table[[#This Row],[INVOICE ID]],'SuperMarket Analysis'!A:A,'SuperMarket Analysis'!B:B)</f>
        <v>Giza</v>
      </c>
      <c r="H239" s="6" t="str">
        <f>_xlfn.XLOOKUP(Input_Table[[#This Row],[INVOICE ID]],'SuperMarket Analysis'!A:A,'SuperMarket Analysis'!F:F)</f>
        <v>Fashion accessories</v>
      </c>
      <c r="I239" s="12">
        <f>_xlfn.XLOOKUP(Input_Table[[#This Row],[INVOICE ID]],'SuperMarket Analysis'!A:A,'SuperMarket Analysis'!G:G)</f>
        <v>44.22</v>
      </c>
      <c r="J239" s="12">
        <f>_xlfn.XLOOKUP(Input_Table[[#This Row],[INVOICE ID]],'SuperMarket Analysis'!A:A,'SuperMarket Analysis'!N:N)</f>
        <v>221.1</v>
      </c>
      <c r="K239" s="12">
        <f>_xlfn.XLOOKUP(Input_Table[[#This Row],[INVOICE ID]],'SuperMarket Analysis'!A:A,'SuperMarket Analysis'!J:J)</f>
        <v>232.155</v>
      </c>
      <c r="L239" s="6">
        <f>DAY(Input_Table[[#This Row],[DATE]])</f>
        <v>20</v>
      </c>
      <c r="M239" s="6" t="str">
        <f>TEXT(Input_Table[[#This Row],[DATE]],"mmmm")</f>
        <v>January</v>
      </c>
      <c r="N239" s="6">
        <f>YEAR(Input_Table[[#This Row],[DATE]])</f>
        <v>2019</v>
      </c>
    </row>
    <row r="240" spans="1:14" x14ac:dyDescent="0.3">
      <c r="A240" s="2">
        <f>_xlfn.XLOOKUP(B240,SuperMarket_Analysis[Invoice ID],SuperMarket_Analysis[Date])</f>
        <v>43480</v>
      </c>
      <c r="B240" s="6" t="s">
        <v>271</v>
      </c>
      <c r="C240" s="7">
        <f>_xlfn.XLOOKUP(B240,SuperMarket_Analysis[Invoice ID],SuperMarket_Analysis[Quantity])</f>
        <v>5</v>
      </c>
      <c r="D240" s="6" t="str">
        <f>_xlfn.XLOOKUP('Input data'!B240,'SuperMarket Analysis'!A:A,'SuperMarket Analysis'!F:F)</f>
        <v>Electronic accessories</v>
      </c>
      <c r="E240" s="6" t="str">
        <f>_xlfn.XLOOKUP(B240,'SuperMarket Analysis'!A:A,'SuperMarket Analysis'!M:M)</f>
        <v>Cash</v>
      </c>
      <c r="F240" s="6">
        <f>0.05*Input_Table[[#This Row],[TOTAL C.O.G.S]]</f>
        <v>3.3049999999999997</v>
      </c>
      <c r="G240" s="6" t="str">
        <f>_xlfn.XLOOKUP(Input_Table[[#This Row],[INVOICE ID]],'SuperMarket Analysis'!A:A,'SuperMarket Analysis'!B:B)</f>
        <v>Cairo</v>
      </c>
      <c r="H240" s="6" t="str">
        <f>_xlfn.XLOOKUP(Input_Table[[#This Row],[INVOICE ID]],'SuperMarket Analysis'!A:A,'SuperMarket Analysis'!F:F)</f>
        <v>Electronic accessories</v>
      </c>
      <c r="I240" s="12">
        <f>_xlfn.XLOOKUP(Input_Table[[#This Row],[INVOICE ID]],'SuperMarket Analysis'!A:A,'SuperMarket Analysis'!G:G)</f>
        <v>13.22</v>
      </c>
      <c r="J240" s="12">
        <f>_xlfn.XLOOKUP(Input_Table[[#This Row],[INVOICE ID]],'SuperMarket Analysis'!A:A,'SuperMarket Analysis'!N:N)</f>
        <v>66.099999999999994</v>
      </c>
      <c r="K240" s="12">
        <f>_xlfn.XLOOKUP(Input_Table[[#This Row],[INVOICE ID]],'SuperMarket Analysis'!A:A,'SuperMarket Analysis'!J:J)</f>
        <v>69.405000000000001</v>
      </c>
      <c r="L240" s="6">
        <f>DAY(Input_Table[[#This Row],[DATE]])</f>
        <v>15</v>
      </c>
      <c r="M240" s="6" t="str">
        <f>TEXT(Input_Table[[#This Row],[DATE]],"mmmm")</f>
        <v>January</v>
      </c>
      <c r="N240" s="6">
        <f>YEAR(Input_Table[[#This Row],[DATE]])</f>
        <v>2019</v>
      </c>
    </row>
    <row r="241" spans="1:14" x14ac:dyDescent="0.3">
      <c r="A241" s="2">
        <f>_xlfn.XLOOKUP(B241,SuperMarket_Analysis[Invoice ID],SuperMarket_Analysis[Date])</f>
        <v>43546</v>
      </c>
      <c r="B241" s="6" t="s">
        <v>272</v>
      </c>
      <c r="C241" s="7">
        <f>_xlfn.XLOOKUP(B241,SuperMarket_Analysis[Invoice ID],SuperMarket_Analysis[Quantity])</f>
        <v>1</v>
      </c>
      <c r="D241" s="6" t="str">
        <f>_xlfn.XLOOKUP('Input data'!B241,'SuperMarket Analysis'!A:A,'SuperMarket Analysis'!F:F)</f>
        <v>Fashion accessories</v>
      </c>
      <c r="E241" s="6" t="str">
        <f>_xlfn.XLOOKUP(B241,'SuperMarket Analysis'!A:A,'SuperMarket Analysis'!M:M)</f>
        <v>Ewallet</v>
      </c>
      <c r="F241" s="6">
        <f>0.05*Input_Table[[#This Row],[TOTAL C.O.G.S]]</f>
        <v>4.4844999999999997</v>
      </c>
      <c r="G241" s="6" t="str">
        <f>_xlfn.XLOOKUP(Input_Table[[#This Row],[INVOICE ID]],'SuperMarket Analysis'!A:A,'SuperMarket Analysis'!B:B)</f>
        <v>Alex</v>
      </c>
      <c r="H241" s="6" t="str">
        <f>_xlfn.XLOOKUP(Input_Table[[#This Row],[INVOICE ID]],'SuperMarket Analysis'!A:A,'SuperMarket Analysis'!F:F)</f>
        <v>Fashion accessories</v>
      </c>
      <c r="I241" s="12">
        <f>_xlfn.XLOOKUP(Input_Table[[#This Row],[INVOICE ID]],'SuperMarket Analysis'!A:A,'SuperMarket Analysis'!G:G)</f>
        <v>89.69</v>
      </c>
      <c r="J241" s="12">
        <f>_xlfn.XLOOKUP(Input_Table[[#This Row],[INVOICE ID]],'SuperMarket Analysis'!A:A,'SuperMarket Analysis'!N:N)</f>
        <v>89.69</v>
      </c>
      <c r="K241" s="12">
        <f>_xlfn.XLOOKUP(Input_Table[[#This Row],[INVOICE ID]],'SuperMarket Analysis'!A:A,'SuperMarket Analysis'!J:J)</f>
        <v>94.174499999999995</v>
      </c>
      <c r="L241" s="6">
        <f>DAY(Input_Table[[#This Row],[DATE]])</f>
        <v>22</v>
      </c>
      <c r="M241" s="6" t="str">
        <f>TEXT(Input_Table[[#This Row],[DATE]],"mmmm")</f>
        <v>March</v>
      </c>
      <c r="N241" s="6">
        <f>YEAR(Input_Table[[#This Row],[DATE]])</f>
        <v>2019</v>
      </c>
    </row>
    <row r="242" spans="1:14" x14ac:dyDescent="0.3">
      <c r="A242" s="2">
        <f>_xlfn.XLOOKUP(B242,SuperMarket_Analysis[Invoice ID],SuperMarket_Analysis[Date])</f>
        <v>43480</v>
      </c>
      <c r="B242" s="6" t="s">
        <v>273</v>
      </c>
      <c r="C242" s="7">
        <f>_xlfn.XLOOKUP(B242,SuperMarket_Analysis[Invoice ID],SuperMarket_Analysis[Quantity])</f>
        <v>9</v>
      </c>
      <c r="D242" s="6" t="str">
        <f>_xlfn.XLOOKUP('Input data'!B242,'SuperMarket Analysis'!A:A,'SuperMarket Analysis'!F:F)</f>
        <v>Food and beverages</v>
      </c>
      <c r="E242" s="6" t="str">
        <f>_xlfn.XLOOKUP(B242,'SuperMarket Analysis'!A:A,'SuperMarket Analysis'!M:M)</f>
        <v>Credit card</v>
      </c>
      <c r="F242" s="6">
        <f>0.05*Input_Table[[#This Row],[TOTAL C.O.G.S]]</f>
        <v>11.223000000000001</v>
      </c>
      <c r="G242" s="6" t="str">
        <f>_xlfn.XLOOKUP(Input_Table[[#This Row],[INVOICE ID]],'SuperMarket Analysis'!A:A,'SuperMarket Analysis'!B:B)</f>
        <v>Alex</v>
      </c>
      <c r="H242" s="6" t="str">
        <f>_xlfn.XLOOKUP(Input_Table[[#This Row],[INVOICE ID]],'SuperMarket Analysis'!A:A,'SuperMarket Analysis'!F:F)</f>
        <v>Food and beverages</v>
      </c>
      <c r="I242" s="12">
        <f>_xlfn.XLOOKUP(Input_Table[[#This Row],[INVOICE ID]],'SuperMarket Analysis'!A:A,'SuperMarket Analysis'!G:G)</f>
        <v>24.94</v>
      </c>
      <c r="J242" s="12">
        <f>_xlfn.XLOOKUP(Input_Table[[#This Row],[INVOICE ID]],'SuperMarket Analysis'!A:A,'SuperMarket Analysis'!N:N)</f>
        <v>224.46</v>
      </c>
      <c r="K242" s="12">
        <f>_xlfn.XLOOKUP(Input_Table[[#This Row],[INVOICE ID]],'SuperMarket Analysis'!A:A,'SuperMarket Analysis'!J:J)</f>
        <v>235.68299999999999</v>
      </c>
      <c r="L242" s="6">
        <f>DAY(Input_Table[[#This Row],[DATE]])</f>
        <v>15</v>
      </c>
      <c r="M242" s="6" t="str">
        <f>TEXT(Input_Table[[#This Row],[DATE]],"mmmm")</f>
        <v>January</v>
      </c>
      <c r="N242" s="6">
        <f>YEAR(Input_Table[[#This Row],[DATE]])</f>
        <v>2019</v>
      </c>
    </row>
    <row r="243" spans="1:14" x14ac:dyDescent="0.3">
      <c r="A243" s="2">
        <f>_xlfn.XLOOKUP(B243,SuperMarket_Analysis[Invoice ID],SuperMarket_Analysis[Date])</f>
        <v>43480</v>
      </c>
      <c r="B243" s="6" t="s">
        <v>274</v>
      </c>
      <c r="C243" s="7">
        <f>_xlfn.XLOOKUP(B243,SuperMarket_Analysis[Invoice ID],SuperMarket_Analysis[Quantity])</f>
        <v>2</v>
      </c>
      <c r="D243" s="6" t="str">
        <f>_xlfn.XLOOKUP('Input data'!B243,'SuperMarket Analysis'!A:A,'SuperMarket Analysis'!F:F)</f>
        <v>Health and beauty</v>
      </c>
      <c r="E243" s="6" t="str">
        <f>_xlfn.XLOOKUP(B243,'SuperMarket Analysis'!A:A,'SuperMarket Analysis'!M:M)</f>
        <v>Credit card</v>
      </c>
      <c r="F243" s="6">
        <f>0.05*Input_Table[[#This Row],[TOTAL C.O.G.S]]</f>
        <v>5.9770000000000003</v>
      </c>
      <c r="G243" s="6" t="str">
        <f>_xlfn.XLOOKUP(Input_Table[[#This Row],[INVOICE ID]],'SuperMarket Analysis'!A:A,'SuperMarket Analysis'!B:B)</f>
        <v>Alex</v>
      </c>
      <c r="H243" s="6" t="str">
        <f>_xlfn.XLOOKUP(Input_Table[[#This Row],[INVOICE ID]],'SuperMarket Analysis'!A:A,'SuperMarket Analysis'!F:F)</f>
        <v>Health and beauty</v>
      </c>
      <c r="I243" s="12">
        <f>_xlfn.XLOOKUP(Input_Table[[#This Row],[INVOICE ID]],'SuperMarket Analysis'!A:A,'SuperMarket Analysis'!G:G)</f>
        <v>59.77</v>
      </c>
      <c r="J243" s="12">
        <f>_xlfn.XLOOKUP(Input_Table[[#This Row],[INVOICE ID]],'SuperMarket Analysis'!A:A,'SuperMarket Analysis'!N:N)</f>
        <v>119.54</v>
      </c>
      <c r="K243" s="12">
        <f>_xlfn.XLOOKUP(Input_Table[[#This Row],[INVOICE ID]],'SuperMarket Analysis'!A:A,'SuperMarket Analysis'!J:J)</f>
        <v>125.517</v>
      </c>
      <c r="L243" s="6">
        <f>DAY(Input_Table[[#This Row],[DATE]])</f>
        <v>15</v>
      </c>
      <c r="M243" s="6" t="str">
        <f>TEXT(Input_Table[[#This Row],[DATE]],"mmmm")</f>
        <v>January</v>
      </c>
      <c r="N243" s="6">
        <f>YEAR(Input_Table[[#This Row],[DATE]])</f>
        <v>2019</v>
      </c>
    </row>
    <row r="244" spans="1:14" x14ac:dyDescent="0.3">
      <c r="A244" s="2">
        <f>_xlfn.XLOOKUP(B244,SuperMarket_Analysis[Invoice ID],SuperMarket_Analysis[Date])</f>
        <v>43493</v>
      </c>
      <c r="B244" s="6" t="s">
        <v>275</v>
      </c>
      <c r="C244" s="7">
        <f>_xlfn.XLOOKUP(B244,SuperMarket_Analysis[Invoice ID],SuperMarket_Analysis[Quantity])</f>
        <v>2</v>
      </c>
      <c r="D244" s="6" t="str">
        <f>_xlfn.XLOOKUP('Input data'!B244,'SuperMarket Analysis'!A:A,'SuperMarket Analysis'!F:F)</f>
        <v>Fashion accessories</v>
      </c>
      <c r="E244" s="6" t="str">
        <f>_xlfn.XLOOKUP(B244,'SuperMarket Analysis'!A:A,'SuperMarket Analysis'!M:M)</f>
        <v>Credit card</v>
      </c>
      <c r="F244" s="6">
        <f>0.05*Input_Table[[#This Row],[TOTAL C.O.G.S]]</f>
        <v>9.32</v>
      </c>
      <c r="G244" s="6" t="str">
        <f>_xlfn.XLOOKUP(Input_Table[[#This Row],[INVOICE ID]],'SuperMarket Analysis'!A:A,'SuperMarket Analysis'!B:B)</f>
        <v>Giza</v>
      </c>
      <c r="H244" s="6" t="str">
        <f>_xlfn.XLOOKUP(Input_Table[[#This Row],[INVOICE ID]],'SuperMarket Analysis'!A:A,'SuperMarket Analysis'!F:F)</f>
        <v>Fashion accessories</v>
      </c>
      <c r="I244" s="12">
        <f>_xlfn.XLOOKUP(Input_Table[[#This Row],[INVOICE ID]],'SuperMarket Analysis'!A:A,'SuperMarket Analysis'!G:G)</f>
        <v>93.2</v>
      </c>
      <c r="J244" s="12">
        <f>_xlfn.XLOOKUP(Input_Table[[#This Row],[INVOICE ID]],'SuperMarket Analysis'!A:A,'SuperMarket Analysis'!N:N)</f>
        <v>186.4</v>
      </c>
      <c r="K244" s="12">
        <f>_xlfn.XLOOKUP(Input_Table[[#This Row],[INVOICE ID]],'SuperMarket Analysis'!A:A,'SuperMarket Analysis'!J:J)</f>
        <v>195.72</v>
      </c>
      <c r="L244" s="6">
        <f>DAY(Input_Table[[#This Row],[DATE]])</f>
        <v>28</v>
      </c>
      <c r="M244" s="6" t="str">
        <f>TEXT(Input_Table[[#This Row],[DATE]],"mmmm")</f>
        <v>January</v>
      </c>
      <c r="N244" s="6">
        <f>YEAR(Input_Table[[#This Row],[DATE]])</f>
        <v>2019</v>
      </c>
    </row>
    <row r="245" spans="1:14" x14ac:dyDescent="0.3">
      <c r="A245" s="2">
        <f>_xlfn.XLOOKUP(B245,SuperMarket_Analysis[Invoice ID],SuperMarket_Analysis[Date])</f>
        <v>43510</v>
      </c>
      <c r="B245" s="6" t="s">
        <v>276</v>
      </c>
      <c r="C245" s="7">
        <f>_xlfn.XLOOKUP(B245,SuperMarket_Analysis[Invoice ID],SuperMarket_Analysis[Quantity])</f>
        <v>4</v>
      </c>
      <c r="D245" s="6" t="str">
        <f>_xlfn.XLOOKUP('Input data'!B245,'SuperMarket Analysis'!A:A,'SuperMarket Analysis'!F:F)</f>
        <v>Home and lifestyle</v>
      </c>
      <c r="E245" s="6" t="str">
        <f>_xlfn.XLOOKUP(B245,'SuperMarket Analysis'!A:A,'SuperMarket Analysis'!M:M)</f>
        <v>Cash</v>
      </c>
      <c r="F245" s="6">
        <f>0.05*Input_Table[[#This Row],[TOTAL C.O.G.S]]</f>
        <v>12.530000000000001</v>
      </c>
      <c r="G245" s="6" t="str">
        <f>_xlfn.XLOOKUP(Input_Table[[#This Row],[INVOICE ID]],'SuperMarket Analysis'!A:A,'SuperMarket Analysis'!B:B)</f>
        <v>Alex</v>
      </c>
      <c r="H245" s="6" t="str">
        <f>_xlfn.XLOOKUP(Input_Table[[#This Row],[INVOICE ID]],'SuperMarket Analysis'!A:A,'SuperMarket Analysis'!F:F)</f>
        <v>Home and lifestyle</v>
      </c>
      <c r="I245" s="12">
        <f>_xlfn.XLOOKUP(Input_Table[[#This Row],[INVOICE ID]],'SuperMarket Analysis'!A:A,'SuperMarket Analysis'!G:G)</f>
        <v>62.65</v>
      </c>
      <c r="J245" s="12">
        <f>_xlfn.XLOOKUP(Input_Table[[#This Row],[INVOICE ID]],'SuperMarket Analysis'!A:A,'SuperMarket Analysis'!N:N)</f>
        <v>250.6</v>
      </c>
      <c r="K245" s="12">
        <f>_xlfn.XLOOKUP(Input_Table[[#This Row],[INVOICE ID]],'SuperMarket Analysis'!A:A,'SuperMarket Analysis'!J:J)</f>
        <v>263.13</v>
      </c>
      <c r="L245" s="6">
        <f>DAY(Input_Table[[#This Row],[DATE]])</f>
        <v>14</v>
      </c>
      <c r="M245" s="6" t="str">
        <f>TEXT(Input_Table[[#This Row],[DATE]],"mmmm")</f>
        <v>February</v>
      </c>
      <c r="N245" s="6">
        <f>YEAR(Input_Table[[#This Row],[DATE]])</f>
        <v>2019</v>
      </c>
    </row>
    <row r="246" spans="1:14" x14ac:dyDescent="0.3">
      <c r="A246" s="2">
        <f>_xlfn.XLOOKUP(B246,SuperMarket_Analysis[Invoice ID],SuperMarket_Analysis[Date])</f>
        <v>43550</v>
      </c>
      <c r="B246" s="6" t="s">
        <v>277</v>
      </c>
      <c r="C246" s="7">
        <f>_xlfn.XLOOKUP(B246,SuperMarket_Analysis[Invoice ID],SuperMarket_Analysis[Quantity])</f>
        <v>8</v>
      </c>
      <c r="D246" s="6" t="str">
        <f>_xlfn.XLOOKUP('Input data'!B246,'SuperMarket Analysis'!A:A,'SuperMarket Analysis'!F:F)</f>
        <v>Home and lifestyle</v>
      </c>
      <c r="E246" s="6" t="str">
        <f>_xlfn.XLOOKUP(B246,'SuperMarket Analysis'!A:A,'SuperMarket Analysis'!M:M)</f>
        <v>Credit card</v>
      </c>
      <c r="F246" s="6">
        <f>0.05*Input_Table[[#This Row],[TOTAL C.O.G.S]]</f>
        <v>37.548000000000002</v>
      </c>
      <c r="G246" s="6" t="str">
        <f>_xlfn.XLOOKUP(Input_Table[[#This Row],[INVOICE ID]],'SuperMarket Analysis'!A:A,'SuperMarket Analysis'!B:B)</f>
        <v>Cairo</v>
      </c>
      <c r="H246" s="6" t="str">
        <f>_xlfn.XLOOKUP(Input_Table[[#This Row],[INVOICE ID]],'SuperMarket Analysis'!A:A,'SuperMarket Analysis'!F:F)</f>
        <v>Home and lifestyle</v>
      </c>
      <c r="I246" s="12">
        <f>_xlfn.XLOOKUP(Input_Table[[#This Row],[INVOICE ID]],'SuperMarket Analysis'!A:A,'SuperMarket Analysis'!G:G)</f>
        <v>93.87</v>
      </c>
      <c r="J246" s="12">
        <f>_xlfn.XLOOKUP(Input_Table[[#This Row],[INVOICE ID]],'SuperMarket Analysis'!A:A,'SuperMarket Analysis'!N:N)</f>
        <v>750.96</v>
      </c>
      <c r="K246" s="12">
        <f>_xlfn.XLOOKUP(Input_Table[[#This Row],[INVOICE ID]],'SuperMarket Analysis'!A:A,'SuperMarket Analysis'!J:J)</f>
        <v>788.50800000000004</v>
      </c>
      <c r="L246" s="6">
        <f>DAY(Input_Table[[#This Row],[DATE]])</f>
        <v>26</v>
      </c>
      <c r="M246" s="6" t="str">
        <f>TEXT(Input_Table[[#This Row],[DATE]],"mmmm")</f>
        <v>March</v>
      </c>
      <c r="N246" s="6">
        <f>YEAR(Input_Table[[#This Row],[DATE]])</f>
        <v>2019</v>
      </c>
    </row>
    <row r="247" spans="1:14" x14ac:dyDescent="0.3">
      <c r="A247" s="2">
        <f>_xlfn.XLOOKUP(B247,SuperMarket_Analysis[Invoice ID],SuperMarket_Analysis[Date])</f>
        <v>43540</v>
      </c>
      <c r="B247" s="6" t="s">
        <v>278</v>
      </c>
      <c r="C247" s="7">
        <f>_xlfn.XLOOKUP(B247,SuperMarket_Analysis[Invoice ID],SuperMarket_Analysis[Quantity])</f>
        <v>8</v>
      </c>
      <c r="D247" s="6" t="str">
        <f>_xlfn.XLOOKUP('Input data'!B247,'SuperMarket Analysis'!A:A,'SuperMarket Analysis'!F:F)</f>
        <v>Home and lifestyle</v>
      </c>
      <c r="E247" s="6" t="str">
        <f>_xlfn.XLOOKUP(B247,'SuperMarket Analysis'!A:A,'SuperMarket Analysis'!M:M)</f>
        <v>Cash</v>
      </c>
      <c r="F247" s="6">
        <f>0.05*Input_Table[[#This Row],[TOTAL C.O.G.S]]</f>
        <v>19.036000000000001</v>
      </c>
      <c r="G247" s="6" t="str">
        <f>_xlfn.XLOOKUP(Input_Table[[#This Row],[INVOICE ID]],'SuperMarket Analysis'!A:A,'SuperMarket Analysis'!B:B)</f>
        <v>Alex</v>
      </c>
      <c r="H247" s="6" t="str">
        <f>_xlfn.XLOOKUP(Input_Table[[#This Row],[INVOICE ID]],'SuperMarket Analysis'!A:A,'SuperMarket Analysis'!F:F)</f>
        <v>Home and lifestyle</v>
      </c>
      <c r="I247" s="12">
        <f>_xlfn.XLOOKUP(Input_Table[[#This Row],[INVOICE ID]],'SuperMarket Analysis'!A:A,'SuperMarket Analysis'!G:G)</f>
        <v>47.59</v>
      </c>
      <c r="J247" s="12">
        <f>_xlfn.XLOOKUP(Input_Table[[#This Row],[INVOICE ID]],'SuperMarket Analysis'!A:A,'SuperMarket Analysis'!N:N)</f>
        <v>380.72</v>
      </c>
      <c r="K247" s="12">
        <f>_xlfn.XLOOKUP(Input_Table[[#This Row],[INVOICE ID]],'SuperMarket Analysis'!A:A,'SuperMarket Analysis'!J:J)</f>
        <v>399.75599999999997</v>
      </c>
      <c r="L247" s="6">
        <f>DAY(Input_Table[[#This Row],[DATE]])</f>
        <v>16</v>
      </c>
      <c r="M247" s="6" t="str">
        <f>TEXT(Input_Table[[#This Row],[DATE]],"mmmm")</f>
        <v>March</v>
      </c>
      <c r="N247" s="6">
        <f>YEAR(Input_Table[[#This Row],[DATE]])</f>
        <v>2019</v>
      </c>
    </row>
    <row r="248" spans="1:14" x14ac:dyDescent="0.3">
      <c r="A248" s="2">
        <f>_xlfn.XLOOKUP(B248,SuperMarket_Analysis[Invoice ID],SuperMarket_Analysis[Date])</f>
        <v>43496</v>
      </c>
      <c r="B248" s="6" t="s">
        <v>279</v>
      </c>
      <c r="C248" s="7">
        <f>_xlfn.XLOOKUP(B248,SuperMarket_Analysis[Invoice ID],SuperMarket_Analysis[Quantity])</f>
        <v>3</v>
      </c>
      <c r="D248" s="6" t="str">
        <f>_xlfn.XLOOKUP('Input data'!B248,'SuperMarket Analysis'!A:A,'SuperMarket Analysis'!F:F)</f>
        <v>Electronic accessories</v>
      </c>
      <c r="E248" s="6" t="str">
        <f>_xlfn.XLOOKUP(B248,'SuperMarket Analysis'!A:A,'SuperMarket Analysis'!M:M)</f>
        <v>Cash</v>
      </c>
      <c r="F248" s="6">
        <f>0.05*Input_Table[[#This Row],[TOTAL C.O.G.S]]</f>
        <v>12.21</v>
      </c>
      <c r="G248" s="6" t="str">
        <f>_xlfn.XLOOKUP(Input_Table[[#This Row],[INVOICE ID]],'SuperMarket Analysis'!A:A,'SuperMarket Analysis'!B:B)</f>
        <v>Cairo</v>
      </c>
      <c r="H248" s="6" t="str">
        <f>_xlfn.XLOOKUP(Input_Table[[#This Row],[INVOICE ID]],'SuperMarket Analysis'!A:A,'SuperMarket Analysis'!F:F)</f>
        <v>Electronic accessories</v>
      </c>
      <c r="I248" s="12">
        <f>_xlfn.XLOOKUP(Input_Table[[#This Row],[INVOICE ID]],'SuperMarket Analysis'!A:A,'SuperMarket Analysis'!G:G)</f>
        <v>81.400000000000006</v>
      </c>
      <c r="J248" s="12">
        <f>_xlfn.XLOOKUP(Input_Table[[#This Row],[INVOICE ID]],'SuperMarket Analysis'!A:A,'SuperMarket Analysis'!N:N)</f>
        <v>244.2</v>
      </c>
      <c r="K248" s="12">
        <f>_xlfn.XLOOKUP(Input_Table[[#This Row],[INVOICE ID]],'SuperMarket Analysis'!A:A,'SuperMarket Analysis'!J:J)</f>
        <v>256.41000000000003</v>
      </c>
      <c r="L248" s="6">
        <f>DAY(Input_Table[[#This Row],[DATE]])</f>
        <v>31</v>
      </c>
      <c r="M248" s="6" t="str">
        <f>TEXT(Input_Table[[#This Row],[DATE]],"mmmm")</f>
        <v>January</v>
      </c>
      <c r="N248" s="6">
        <f>YEAR(Input_Table[[#This Row],[DATE]])</f>
        <v>2019</v>
      </c>
    </row>
    <row r="249" spans="1:14" x14ac:dyDescent="0.3">
      <c r="A249" s="2">
        <f>_xlfn.XLOOKUP(B249,SuperMarket_Analysis[Invoice ID],SuperMarket_Analysis[Date])</f>
        <v>43509</v>
      </c>
      <c r="B249" s="6" t="s">
        <v>280</v>
      </c>
      <c r="C249" s="7">
        <f>_xlfn.XLOOKUP(B249,SuperMarket_Analysis[Invoice ID],SuperMarket_Analysis[Quantity])</f>
        <v>5</v>
      </c>
      <c r="D249" s="6" t="str">
        <f>_xlfn.XLOOKUP('Input data'!B249,'SuperMarket Analysis'!A:A,'SuperMarket Analysis'!F:F)</f>
        <v>Fashion accessories</v>
      </c>
      <c r="E249" s="6" t="str">
        <f>_xlfn.XLOOKUP(B249,'SuperMarket Analysis'!A:A,'SuperMarket Analysis'!M:M)</f>
        <v>Ewallet</v>
      </c>
      <c r="F249" s="6">
        <f>0.05*Input_Table[[#This Row],[TOTAL C.O.G.S]]</f>
        <v>4.4850000000000003</v>
      </c>
      <c r="G249" s="6" t="str">
        <f>_xlfn.XLOOKUP(Input_Table[[#This Row],[INVOICE ID]],'SuperMarket Analysis'!A:A,'SuperMarket Analysis'!B:B)</f>
        <v>Alex</v>
      </c>
      <c r="H249" s="6" t="str">
        <f>_xlfn.XLOOKUP(Input_Table[[#This Row],[INVOICE ID]],'SuperMarket Analysis'!A:A,'SuperMarket Analysis'!F:F)</f>
        <v>Fashion accessories</v>
      </c>
      <c r="I249" s="12">
        <f>_xlfn.XLOOKUP(Input_Table[[#This Row],[INVOICE ID]],'SuperMarket Analysis'!A:A,'SuperMarket Analysis'!G:G)</f>
        <v>17.940000000000001</v>
      </c>
      <c r="J249" s="12">
        <f>_xlfn.XLOOKUP(Input_Table[[#This Row],[INVOICE ID]],'SuperMarket Analysis'!A:A,'SuperMarket Analysis'!N:N)</f>
        <v>89.7</v>
      </c>
      <c r="K249" s="12">
        <f>_xlfn.XLOOKUP(Input_Table[[#This Row],[INVOICE ID]],'SuperMarket Analysis'!A:A,'SuperMarket Analysis'!J:J)</f>
        <v>94.185000000000002</v>
      </c>
      <c r="L249" s="6">
        <f>DAY(Input_Table[[#This Row],[DATE]])</f>
        <v>13</v>
      </c>
      <c r="M249" s="6" t="str">
        <f>TEXT(Input_Table[[#This Row],[DATE]],"mmmm")</f>
        <v>February</v>
      </c>
      <c r="N249" s="6">
        <f>YEAR(Input_Table[[#This Row],[DATE]])</f>
        <v>2019</v>
      </c>
    </row>
    <row r="250" spans="1:14" x14ac:dyDescent="0.3">
      <c r="A250" s="2">
        <f>_xlfn.XLOOKUP(B250,SuperMarket_Analysis[Invoice ID],SuperMarket_Analysis[Date])</f>
        <v>43511</v>
      </c>
      <c r="B250" s="6" t="s">
        <v>281</v>
      </c>
      <c r="C250" s="7">
        <f>_xlfn.XLOOKUP(B250,SuperMarket_Analysis[Invoice ID],SuperMarket_Analysis[Quantity])</f>
        <v>4</v>
      </c>
      <c r="D250" s="6" t="str">
        <f>_xlfn.XLOOKUP('Input data'!B250,'SuperMarket Analysis'!A:A,'SuperMarket Analysis'!F:F)</f>
        <v>Electronic accessories</v>
      </c>
      <c r="E250" s="6" t="str">
        <f>_xlfn.XLOOKUP(B250,'SuperMarket Analysis'!A:A,'SuperMarket Analysis'!M:M)</f>
        <v>Credit card</v>
      </c>
      <c r="F250" s="6">
        <f>0.05*Input_Table[[#This Row],[TOTAL C.O.G.S]]</f>
        <v>15.544</v>
      </c>
      <c r="G250" s="6" t="str">
        <f>_xlfn.XLOOKUP(Input_Table[[#This Row],[INVOICE ID]],'SuperMarket Analysis'!A:A,'SuperMarket Analysis'!B:B)</f>
        <v>Alex</v>
      </c>
      <c r="H250" s="6" t="str">
        <f>_xlfn.XLOOKUP(Input_Table[[#This Row],[INVOICE ID]],'SuperMarket Analysis'!A:A,'SuperMarket Analysis'!F:F)</f>
        <v>Electronic accessories</v>
      </c>
      <c r="I250" s="12">
        <f>_xlfn.XLOOKUP(Input_Table[[#This Row],[INVOICE ID]],'SuperMarket Analysis'!A:A,'SuperMarket Analysis'!G:G)</f>
        <v>77.72</v>
      </c>
      <c r="J250" s="12">
        <f>_xlfn.XLOOKUP(Input_Table[[#This Row],[INVOICE ID]],'SuperMarket Analysis'!A:A,'SuperMarket Analysis'!N:N)</f>
        <v>310.88</v>
      </c>
      <c r="K250" s="12">
        <f>_xlfn.XLOOKUP(Input_Table[[#This Row],[INVOICE ID]],'SuperMarket Analysis'!A:A,'SuperMarket Analysis'!J:J)</f>
        <v>326.42399999999998</v>
      </c>
      <c r="L250" s="6">
        <f>DAY(Input_Table[[#This Row],[DATE]])</f>
        <v>15</v>
      </c>
      <c r="M250" s="6" t="str">
        <f>TEXT(Input_Table[[#This Row],[DATE]],"mmmm")</f>
        <v>February</v>
      </c>
      <c r="N250" s="6">
        <f>YEAR(Input_Table[[#This Row],[DATE]])</f>
        <v>2019</v>
      </c>
    </row>
    <row r="251" spans="1:14" x14ac:dyDescent="0.3">
      <c r="A251" s="2">
        <f>_xlfn.XLOOKUP(B251,SuperMarket_Analysis[Invoice ID],SuperMarket_Analysis[Date])</f>
        <v>43492</v>
      </c>
      <c r="B251" s="6" t="s">
        <v>282</v>
      </c>
      <c r="C251" s="7">
        <f>_xlfn.XLOOKUP(B251,SuperMarket_Analysis[Invoice ID],SuperMarket_Analysis[Quantity])</f>
        <v>7</v>
      </c>
      <c r="D251" s="6" t="str">
        <f>_xlfn.XLOOKUP('Input data'!B251,'SuperMarket Analysis'!A:A,'SuperMarket Analysis'!F:F)</f>
        <v>Food and beverages</v>
      </c>
      <c r="E251" s="6" t="str">
        <f>_xlfn.XLOOKUP(B251,'SuperMarket Analysis'!A:A,'SuperMarket Analysis'!M:M)</f>
        <v>Credit card</v>
      </c>
      <c r="F251" s="6">
        <f>0.05*Input_Table[[#This Row],[TOTAL C.O.G.S]]</f>
        <v>25.571000000000002</v>
      </c>
      <c r="G251" s="6" t="str">
        <f>_xlfn.XLOOKUP(Input_Table[[#This Row],[INVOICE ID]],'SuperMarket Analysis'!A:A,'SuperMarket Analysis'!B:B)</f>
        <v>Cairo</v>
      </c>
      <c r="H251" s="6" t="str">
        <f>_xlfn.XLOOKUP(Input_Table[[#This Row],[INVOICE ID]],'SuperMarket Analysis'!A:A,'SuperMarket Analysis'!F:F)</f>
        <v>Food and beverages</v>
      </c>
      <c r="I251" s="12">
        <f>_xlfn.XLOOKUP(Input_Table[[#This Row],[INVOICE ID]],'SuperMarket Analysis'!A:A,'SuperMarket Analysis'!G:G)</f>
        <v>73.06</v>
      </c>
      <c r="J251" s="12">
        <f>_xlfn.XLOOKUP(Input_Table[[#This Row],[INVOICE ID]],'SuperMarket Analysis'!A:A,'SuperMarket Analysis'!N:N)</f>
        <v>511.42</v>
      </c>
      <c r="K251" s="12">
        <f>_xlfn.XLOOKUP(Input_Table[[#This Row],[INVOICE ID]],'SuperMarket Analysis'!A:A,'SuperMarket Analysis'!J:J)</f>
        <v>536.99099999999999</v>
      </c>
      <c r="L251" s="6">
        <f>DAY(Input_Table[[#This Row],[DATE]])</f>
        <v>27</v>
      </c>
      <c r="M251" s="6" t="str">
        <f>TEXT(Input_Table[[#This Row],[DATE]],"mmmm")</f>
        <v>January</v>
      </c>
      <c r="N251" s="6">
        <f>YEAR(Input_Table[[#This Row],[DATE]])</f>
        <v>2019</v>
      </c>
    </row>
    <row r="252" spans="1:14" x14ac:dyDescent="0.3">
      <c r="A252" s="2">
        <f>_xlfn.XLOOKUP(B252,SuperMarket_Analysis[Invoice ID],SuperMarket_Analysis[Date])</f>
        <v>43519</v>
      </c>
      <c r="B252" s="6" t="s">
        <v>283</v>
      </c>
      <c r="C252" s="7">
        <f>_xlfn.XLOOKUP(B252,SuperMarket_Analysis[Invoice ID],SuperMarket_Analysis[Quantity])</f>
        <v>9</v>
      </c>
      <c r="D252" s="6" t="str">
        <f>_xlfn.XLOOKUP('Input data'!B252,'SuperMarket Analysis'!A:A,'SuperMarket Analysis'!F:F)</f>
        <v>Food and beverages</v>
      </c>
      <c r="E252" s="6" t="str">
        <f>_xlfn.XLOOKUP(B252,'SuperMarket Analysis'!A:A,'SuperMarket Analysis'!M:M)</f>
        <v>Ewallet</v>
      </c>
      <c r="F252" s="6">
        <f>0.05*Input_Table[[#This Row],[TOTAL C.O.G.S]]</f>
        <v>20.947500000000002</v>
      </c>
      <c r="G252" s="6" t="str">
        <f>_xlfn.XLOOKUP(Input_Table[[#This Row],[INVOICE ID]],'SuperMarket Analysis'!A:A,'SuperMarket Analysis'!B:B)</f>
        <v>Cairo</v>
      </c>
      <c r="H252" s="6" t="str">
        <f>_xlfn.XLOOKUP(Input_Table[[#This Row],[INVOICE ID]],'SuperMarket Analysis'!A:A,'SuperMarket Analysis'!F:F)</f>
        <v>Food and beverages</v>
      </c>
      <c r="I252" s="12">
        <f>_xlfn.XLOOKUP(Input_Table[[#This Row],[INVOICE ID]],'SuperMarket Analysis'!A:A,'SuperMarket Analysis'!G:G)</f>
        <v>46.55</v>
      </c>
      <c r="J252" s="12">
        <f>_xlfn.XLOOKUP(Input_Table[[#This Row],[INVOICE ID]],'SuperMarket Analysis'!A:A,'SuperMarket Analysis'!N:N)</f>
        <v>418.95</v>
      </c>
      <c r="K252" s="12">
        <f>_xlfn.XLOOKUP(Input_Table[[#This Row],[INVOICE ID]],'SuperMarket Analysis'!A:A,'SuperMarket Analysis'!J:J)</f>
        <v>439.89749999999998</v>
      </c>
      <c r="L252" s="6">
        <f>DAY(Input_Table[[#This Row],[DATE]])</f>
        <v>23</v>
      </c>
      <c r="M252" s="6" t="str">
        <f>TEXT(Input_Table[[#This Row],[DATE]],"mmmm")</f>
        <v>February</v>
      </c>
      <c r="N252" s="6">
        <f>YEAR(Input_Table[[#This Row],[DATE]])</f>
        <v>2019</v>
      </c>
    </row>
    <row r="253" spans="1:14" x14ac:dyDescent="0.3">
      <c r="A253" s="2">
        <f>_xlfn.XLOOKUP(B253,SuperMarket_Analysis[Invoice ID],SuperMarket_Analysis[Date])</f>
        <v>43541</v>
      </c>
      <c r="B253" s="6" t="s">
        <v>284</v>
      </c>
      <c r="C253" s="7">
        <f>_xlfn.XLOOKUP(B253,SuperMarket_Analysis[Invoice ID],SuperMarket_Analysis[Quantity])</f>
        <v>10</v>
      </c>
      <c r="D253" s="6" t="str">
        <f>_xlfn.XLOOKUP('Input data'!B253,'SuperMarket Analysis'!A:A,'SuperMarket Analysis'!F:F)</f>
        <v>Fashion accessories</v>
      </c>
      <c r="E253" s="6" t="str">
        <f>_xlfn.XLOOKUP(B253,'SuperMarket Analysis'!A:A,'SuperMarket Analysis'!M:M)</f>
        <v>Credit card</v>
      </c>
      <c r="F253" s="6">
        <f>0.05*Input_Table[[#This Row],[TOTAL C.O.G.S]]</f>
        <v>17.594999999999999</v>
      </c>
      <c r="G253" s="6" t="str">
        <f>_xlfn.XLOOKUP(Input_Table[[#This Row],[INVOICE ID]],'SuperMarket Analysis'!A:A,'SuperMarket Analysis'!B:B)</f>
        <v>Giza</v>
      </c>
      <c r="H253" s="6" t="str">
        <f>_xlfn.XLOOKUP(Input_Table[[#This Row],[INVOICE ID]],'SuperMarket Analysis'!A:A,'SuperMarket Analysis'!F:F)</f>
        <v>Fashion accessories</v>
      </c>
      <c r="I253" s="12">
        <f>_xlfn.XLOOKUP(Input_Table[[#This Row],[INVOICE ID]],'SuperMarket Analysis'!A:A,'SuperMarket Analysis'!G:G)</f>
        <v>35.19</v>
      </c>
      <c r="J253" s="12">
        <f>_xlfn.XLOOKUP(Input_Table[[#This Row],[INVOICE ID]],'SuperMarket Analysis'!A:A,'SuperMarket Analysis'!N:N)</f>
        <v>351.9</v>
      </c>
      <c r="K253" s="12">
        <f>_xlfn.XLOOKUP(Input_Table[[#This Row],[INVOICE ID]],'SuperMarket Analysis'!A:A,'SuperMarket Analysis'!J:J)</f>
        <v>369.495</v>
      </c>
      <c r="L253" s="6">
        <f>DAY(Input_Table[[#This Row],[DATE]])</f>
        <v>17</v>
      </c>
      <c r="M253" s="6" t="str">
        <f>TEXT(Input_Table[[#This Row],[DATE]],"mmmm")</f>
        <v>March</v>
      </c>
      <c r="N253" s="6">
        <f>YEAR(Input_Table[[#This Row],[DATE]])</f>
        <v>2019</v>
      </c>
    </row>
    <row r="254" spans="1:14" x14ac:dyDescent="0.3">
      <c r="A254" s="2">
        <f>_xlfn.XLOOKUP(B254,SuperMarket_Analysis[Invoice ID],SuperMarket_Analysis[Date])</f>
        <v>43552</v>
      </c>
      <c r="B254" s="6" t="s">
        <v>285</v>
      </c>
      <c r="C254" s="7">
        <f>_xlfn.XLOOKUP(B254,SuperMarket_Analysis[Invoice ID],SuperMarket_Analysis[Quantity])</f>
        <v>2</v>
      </c>
      <c r="D254" s="6" t="str">
        <f>_xlfn.XLOOKUP('Input data'!B254,'SuperMarket Analysis'!A:A,'SuperMarket Analysis'!F:F)</f>
        <v>Sports and travel</v>
      </c>
      <c r="E254" s="6" t="str">
        <f>_xlfn.XLOOKUP(B254,'SuperMarket Analysis'!A:A,'SuperMarket Analysis'!M:M)</f>
        <v>Credit card</v>
      </c>
      <c r="F254" s="6">
        <f>0.05*Input_Table[[#This Row],[TOTAL C.O.G.S]]</f>
        <v>1.4390000000000001</v>
      </c>
      <c r="G254" s="6" t="str">
        <f>_xlfn.XLOOKUP(Input_Table[[#This Row],[INVOICE ID]],'SuperMarket Analysis'!A:A,'SuperMarket Analysis'!B:B)</f>
        <v>Giza</v>
      </c>
      <c r="H254" s="6" t="str">
        <f>_xlfn.XLOOKUP(Input_Table[[#This Row],[INVOICE ID]],'SuperMarket Analysis'!A:A,'SuperMarket Analysis'!F:F)</f>
        <v>Sports and travel</v>
      </c>
      <c r="I254" s="12">
        <f>_xlfn.XLOOKUP(Input_Table[[#This Row],[INVOICE ID]],'SuperMarket Analysis'!A:A,'SuperMarket Analysis'!G:G)</f>
        <v>14.39</v>
      </c>
      <c r="J254" s="12">
        <f>_xlfn.XLOOKUP(Input_Table[[#This Row],[INVOICE ID]],'SuperMarket Analysis'!A:A,'SuperMarket Analysis'!N:N)</f>
        <v>28.78</v>
      </c>
      <c r="K254" s="12">
        <f>_xlfn.XLOOKUP(Input_Table[[#This Row],[INVOICE ID]],'SuperMarket Analysis'!A:A,'SuperMarket Analysis'!J:J)</f>
        <v>30.219000000000001</v>
      </c>
      <c r="L254" s="6">
        <f>DAY(Input_Table[[#This Row],[DATE]])</f>
        <v>28</v>
      </c>
      <c r="M254" s="6" t="str">
        <f>TEXT(Input_Table[[#This Row],[DATE]],"mmmm")</f>
        <v>March</v>
      </c>
      <c r="N254" s="6">
        <f>YEAR(Input_Table[[#This Row],[DATE]])</f>
        <v>2019</v>
      </c>
    </row>
    <row r="255" spans="1:14" x14ac:dyDescent="0.3">
      <c r="A255" s="2">
        <f>_xlfn.XLOOKUP(B255,SuperMarket_Analysis[Invoice ID],SuperMarket_Analysis[Date])</f>
        <v>43546</v>
      </c>
      <c r="B255" s="6" t="s">
        <v>286</v>
      </c>
      <c r="C255" s="7">
        <f>_xlfn.XLOOKUP(B255,SuperMarket_Analysis[Invoice ID],SuperMarket_Analysis[Quantity])</f>
        <v>4</v>
      </c>
      <c r="D255" s="6" t="str">
        <f>_xlfn.XLOOKUP('Input data'!B255,'SuperMarket Analysis'!A:A,'SuperMarket Analysis'!F:F)</f>
        <v>Home and lifestyle</v>
      </c>
      <c r="E255" s="6" t="str">
        <f>_xlfn.XLOOKUP(B255,'SuperMarket Analysis'!A:A,'SuperMarket Analysis'!M:M)</f>
        <v>Cash</v>
      </c>
      <c r="F255" s="6">
        <f>0.05*Input_Table[[#This Row],[TOTAL C.O.G.S]]</f>
        <v>4.75</v>
      </c>
      <c r="G255" s="6" t="str">
        <f>_xlfn.XLOOKUP(Input_Table[[#This Row],[INVOICE ID]],'SuperMarket Analysis'!A:A,'SuperMarket Analysis'!B:B)</f>
        <v>Alex</v>
      </c>
      <c r="H255" s="6" t="str">
        <f>_xlfn.XLOOKUP(Input_Table[[#This Row],[INVOICE ID]],'SuperMarket Analysis'!A:A,'SuperMarket Analysis'!F:F)</f>
        <v>Home and lifestyle</v>
      </c>
      <c r="I255" s="12">
        <f>_xlfn.XLOOKUP(Input_Table[[#This Row],[INVOICE ID]],'SuperMarket Analysis'!A:A,'SuperMarket Analysis'!G:G)</f>
        <v>23.75</v>
      </c>
      <c r="J255" s="12">
        <f>_xlfn.XLOOKUP(Input_Table[[#This Row],[INVOICE ID]],'SuperMarket Analysis'!A:A,'SuperMarket Analysis'!N:N)</f>
        <v>95</v>
      </c>
      <c r="K255" s="12">
        <f>_xlfn.XLOOKUP(Input_Table[[#This Row],[INVOICE ID]],'SuperMarket Analysis'!A:A,'SuperMarket Analysis'!J:J)</f>
        <v>99.75</v>
      </c>
      <c r="L255" s="6">
        <f>DAY(Input_Table[[#This Row],[DATE]])</f>
        <v>22</v>
      </c>
      <c r="M255" s="6" t="str">
        <f>TEXT(Input_Table[[#This Row],[DATE]],"mmmm")</f>
        <v>March</v>
      </c>
      <c r="N255" s="6">
        <f>YEAR(Input_Table[[#This Row],[DATE]])</f>
        <v>2019</v>
      </c>
    </row>
    <row r="256" spans="1:14" x14ac:dyDescent="0.3">
      <c r="A256" s="2">
        <f>_xlfn.XLOOKUP(B256,SuperMarket_Analysis[Invoice ID],SuperMarket_Analysis[Date])</f>
        <v>43511</v>
      </c>
      <c r="B256" s="6" t="s">
        <v>287</v>
      </c>
      <c r="C256" s="7">
        <f>_xlfn.XLOOKUP(B256,SuperMarket_Analysis[Invoice ID],SuperMarket_Analysis[Quantity])</f>
        <v>8</v>
      </c>
      <c r="D256" s="6" t="str">
        <f>_xlfn.XLOOKUP('Input data'!B256,'SuperMarket Analysis'!A:A,'SuperMarket Analysis'!F:F)</f>
        <v>Home and lifestyle</v>
      </c>
      <c r="E256" s="6" t="str">
        <f>_xlfn.XLOOKUP(B256,'SuperMarket Analysis'!A:A,'SuperMarket Analysis'!M:M)</f>
        <v>Cash</v>
      </c>
      <c r="F256" s="6">
        <f>0.05*Input_Table[[#This Row],[TOTAL C.O.G.S]]</f>
        <v>23.560000000000002</v>
      </c>
      <c r="G256" s="6" t="str">
        <f>_xlfn.XLOOKUP(Input_Table[[#This Row],[INVOICE ID]],'SuperMarket Analysis'!A:A,'SuperMarket Analysis'!B:B)</f>
        <v>Alex</v>
      </c>
      <c r="H256" s="6" t="str">
        <f>_xlfn.XLOOKUP(Input_Table[[#This Row],[INVOICE ID]],'SuperMarket Analysis'!A:A,'SuperMarket Analysis'!F:F)</f>
        <v>Home and lifestyle</v>
      </c>
      <c r="I256" s="12">
        <f>_xlfn.XLOOKUP(Input_Table[[#This Row],[INVOICE ID]],'SuperMarket Analysis'!A:A,'SuperMarket Analysis'!G:G)</f>
        <v>58.9</v>
      </c>
      <c r="J256" s="12">
        <f>_xlfn.XLOOKUP(Input_Table[[#This Row],[INVOICE ID]],'SuperMarket Analysis'!A:A,'SuperMarket Analysis'!N:N)</f>
        <v>471.2</v>
      </c>
      <c r="K256" s="12">
        <f>_xlfn.XLOOKUP(Input_Table[[#This Row],[INVOICE ID]],'SuperMarket Analysis'!A:A,'SuperMarket Analysis'!J:J)</f>
        <v>494.76</v>
      </c>
      <c r="L256" s="6">
        <f>DAY(Input_Table[[#This Row],[DATE]])</f>
        <v>15</v>
      </c>
      <c r="M256" s="6" t="str">
        <f>TEXT(Input_Table[[#This Row],[DATE]],"mmmm")</f>
        <v>February</v>
      </c>
      <c r="N256" s="6">
        <f>YEAR(Input_Table[[#This Row],[DATE]])</f>
        <v>2019</v>
      </c>
    </row>
    <row r="257" spans="1:14" x14ac:dyDescent="0.3">
      <c r="A257" s="2">
        <f>_xlfn.XLOOKUP(B257,SuperMarket_Analysis[Invoice ID],SuperMarket_Analysis[Date])</f>
        <v>43488</v>
      </c>
      <c r="B257" s="6" t="s">
        <v>288</v>
      </c>
      <c r="C257" s="7">
        <f>_xlfn.XLOOKUP(B257,SuperMarket_Analysis[Invoice ID],SuperMarket_Analysis[Quantity])</f>
        <v>4</v>
      </c>
      <c r="D257" s="6" t="str">
        <f>_xlfn.XLOOKUP('Input data'!B257,'SuperMarket Analysis'!A:A,'SuperMarket Analysis'!F:F)</f>
        <v>Fashion accessories</v>
      </c>
      <c r="E257" s="6" t="str">
        <f>_xlfn.XLOOKUP(B257,'SuperMarket Analysis'!A:A,'SuperMarket Analysis'!M:M)</f>
        <v>Cash</v>
      </c>
      <c r="F257" s="6">
        <f>0.05*Input_Table[[#This Row],[TOTAL C.O.G.S]]</f>
        <v>6.524</v>
      </c>
      <c r="G257" s="6" t="str">
        <f>_xlfn.XLOOKUP(Input_Table[[#This Row],[INVOICE ID]],'SuperMarket Analysis'!A:A,'SuperMarket Analysis'!B:B)</f>
        <v>Cairo</v>
      </c>
      <c r="H257" s="6" t="str">
        <f>_xlfn.XLOOKUP(Input_Table[[#This Row],[INVOICE ID]],'SuperMarket Analysis'!A:A,'SuperMarket Analysis'!F:F)</f>
        <v>Fashion accessories</v>
      </c>
      <c r="I257" s="12">
        <f>_xlfn.XLOOKUP(Input_Table[[#This Row],[INVOICE ID]],'SuperMarket Analysis'!A:A,'SuperMarket Analysis'!G:G)</f>
        <v>32.619999999999997</v>
      </c>
      <c r="J257" s="12">
        <f>_xlfn.XLOOKUP(Input_Table[[#This Row],[INVOICE ID]],'SuperMarket Analysis'!A:A,'SuperMarket Analysis'!N:N)</f>
        <v>130.47999999999999</v>
      </c>
      <c r="K257" s="12">
        <f>_xlfn.XLOOKUP(Input_Table[[#This Row],[INVOICE ID]],'SuperMarket Analysis'!A:A,'SuperMarket Analysis'!J:J)</f>
        <v>137.00399999999999</v>
      </c>
      <c r="L257" s="6">
        <f>DAY(Input_Table[[#This Row],[DATE]])</f>
        <v>23</v>
      </c>
      <c r="M257" s="6" t="str">
        <f>TEXT(Input_Table[[#This Row],[DATE]],"mmmm")</f>
        <v>January</v>
      </c>
      <c r="N257" s="6">
        <f>YEAR(Input_Table[[#This Row],[DATE]])</f>
        <v>2019</v>
      </c>
    </row>
    <row r="258" spans="1:14" x14ac:dyDescent="0.3">
      <c r="A258" s="2">
        <f>_xlfn.XLOOKUP(B258,SuperMarket_Analysis[Invoice ID],SuperMarket_Analysis[Date])</f>
        <v>43490</v>
      </c>
      <c r="B258" s="6" t="s">
        <v>289</v>
      </c>
      <c r="C258" s="7">
        <f>_xlfn.XLOOKUP(B258,SuperMarket_Analysis[Invoice ID],SuperMarket_Analysis[Quantity])</f>
        <v>1</v>
      </c>
      <c r="D258" s="6" t="str">
        <f>_xlfn.XLOOKUP('Input data'!B258,'SuperMarket Analysis'!A:A,'SuperMarket Analysis'!F:F)</f>
        <v>Electronic accessories</v>
      </c>
      <c r="E258" s="6" t="str">
        <f>_xlfn.XLOOKUP(B258,'SuperMarket Analysis'!A:A,'SuperMarket Analysis'!M:M)</f>
        <v>Credit card</v>
      </c>
      <c r="F258" s="6">
        <f>0.05*Input_Table[[#This Row],[TOTAL C.O.G.S]]</f>
        <v>3.3174999999999999</v>
      </c>
      <c r="G258" s="6" t="str">
        <f>_xlfn.XLOOKUP(Input_Table[[#This Row],[INVOICE ID]],'SuperMarket Analysis'!A:A,'SuperMarket Analysis'!B:B)</f>
        <v>Alex</v>
      </c>
      <c r="H258" s="6" t="str">
        <f>_xlfn.XLOOKUP(Input_Table[[#This Row],[INVOICE ID]],'SuperMarket Analysis'!A:A,'SuperMarket Analysis'!F:F)</f>
        <v>Electronic accessories</v>
      </c>
      <c r="I258" s="12">
        <f>_xlfn.XLOOKUP(Input_Table[[#This Row],[INVOICE ID]],'SuperMarket Analysis'!A:A,'SuperMarket Analysis'!G:G)</f>
        <v>66.349999999999994</v>
      </c>
      <c r="J258" s="12">
        <f>_xlfn.XLOOKUP(Input_Table[[#This Row],[INVOICE ID]],'SuperMarket Analysis'!A:A,'SuperMarket Analysis'!N:N)</f>
        <v>66.349999999999994</v>
      </c>
      <c r="K258" s="12">
        <f>_xlfn.XLOOKUP(Input_Table[[#This Row],[INVOICE ID]],'SuperMarket Analysis'!A:A,'SuperMarket Analysis'!J:J)</f>
        <v>69.667500000000004</v>
      </c>
      <c r="L258" s="6">
        <f>DAY(Input_Table[[#This Row],[DATE]])</f>
        <v>25</v>
      </c>
      <c r="M258" s="6" t="str">
        <f>TEXT(Input_Table[[#This Row],[DATE]],"mmmm")</f>
        <v>January</v>
      </c>
      <c r="N258" s="6">
        <f>YEAR(Input_Table[[#This Row],[DATE]])</f>
        <v>2019</v>
      </c>
    </row>
    <row r="259" spans="1:14" x14ac:dyDescent="0.3">
      <c r="A259" s="2">
        <f>_xlfn.XLOOKUP(B259,SuperMarket_Analysis[Invoice ID],SuperMarket_Analysis[Date])</f>
        <v>43554</v>
      </c>
      <c r="B259" s="6" t="s">
        <v>290</v>
      </c>
      <c r="C259" s="7">
        <f>_xlfn.XLOOKUP(B259,SuperMarket_Analysis[Invoice ID],SuperMarket_Analysis[Quantity])</f>
        <v>6</v>
      </c>
      <c r="D259" s="6" t="str">
        <f>_xlfn.XLOOKUP('Input data'!B259,'SuperMarket Analysis'!A:A,'SuperMarket Analysis'!F:F)</f>
        <v>Home and lifestyle</v>
      </c>
      <c r="E259" s="6" t="str">
        <f>_xlfn.XLOOKUP(B259,'SuperMarket Analysis'!A:A,'SuperMarket Analysis'!M:M)</f>
        <v>Ewallet</v>
      </c>
      <c r="F259" s="6">
        <f>0.05*Input_Table[[#This Row],[TOTAL C.O.G.S]]</f>
        <v>7.7730000000000006</v>
      </c>
      <c r="G259" s="6" t="str">
        <f>_xlfn.XLOOKUP(Input_Table[[#This Row],[INVOICE ID]],'SuperMarket Analysis'!A:A,'SuperMarket Analysis'!B:B)</f>
        <v>Alex</v>
      </c>
      <c r="H259" s="6" t="str">
        <f>_xlfn.XLOOKUP(Input_Table[[#This Row],[INVOICE ID]],'SuperMarket Analysis'!A:A,'SuperMarket Analysis'!F:F)</f>
        <v>Home and lifestyle</v>
      </c>
      <c r="I259" s="12">
        <f>_xlfn.XLOOKUP(Input_Table[[#This Row],[INVOICE ID]],'SuperMarket Analysis'!A:A,'SuperMarket Analysis'!G:G)</f>
        <v>25.91</v>
      </c>
      <c r="J259" s="12">
        <f>_xlfn.XLOOKUP(Input_Table[[#This Row],[INVOICE ID]],'SuperMarket Analysis'!A:A,'SuperMarket Analysis'!N:N)</f>
        <v>155.46</v>
      </c>
      <c r="K259" s="12">
        <f>_xlfn.XLOOKUP(Input_Table[[#This Row],[INVOICE ID]],'SuperMarket Analysis'!A:A,'SuperMarket Analysis'!J:J)</f>
        <v>163.233</v>
      </c>
      <c r="L259" s="6">
        <f>DAY(Input_Table[[#This Row],[DATE]])</f>
        <v>30</v>
      </c>
      <c r="M259" s="6" t="str">
        <f>TEXT(Input_Table[[#This Row],[DATE]],"mmmm")</f>
        <v>March</v>
      </c>
      <c r="N259" s="6">
        <f>YEAR(Input_Table[[#This Row],[DATE]])</f>
        <v>2019</v>
      </c>
    </row>
    <row r="260" spans="1:14" x14ac:dyDescent="0.3">
      <c r="A260" s="2">
        <f>_xlfn.XLOOKUP(B260,SuperMarket_Analysis[Invoice ID],SuperMarket_Analysis[Date])</f>
        <v>43554</v>
      </c>
      <c r="B260" s="6" t="s">
        <v>291</v>
      </c>
      <c r="C260" s="7">
        <f>_xlfn.XLOOKUP(B260,SuperMarket_Analysis[Invoice ID],SuperMarket_Analysis[Quantity])</f>
        <v>4</v>
      </c>
      <c r="D260" s="6" t="str">
        <f>_xlfn.XLOOKUP('Input data'!B260,'SuperMarket Analysis'!A:A,'SuperMarket Analysis'!F:F)</f>
        <v>Electronic accessories</v>
      </c>
      <c r="E260" s="6" t="str">
        <f>_xlfn.XLOOKUP(B260,'SuperMarket Analysis'!A:A,'SuperMarket Analysis'!M:M)</f>
        <v>Ewallet</v>
      </c>
      <c r="F260" s="6">
        <f>0.05*Input_Table[[#This Row],[TOTAL C.O.G.S]]</f>
        <v>6.45</v>
      </c>
      <c r="G260" s="6" t="str">
        <f>_xlfn.XLOOKUP(Input_Table[[#This Row],[INVOICE ID]],'SuperMarket Analysis'!A:A,'SuperMarket Analysis'!B:B)</f>
        <v>Alex</v>
      </c>
      <c r="H260" s="6" t="str">
        <f>_xlfn.XLOOKUP(Input_Table[[#This Row],[INVOICE ID]],'SuperMarket Analysis'!A:A,'SuperMarket Analysis'!F:F)</f>
        <v>Electronic accessories</v>
      </c>
      <c r="I260" s="12">
        <f>_xlfn.XLOOKUP(Input_Table[[#This Row],[INVOICE ID]],'SuperMarket Analysis'!A:A,'SuperMarket Analysis'!G:G)</f>
        <v>32.25</v>
      </c>
      <c r="J260" s="12">
        <f>_xlfn.XLOOKUP(Input_Table[[#This Row],[INVOICE ID]],'SuperMarket Analysis'!A:A,'SuperMarket Analysis'!N:N)</f>
        <v>129</v>
      </c>
      <c r="K260" s="12">
        <f>_xlfn.XLOOKUP(Input_Table[[#This Row],[INVOICE ID]],'SuperMarket Analysis'!A:A,'SuperMarket Analysis'!J:J)</f>
        <v>135.44999999999999</v>
      </c>
      <c r="L260" s="6">
        <f>DAY(Input_Table[[#This Row],[DATE]])</f>
        <v>30</v>
      </c>
      <c r="M260" s="6" t="str">
        <f>TEXT(Input_Table[[#This Row],[DATE]],"mmmm")</f>
        <v>March</v>
      </c>
      <c r="N260" s="6">
        <f>YEAR(Input_Table[[#This Row],[DATE]])</f>
        <v>2019</v>
      </c>
    </row>
    <row r="261" spans="1:14" x14ac:dyDescent="0.3">
      <c r="A261" s="2">
        <f>_xlfn.XLOOKUP(B261,SuperMarket_Analysis[Invoice ID],SuperMarket_Analysis[Date])</f>
        <v>43521</v>
      </c>
      <c r="B261" s="6" t="s">
        <v>292</v>
      </c>
      <c r="C261" s="7">
        <f>_xlfn.XLOOKUP(B261,SuperMarket_Analysis[Invoice ID],SuperMarket_Analysis[Quantity])</f>
        <v>4</v>
      </c>
      <c r="D261" s="6" t="str">
        <f>_xlfn.XLOOKUP('Input data'!B261,'SuperMarket Analysis'!A:A,'SuperMarket Analysis'!F:F)</f>
        <v>Electronic accessories</v>
      </c>
      <c r="E261" s="6" t="str">
        <f>_xlfn.XLOOKUP(B261,'SuperMarket Analysis'!A:A,'SuperMarket Analysis'!M:M)</f>
        <v>Credit card</v>
      </c>
      <c r="F261" s="6">
        <f>0.05*Input_Table[[#This Row],[TOTAL C.O.G.S]]</f>
        <v>13.188000000000001</v>
      </c>
      <c r="G261" s="6" t="str">
        <f>_xlfn.XLOOKUP(Input_Table[[#This Row],[INVOICE ID]],'SuperMarket Analysis'!A:A,'SuperMarket Analysis'!B:B)</f>
        <v>Giza</v>
      </c>
      <c r="H261" s="6" t="str">
        <f>_xlfn.XLOOKUP(Input_Table[[#This Row],[INVOICE ID]],'SuperMarket Analysis'!A:A,'SuperMarket Analysis'!F:F)</f>
        <v>Electronic accessories</v>
      </c>
      <c r="I261" s="12">
        <f>_xlfn.XLOOKUP(Input_Table[[#This Row],[INVOICE ID]],'SuperMarket Analysis'!A:A,'SuperMarket Analysis'!G:G)</f>
        <v>65.94</v>
      </c>
      <c r="J261" s="12">
        <f>_xlfn.XLOOKUP(Input_Table[[#This Row],[INVOICE ID]],'SuperMarket Analysis'!A:A,'SuperMarket Analysis'!N:N)</f>
        <v>263.76</v>
      </c>
      <c r="K261" s="12">
        <f>_xlfn.XLOOKUP(Input_Table[[#This Row],[INVOICE ID]],'SuperMarket Analysis'!A:A,'SuperMarket Analysis'!J:J)</f>
        <v>276.94799999999998</v>
      </c>
      <c r="L261" s="6">
        <f>DAY(Input_Table[[#This Row],[DATE]])</f>
        <v>25</v>
      </c>
      <c r="M261" s="6" t="str">
        <f>TEXT(Input_Table[[#This Row],[DATE]],"mmmm")</f>
        <v>February</v>
      </c>
      <c r="N261" s="6">
        <f>YEAR(Input_Table[[#This Row],[DATE]])</f>
        <v>2019</v>
      </c>
    </row>
    <row r="262" spans="1:14" x14ac:dyDescent="0.3">
      <c r="A262" s="2">
        <f>_xlfn.XLOOKUP(B262,SuperMarket_Analysis[Invoice ID],SuperMarket_Analysis[Date])</f>
        <v>43542</v>
      </c>
      <c r="B262" s="6" t="s">
        <v>293</v>
      </c>
      <c r="C262" s="7">
        <f>_xlfn.XLOOKUP(B262,SuperMarket_Analysis[Invoice ID],SuperMarket_Analysis[Quantity])</f>
        <v>9</v>
      </c>
      <c r="D262" s="6" t="str">
        <f>_xlfn.XLOOKUP('Input data'!B262,'SuperMarket Analysis'!A:A,'SuperMarket Analysis'!F:F)</f>
        <v>Electronic accessories</v>
      </c>
      <c r="E262" s="6" t="str">
        <f>_xlfn.XLOOKUP(B262,'SuperMarket Analysis'!A:A,'SuperMarket Analysis'!M:M)</f>
        <v>Ewallet</v>
      </c>
      <c r="F262" s="6">
        <f>0.05*Input_Table[[#This Row],[TOTAL C.O.G.S]]</f>
        <v>33.777000000000001</v>
      </c>
      <c r="G262" s="6" t="str">
        <f>_xlfn.XLOOKUP(Input_Table[[#This Row],[INVOICE ID]],'SuperMarket Analysis'!A:A,'SuperMarket Analysis'!B:B)</f>
        <v>Alex</v>
      </c>
      <c r="H262" s="6" t="str">
        <f>_xlfn.XLOOKUP(Input_Table[[#This Row],[INVOICE ID]],'SuperMarket Analysis'!A:A,'SuperMarket Analysis'!F:F)</f>
        <v>Electronic accessories</v>
      </c>
      <c r="I262" s="12">
        <f>_xlfn.XLOOKUP(Input_Table[[#This Row],[INVOICE ID]],'SuperMarket Analysis'!A:A,'SuperMarket Analysis'!G:G)</f>
        <v>75.06</v>
      </c>
      <c r="J262" s="12">
        <f>_xlfn.XLOOKUP(Input_Table[[#This Row],[INVOICE ID]],'SuperMarket Analysis'!A:A,'SuperMarket Analysis'!N:N)</f>
        <v>675.54</v>
      </c>
      <c r="K262" s="12">
        <f>_xlfn.XLOOKUP(Input_Table[[#This Row],[INVOICE ID]],'SuperMarket Analysis'!A:A,'SuperMarket Analysis'!J:J)</f>
        <v>709.31700000000001</v>
      </c>
      <c r="L262" s="6">
        <f>DAY(Input_Table[[#This Row],[DATE]])</f>
        <v>18</v>
      </c>
      <c r="M262" s="6" t="str">
        <f>TEXT(Input_Table[[#This Row],[DATE]],"mmmm")</f>
        <v>March</v>
      </c>
      <c r="N262" s="6">
        <f>YEAR(Input_Table[[#This Row],[DATE]])</f>
        <v>2019</v>
      </c>
    </row>
    <row r="263" spans="1:14" x14ac:dyDescent="0.3">
      <c r="A263" s="2">
        <f>_xlfn.XLOOKUP(B263,SuperMarket_Analysis[Invoice ID],SuperMarket_Analysis[Date])</f>
        <v>43540</v>
      </c>
      <c r="B263" s="6" t="s">
        <v>294</v>
      </c>
      <c r="C263" s="7">
        <f>_xlfn.XLOOKUP(B263,SuperMarket_Analysis[Invoice ID],SuperMarket_Analysis[Quantity])</f>
        <v>4</v>
      </c>
      <c r="D263" s="6" t="str">
        <f>_xlfn.XLOOKUP('Input data'!B263,'SuperMarket Analysis'!A:A,'SuperMarket Analysis'!F:F)</f>
        <v>Fashion accessories</v>
      </c>
      <c r="E263" s="6" t="str">
        <f>_xlfn.XLOOKUP(B263,'SuperMarket Analysis'!A:A,'SuperMarket Analysis'!M:M)</f>
        <v>Ewallet</v>
      </c>
      <c r="F263" s="6">
        <f>0.05*Input_Table[[#This Row],[TOTAL C.O.G.S]]</f>
        <v>3.29</v>
      </c>
      <c r="G263" s="6" t="str">
        <f>_xlfn.XLOOKUP(Input_Table[[#This Row],[INVOICE ID]],'SuperMarket Analysis'!A:A,'SuperMarket Analysis'!B:B)</f>
        <v>Giza</v>
      </c>
      <c r="H263" s="6" t="str">
        <f>_xlfn.XLOOKUP(Input_Table[[#This Row],[INVOICE ID]],'SuperMarket Analysis'!A:A,'SuperMarket Analysis'!F:F)</f>
        <v>Fashion accessories</v>
      </c>
      <c r="I263" s="12">
        <f>_xlfn.XLOOKUP(Input_Table[[#This Row],[INVOICE ID]],'SuperMarket Analysis'!A:A,'SuperMarket Analysis'!G:G)</f>
        <v>16.45</v>
      </c>
      <c r="J263" s="12">
        <f>_xlfn.XLOOKUP(Input_Table[[#This Row],[INVOICE ID]],'SuperMarket Analysis'!A:A,'SuperMarket Analysis'!N:N)</f>
        <v>65.8</v>
      </c>
      <c r="K263" s="12">
        <f>_xlfn.XLOOKUP(Input_Table[[#This Row],[INVOICE ID]],'SuperMarket Analysis'!A:A,'SuperMarket Analysis'!J:J)</f>
        <v>69.09</v>
      </c>
      <c r="L263" s="6">
        <f>DAY(Input_Table[[#This Row],[DATE]])</f>
        <v>16</v>
      </c>
      <c r="M263" s="6" t="str">
        <f>TEXT(Input_Table[[#This Row],[DATE]],"mmmm")</f>
        <v>March</v>
      </c>
      <c r="N263" s="6">
        <f>YEAR(Input_Table[[#This Row],[DATE]])</f>
        <v>2019</v>
      </c>
    </row>
    <row r="264" spans="1:14" x14ac:dyDescent="0.3">
      <c r="A264" s="2">
        <f>_xlfn.XLOOKUP(B264,SuperMarket_Analysis[Invoice ID],SuperMarket_Analysis[Date])</f>
        <v>43494</v>
      </c>
      <c r="B264" s="6" t="s">
        <v>295</v>
      </c>
      <c r="C264" s="7">
        <f>_xlfn.XLOOKUP(B264,SuperMarket_Analysis[Invoice ID],SuperMarket_Analysis[Quantity])</f>
        <v>4</v>
      </c>
      <c r="D264" s="6" t="str">
        <f>_xlfn.XLOOKUP('Input data'!B264,'SuperMarket Analysis'!A:A,'SuperMarket Analysis'!F:F)</f>
        <v>Fashion accessories</v>
      </c>
      <c r="E264" s="6" t="str">
        <f>_xlfn.XLOOKUP(B264,'SuperMarket Analysis'!A:A,'SuperMarket Analysis'!M:M)</f>
        <v>Cash</v>
      </c>
      <c r="F264" s="6">
        <f>0.05*Input_Table[[#This Row],[TOTAL C.O.G.S]]</f>
        <v>7.66</v>
      </c>
      <c r="G264" s="6" t="str">
        <f>_xlfn.XLOOKUP(Input_Table[[#This Row],[INVOICE ID]],'SuperMarket Analysis'!A:A,'SuperMarket Analysis'!B:B)</f>
        <v>Cairo</v>
      </c>
      <c r="H264" s="6" t="str">
        <f>_xlfn.XLOOKUP(Input_Table[[#This Row],[INVOICE ID]],'SuperMarket Analysis'!A:A,'SuperMarket Analysis'!F:F)</f>
        <v>Fashion accessories</v>
      </c>
      <c r="I264" s="12">
        <f>_xlfn.XLOOKUP(Input_Table[[#This Row],[INVOICE ID]],'SuperMarket Analysis'!A:A,'SuperMarket Analysis'!G:G)</f>
        <v>38.299999999999997</v>
      </c>
      <c r="J264" s="12">
        <f>_xlfn.XLOOKUP(Input_Table[[#This Row],[INVOICE ID]],'SuperMarket Analysis'!A:A,'SuperMarket Analysis'!N:N)</f>
        <v>153.19999999999999</v>
      </c>
      <c r="K264" s="12">
        <f>_xlfn.XLOOKUP(Input_Table[[#This Row],[INVOICE ID]],'SuperMarket Analysis'!A:A,'SuperMarket Analysis'!J:J)</f>
        <v>160.86000000000001</v>
      </c>
      <c r="L264" s="6">
        <f>DAY(Input_Table[[#This Row],[DATE]])</f>
        <v>29</v>
      </c>
      <c r="M264" s="6" t="str">
        <f>TEXT(Input_Table[[#This Row],[DATE]],"mmmm")</f>
        <v>January</v>
      </c>
      <c r="N264" s="6">
        <f>YEAR(Input_Table[[#This Row],[DATE]])</f>
        <v>2019</v>
      </c>
    </row>
    <row r="265" spans="1:14" x14ac:dyDescent="0.3">
      <c r="A265" s="2">
        <f>_xlfn.XLOOKUP(B265,SuperMarket_Analysis[Invoice ID],SuperMarket_Analysis[Date])</f>
        <v>43511</v>
      </c>
      <c r="B265" s="6" t="s">
        <v>296</v>
      </c>
      <c r="C265" s="7">
        <f>_xlfn.XLOOKUP(B265,SuperMarket_Analysis[Invoice ID],SuperMarket_Analysis[Quantity])</f>
        <v>10</v>
      </c>
      <c r="D265" s="6" t="str">
        <f>_xlfn.XLOOKUP('Input data'!B265,'SuperMarket Analysis'!A:A,'SuperMarket Analysis'!F:F)</f>
        <v>Sports and travel</v>
      </c>
      <c r="E265" s="6" t="str">
        <f>_xlfn.XLOOKUP(B265,'SuperMarket Analysis'!A:A,'SuperMarket Analysis'!M:M)</f>
        <v>Cash</v>
      </c>
      <c r="F265" s="6">
        <f>0.05*Input_Table[[#This Row],[TOTAL C.O.G.S]]</f>
        <v>11.120000000000001</v>
      </c>
      <c r="G265" s="6" t="str">
        <f>_xlfn.XLOOKUP(Input_Table[[#This Row],[INVOICE ID]],'SuperMarket Analysis'!A:A,'SuperMarket Analysis'!B:B)</f>
        <v>Alex</v>
      </c>
      <c r="H265" s="6" t="str">
        <f>_xlfn.XLOOKUP(Input_Table[[#This Row],[INVOICE ID]],'SuperMarket Analysis'!A:A,'SuperMarket Analysis'!F:F)</f>
        <v>Sports and travel</v>
      </c>
      <c r="I265" s="12">
        <f>_xlfn.XLOOKUP(Input_Table[[#This Row],[INVOICE ID]],'SuperMarket Analysis'!A:A,'SuperMarket Analysis'!G:G)</f>
        <v>22.24</v>
      </c>
      <c r="J265" s="12">
        <f>_xlfn.XLOOKUP(Input_Table[[#This Row],[INVOICE ID]],'SuperMarket Analysis'!A:A,'SuperMarket Analysis'!N:N)</f>
        <v>222.4</v>
      </c>
      <c r="K265" s="12">
        <f>_xlfn.XLOOKUP(Input_Table[[#This Row],[INVOICE ID]],'SuperMarket Analysis'!A:A,'SuperMarket Analysis'!J:J)</f>
        <v>233.52</v>
      </c>
      <c r="L265" s="6">
        <f>DAY(Input_Table[[#This Row],[DATE]])</f>
        <v>15</v>
      </c>
      <c r="M265" s="6" t="str">
        <f>TEXT(Input_Table[[#This Row],[DATE]],"mmmm")</f>
        <v>February</v>
      </c>
      <c r="N265" s="6">
        <f>YEAR(Input_Table[[#This Row],[DATE]])</f>
        <v>2019</v>
      </c>
    </row>
    <row r="266" spans="1:14" x14ac:dyDescent="0.3">
      <c r="A266" s="2">
        <f>_xlfn.XLOOKUP(B266,SuperMarket_Analysis[Invoice ID],SuperMarket_Analysis[Date])</f>
        <v>43545</v>
      </c>
      <c r="B266" s="6" t="s">
        <v>297</v>
      </c>
      <c r="C266" s="7">
        <f>_xlfn.XLOOKUP(B266,SuperMarket_Analysis[Invoice ID],SuperMarket_Analysis[Quantity])</f>
        <v>1</v>
      </c>
      <c r="D266" s="6" t="str">
        <f>_xlfn.XLOOKUP('Input data'!B266,'SuperMarket Analysis'!A:A,'SuperMarket Analysis'!F:F)</f>
        <v>Sports and travel</v>
      </c>
      <c r="E266" s="6" t="str">
        <f>_xlfn.XLOOKUP(B266,'SuperMarket Analysis'!A:A,'SuperMarket Analysis'!M:M)</f>
        <v>Ewallet</v>
      </c>
      <c r="F266" s="6">
        <f>0.05*Input_Table[[#This Row],[TOTAL C.O.G.S]]</f>
        <v>2.7225000000000001</v>
      </c>
      <c r="G266" s="6" t="str">
        <f>_xlfn.XLOOKUP(Input_Table[[#This Row],[INVOICE ID]],'SuperMarket Analysis'!A:A,'SuperMarket Analysis'!B:B)</f>
        <v>Cairo</v>
      </c>
      <c r="H266" s="6" t="str">
        <f>_xlfn.XLOOKUP(Input_Table[[#This Row],[INVOICE ID]],'SuperMarket Analysis'!A:A,'SuperMarket Analysis'!F:F)</f>
        <v>Sports and travel</v>
      </c>
      <c r="I266" s="12">
        <f>_xlfn.XLOOKUP(Input_Table[[#This Row],[INVOICE ID]],'SuperMarket Analysis'!A:A,'SuperMarket Analysis'!G:G)</f>
        <v>54.45</v>
      </c>
      <c r="J266" s="12">
        <f>_xlfn.XLOOKUP(Input_Table[[#This Row],[INVOICE ID]],'SuperMarket Analysis'!A:A,'SuperMarket Analysis'!N:N)</f>
        <v>54.45</v>
      </c>
      <c r="K266" s="12">
        <f>_xlfn.XLOOKUP(Input_Table[[#This Row],[INVOICE ID]],'SuperMarket Analysis'!A:A,'SuperMarket Analysis'!J:J)</f>
        <v>57.172499999999999</v>
      </c>
      <c r="L266" s="6">
        <f>DAY(Input_Table[[#This Row],[DATE]])</f>
        <v>21</v>
      </c>
      <c r="M266" s="6" t="str">
        <f>TEXT(Input_Table[[#This Row],[DATE]],"mmmm")</f>
        <v>March</v>
      </c>
      <c r="N266" s="6">
        <f>YEAR(Input_Table[[#This Row],[DATE]])</f>
        <v>2019</v>
      </c>
    </row>
    <row r="267" spans="1:14" x14ac:dyDescent="0.3">
      <c r="A267" s="2">
        <f>_xlfn.XLOOKUP(B267,SuperMarket_Analysis[Invoice ID],SuperMarket_Analysis[Date])</f>
        <v>43524</v>
      </c>
      <c r="B267" s="6" t="s">
        <v>298</v>
      </c>
      <c r="C267" s="7">
        <f>_xlfn.XLOOKUP(B267,SuperMarket_Analysis[Invoice ID],SuperMarket_Analysis[Quantity])</f>
        <v>7</v>
      </c>
      <c r="D267" s="6" t="str">
        <f>_xlfn.XLOOKUP('Input data'!B267,'SuperMarket Analysis'!A:A,'SuperMarket Analysis'!F:F)</f>
        <v>Sports and travel</v>
      </c>
      <c r="E267" s="6" t="str">
        <f>_xlfn.XLOOKUP(B267,'SuperMarket Analysis'!A:A,'SuperMarket Analysis'!M:M)</f>
        <v>Credit card</v>
      </c>
      <c r="F267" s="6">
        <f>0.05*Input_Table[[#This Row],[TOTAL C.O.G.S]]</f>
        <v>34.44</v>
      </c>
      <c r="G267" s="6" t="str">
        <f>_xlfn.XLOOKUP(Input_Table[[#This Row],[INVOICE ID]],'SuperMarket Analysis'!A:A,'SuperMarket Analysis'!B:B)</f>
        <v>Alex</v>
      </c>
      <c r="H267" s="6" t="str">
        <f>_xlfn.XLOOKUP(Input_Table[[#This Row],[INVOICE ID]],'SuperMarket Analysis'!A:A,'SuperMarket Analysis'!F:F)</f>
        <v>Sports and travel</v>
      </c>
      <c r="I267" s="12">
        <f>_xlfn.XLOOKUP(Input_Table[[#This Row],[INVOICE ID]],'SuperMarket Analysis'!A:A,'SuperMarket Analysis'!G:G)</f>
        <v>98.4</v>
      </c>
      <c r="J267" s="12">
        <f>_xlfn.XLOOKUP(Input_Table[[#This Row],[INVOICE ID]],'SuperMarket Analysis'!A:A,'SuperMarket Analysis'!N:N)</f>
        <v>688.8</v>
      </c>
      <c r="K267" s="12">
        <f>_xlfn.XLOOKUP(Input_Table[[#This Row],[INVOICE ID]],'SuperMarket Analysis'!A:A,'SuperMarket Analysis'!J:J)</f>
        <v>723.24</v>
      </c>
      <c r="L267" s="6">
        <f>DAY(Input_Table[[#This Row],[DATE]])</f>
        <v>28</v>
      </c>
      <c r="M267" s="6" t="str">
        <f>TEXT(Input_Table[[#This Row],[DATE]],"mmmm")</f>
        <v>February</v>
      </c>
      <c r="N267" s="6">
        <f>YEAR(Input_Table[[#This Row],[DATE]])</f>
        <v>2019</v>
      </c>
    </row>
    <row r="268" spans="1:14" x14ac:dyDescent="0.3">
      <c r="A268" s="2">
        <f>_xlfn.XLOOKUP(B268,SuperMarket_Analysis[Invoice ID],SuperMarket_Analysis[Date])</f>
        <v>43547</v>
      </c>
      <c r="B268" s="6" t="s">
        <v>299</v>
      </c>
      <c r="C268" s="7">
        <f>_xlfn.XLOOKUP(B268,SuperMarket_Analysis[Invoice ID],SuperMarket_Analysis[Quantity])</f>
        <v>4</v>
      </c>
      <c r="D268" s="6" t="str">
        <f>_xlfn.XLOOKUP('Input data'!B268,'SuperMarket Analysis'!A:A,'SuperMarket Analysis'!F:F)</f>
        <v>Home and lifestyle</v>
      </c>
      <c r="E268" s="6" t="str">
        <f>_xlfn.XLOOKUP(B268,'SuperMarket Analysis'!A:A,'SuperMarket Analysis'!M:M)</f>
        <v>Credit card</v>
      </c>
      <c r="F268" s="6">
        <f>0.05*Input_Table[[#This Row],[TOTAL C.O.G.S]]</f>
        <v>7.0940000000000003</v>
      </c>
      <c r="G268" s="6" t="str">
        <f>_xlfn.XLOOKUP(Input_Table[[#This Row],[INVOICE ID]],'SuperMarket Analysis'!A:A,'SuperMarket Analysis'!B:B)</f>
        <v>Giza</v>
      </c>
      <c r="H268" s="6" t="str">
        <f>_xlfn.XLOOKUP(Input_Table[[#This Row],[INVOICE ID]],'SuperMarket Analysis'!A:A,'SuperMarket Analysis'!F:F)</f>
        <v>Home and lifestyle</v>
      </c>
      <c r="I268" s="12">
        <f>_xlfn.XLOOKUP(Input_Table[[#This Row],[INVOICE ID]],'SuperMarket Analysis'!A:A,'SuperMarket Analysis'!G:G)</f>
        <v>35.47</v>
      </c>
      <c r="J268" s="12">
        <f>_xlfn.XLOOKUP(Input_Table[[#This Row],[INVOICE ID]],'SuperMarket Analysis'!A:A,'SuperMarket Analysis'!N:N)</f>
        <v>141.88</v>
      </c>
      <c r="K268" s="12">
        <f>_xlfn.XLOOKUP(Input_Table[[#This Row],[INVOICE ID]],'SuperMarket Analysis'!A:A,'SuperMarket Analysis'!J:J)</f>
        <v>148.97399999999999</v>
      </c>
      <c r="L268" s="6">
        <f>DAY(Input_Table[[#This Row],[DATE]])</f>
        <v>23</v>
      </c>
      <c r="M268" s="6" t="str">
        <f>TEXT(Input_Table[[#This Row],[DATE]],"mmmm")</f>
        <v>March</v>
      </c>
      <c r="N268" s="6">
        <f>YEAR(Input_Table[[#This Row],[DATE]])</f>
        <v>2019</v>
      </c>
    </row>
    <row r="269" spans="1:14" x14ac:dyDescent="0.3">
      <c r="A269" s="2">
        <f>_xlfn.XLOOKUP(B269,SuperMarket_Analysis[Invoice ID],SuperMarket_Analysis[Date])</f>
        <v>43495</v>
      </c>
      <c r="B269" s="6" t="s">
        <v>300</v>
      </c>
      <c r="C269" s="7">
        <f>_xlfn.XLOOKUP(B269,SuperMarket_Analysis[Invoice ID],SuperMarket_Analysis[Quantity])</f>
        <v>10</v>
      </c>
      <c r="D269" s="6" t="str">
        <f>_xlfn.XLOOKUP('Input data'!B269,'SuperMarket Analysis'!A:A,'SuperMarket Analysis'!F:F)</f>
        <v>Food and beverages</v>
      </c>
      <c r="E269" s="6" t="str">
        <f>_xlfn.XLOOKUP(B269,'SuperMarket Analysis'!A:A,'SuperMarket Analysis'!M:M)</f>
        <v>Cash</v>
      </c>
      <c r="F269" s="6">
        <f>0.05*Input_Table[[#This Row],[TOTAL C.O.G.S]]</f>
        <v>37.300000000000004</v>
      </c>
      <c r="G269" s="6" t="str">
        <f>_xlfn.XLOOKUP(Input_Table[[#This Row],[INVOICE ID]],'SuperMarket Analysis'!A:A,'SuperMarket Analysis'!B:B)</f>
        <v>Cairo</v>
      </c>
      <c r="H269" s="6" t="str">
        <f>_xlfn.XLOOKUP(Input_Table[[#This Row],[INVOICE ID]],'SuperMarket Analysis'!A:A,'SuperMarket Analysis'!F:F)</f>
        <v>Food and beverages</v>
      </c>
      <c r="I269" s="12">
        <f>_xlfn.XLOOKUP(Input_Table[[#This Row],[INVOICE ID]],'SuperMarket Analysis'!A:A,'SuperMarket Analysis'!G:G)</f>
        <v>74.599999999999994</v>
      </c>
      <c r="J269" s="12">
        <f>_xlfn.XLOOKUP(Input_Table[[#This Row],[INVOICE ID]],'SuperMarket Analysis'!A:A,'SuperMarket Analysis'!N:N)</f>
        <v>746</v>
      </c>
      <c r="K269" s="12">
        <f>_xlfn.XLOOKUP(Input_Table[[#This Row],[INVOICE ID]],'SuperMarket Analysis'!A:A,'SuperMarket Analysis'!J:J)</f>
        <v>783.3</v>
      </c>
      <c r="L269" s="6">
        <f>DAY(Input_Table[[#This Row],[DATE]])</f>
        <v>30</v>
      </c>
      <c r="M269" s="6" t="str">
        <f>TEXT(Input_Table[[#This Row],[DATE]],"mmmm")</f>
        <v>January</v>
      </c>
      <c r="N269" s="6">
        <f>YEAR(Input_Table[[#This Row],[DATE]])</f>
        <v>2019</v>
      </c>
    </row>
    <row r="270" spans="1:14" x14ac:dyDescent="0.3">
      <c r="A270" s="2">
        <f>_xlfn.XLOOKUP(B270,SuperMarket_Analysis[Invoice ID],SuperMarket_Analysis[Date])</f>
        <v>43537</v>
      </c>
      <c r="B270" s="6" t="s">
        <v>301</v>
      </c>
      <c r="C270" s="7">
        <f>_xlfn.XLOOKUP(B270,SuperMarket_Analysis[Invoice ID],SuperMarket_Analysis[Quantity])</f>
        <v>4</v>
      </c>
      <c r="D270" s="6" t="str">
        <f>_xlfn.XLOOKUP('Input data'!B270,'SuperMarket Analysis'!A:A,'SuperMarket Analysis'!F:F)</f>
        <v>Home and lifestyle</v>
      </c>
      <c r="E270" s="6" t="str">
        <f>_xlfn.XLOOKUP(B270,'SuperMarket Analysis'!A:A,'SuperMarket Analysis'!M:M)</f>
        <v>Credit card</v>
      </c>
      <c r="F270" s="6">
        <f>0.05*Input_Table[[#This Row],[TOTAL C.O.G.S]]</f>
        <v>14.148</v>
      </c>
      <c r="G270" s="6" t="str">
        <f>_xlfn.XLOOKUP(Input_Table[[#This Row],[INVOICE ID]],'SuperMarket Analysis'!A:A,'SuperMarket Analysis'!B:B)</f>
        <v>Alex</v>
      </c>
      <c r="H270" s="6" t="str">
        <f>_xlfn.XLOOKUP(Input_Table[[#This Row],[INVOICE ID]],'SuperMarket Analysis'!A:A,'SuperMarket Analysis'!F:F)</f>
        <v>Home and lifestyle</v>
      </c>
      <c r="I270" s="12">
        <f>_xlfn.XLOOKUP(Input_Table[[#This Row],[INVOICE ID]],'SuperMarket Analysis'!A:A,'SuperMarket Analysis'!G:G)</f>
        <v>70.739999999999995</v>
      </c>
      <c r="J270" s="12">
        <f>_xlfn.XLOOKUP(Input_Table[[#This Row],[INVOICE ID]],'SuperMarket Analysis'!A:A,'SuperMarket Analysis'!N:N)</f>
        <v>282.95999999999998</v>
      </c>
      <c r="K270" s="12">
        <f>_xlfn.XLOOKUP(Input_Table[[#This Row],[INVOICE ID]],'SuperMarket Analysis'!A:A,'SuperMarket Analysis'!J:J)</f>
        <v>297.108</v>
      </c>
      <c r="L270" s="6">
        <f>DAY(Input_Table[[#This Row],[DATE]])</f>
        <v>13</v>
      </c>
      <c r="M270" s="6" t="str">
        <f>TEXT(Input_Table[[#This Row],[DATE]],"mmmm")</f>
        <v>March</v>
      </c>
      <c r="N270" s="6">
        <f>YEAR(Input_Table[[#This Row],[DATE]])</f>
        <v>2019</v>
      </c>
    </row>
    <row r="271" spans="1:14" x14ac:dyDescent="0.3">
      <c r="A271" s="2">
        <f>_xlfn.XLOOKUP(B271,SuperMarket_Analysis[Invoice ID],SuperMarket_Analysis[Date])</f>
        <v>43539</v>
      </c>
      <c r="B271" s="6" t="s">
        <v>302</v>
      </c>
      <c r="C271" s="7">
        <f>_xlfn.XLOOKUP(B271,SuperMarket_Analysis[Invoice ID],SuperMarket_Analysis[Quantity])</f>
        <v>10</v>
      </c>
      <c r="D271" s="6" t="str">
        <f>_xlfn.XLOOKUP('Input data'!B271,'SuperMarket Analysis'!A:A,'SuperMarket Analysis'!F:F)</f>
        <v>Home and lifestyle</v>
      </c>
      <c r="E271" s="6" t="str">
        <f>_xlfn.XLOOKUP(B271,'SuperMarket Analysis'!A:A,'SuperMarket Analysis'!M:M)</f>
        <v>Ewallet</v>
      </c>
      <c r="F271" s="6">
        <f>0.05*Input_Table[[#This Row],[TOTAL C.O.G.S]]</f>
        <v>17.77</v>
      </c>
      <c r="G271" s="6" t="str">
        <f>_xlfn.XLOOKUP(Input_Table[[#This Row],[INVOICE ID]],'SuperMarket Analysis'!A:A,'SuperMarket Analysis'!B:B)</f>
        <v>Alex</v>
      </c>
      <c r="H271" s="6" t="str">
        <f>_xlfn.XLOOKUP(Input_Table[[#This Row],[INVOICE ID]],'SuperMarket Analysis'!A:A,'SuperMarket Analysis'!F:F)</f>
        <v>Home and lifestyle</v>
      </c>
      <c r="I271" s="12">
        <f>_xlfn.XLOOKUP(Input_Table[[#This Row],[INVOICE ID]],'SuperMarket Analysis'!A:A,'SuperMarket Analysis'!G:G)</f>
        <v>35.54</v>
      </c>
      <c r="J271" s="12">
        <f>_xlfn.XLOOKUP(Input_Table[[#This Row],[INVOICE ID]],'SuperMarket Analysis'!A:A,'SuperMarket Analysis'!N:N)</f>
        <v>355.4</v>
      </c>
      <c r="K271" s="12">
        <f>_xlfn.XLOOKUP(Input_Table[[#This Row],[INVOICE ID]],'SuperMarket Analysis'!A:A,'SuperMarket Analysis'!J:J)</f>
        <v>373.17</v>
      </c>
      <c r="L271" s="6">
        <f>DAY(Input_Table[[#This Row],[DATE]])</f>
        <v>15</v>
      </c>
      <c r="M271" s="6" t="str">
        <f>TEXT(Input_Table[[#This Row],[DATE]],"mmmm")</f>
        <v>March</v>
      </c>
      <c r="N271" s="6">
        <f>YEAR(Input_Table[[#This Row],[DATE]])</f>
        <v>2019</v>
      </c>
    </row>
    <row r="272" spans="1:14" x14ac:dyDescent="0.3">
      <c r="A272" s="2">
        <f>_xlfn.XLOOKUP(B272,SuperMarket_Analysis[Invoice ID],SuperMarket_Analysis[Date])</f>
        <v>43522</v>
      </c>
      <c r="B272" s="6" t="s">
        <v>303</v>
      </c>
      <c r="C272" s="7">
        <f>_xlfn.XLOOKUP(B272,SuperMarket_Analysis[Invoice ID],SuperMarket_Analysis[Quantity])</f>
        <v>5</v>
      </c>
      <c r="D272" s="6" t="str">
        <f>_xlfn.XLOOKUP('Input data'!B272,'SuperMarket Analysis'!A:A,'SuperMarket Analysis'!F:F)</f>
        <v>Sports and travel</v>
      </c>
      <c r="E272" s="6" t="str">
        <f>_xlfn.XLOOKUP(B272,'SuperMarket Analysis'!A:A,'SuperMarket Analysis'!M:M)</f>
        <v>Ewallet</v>
      </c>
      <c r="F272" s="6">
        <f>0.05*Input_Table[[#This Row],[TOTAL C.O.G.S]]</f>
        <v>16.857499999999998</v>
      </c>
      <c r="G272" s="6" t="str">
        <f>_xlfn.XLOOKUP(Input_Table[[#This Row],[INVOICE ID]],'SuperMarket Analysis'!A:A,'SuperMarket Analysis'!B:B)</f>
        <v>Cairo</v>
      </c>
      <c r="H272" s="6" t="str">
        <f>_xlfn.XLOOKUP(Input_Table[[#This Row],[INVOICE ID]],'SuperMarket Analysis'!A:A,'SuperMarket Analysis'!F:F)</f>
        <v>Sports and travel</v>
      </c>
      <c r="I272" s="12">
        <f>_xlfn.XLOOKUP(Input_Table[[#This Row],[INVOICE ID]],'SuperMarket Analysis'!A:A,'SuperMarket Analysis'!G:G)</f>
        <v>67.430000000000007</v>
      </c>
      <c r="J272" s="12">
        <f>_xlfn.XLOOKUP(Input_Table[[#This Row],[INVOICE ID]],'SuperMarket Analysis'!A:A,'SuperMarket Analysis'!N:N)</f>
        <v>337.15</v>
      </c>
      <c r="K272" s="12">
        <f>_xlfn.XLOOKUP(Input_Table[[#This Row],[INVOICE ID]],'SuperMarket Analysis'!A:A,'SuperMarket Analysis'!J:J)</f>
        <v>354.00749999999999</v>
      </c>
      <c r="L272" s="6">
        <f>DAY(Input_Table[[#This Row],[DATE]])</f>
        <v>26</v>
      </c>
      <c r="M272" s="6" t="str">
        <f>TEXT(Input_Table[[#This Row],[DATE]],"mmmm")</f>
        <v>February</v>
      </c>
      <c r="N272" s="6">
        <f>YEAR(Input_Table[[#This Row],[DATE]])</f>
        <v>2019</v>
      </c>
    </row>
    <row r="273" spans="1:14" x14ac:dyDescent="0.3">
      <c r="A273" s="2">
        <f>_xlfn.XLOOKUP(B273,SuperMarket_Analysis[Invoice ID],SuperMarket_Analysis[Date])</f>
        <v>43544</v>
      </c>
      <c r="B273" s="6" t="s">
        <v>304</v>
      </c>
      <c r="C273" s="7">
        <f>_xlfn.XLOOKUP(B273,SuperMarket_Analysis[Invoice ID],SuperMarket_Analysis[Quantity])</f>
        <v>2</v>
      </c>
      <c r="D273" s="6" t="str">
        <f>_xlfn.XLOOKUP('Input data'!B273,'SuperMarket Analysis'!A:A,'SuperMarket Analysis'!F:F)</f>
        <v>Health and beauty</v>
      </c>
      <c r="E273" s="6" t="str">
        <f>_xlfn.XLOOKUP(B273,'SuperMarket Analysis'!A:A,'SuperMarket Analysis'!M:M)</f>
        <v>Cash</v>
      </c>
      <c r="F273" s="6">
        <f>0.05*Input_Table[[#This Row],[TOTAL C.O.G.S]]</f>
        <v>2.1120000000000001</v>
      </c>
      <c r="G273" s="6" t="str">
        <f>_xlfn.XLOOKUP(Input_Table[[#This Row],[INVOICE ID]],'SuperMarket Analysis'!A:A,'SuperMarket Analysis'!B:B)</f>
        <v>Giza</v>
      </c>
      <c r="H273" s="6" t="str">
        <f>_xlfn.XLOOKUP(Input_Table[[#This Row],[INVOICE ID]],'SuperMarket Analysis'!A:A,'SuperMarket Analysis'!F:F)</f>
        <v>Health and beauty</v>
      </c>
      <c r="I273" s="12">
        <f>_xlfn.XLOOKUP(Input_Table[[#This Row],[INVOICE ID]],'SuperMarket Analysis'!A:A,'SuperMarket Analysis'!G:G)</f>
        <v>21.12</v>
      </c>
      <c r="J273" s="12">
        <f>_xlfn.XLOOKUP(Input_Table[[#This Row],[INVOICE ID]],'SuperMarket Analysis'!A:A,'SuperMarket Analysis'!N:N)</f>
        <v>42.24</v>
      </c>
      <c r="K273" s="12">
        <f>_xlfn.XLOOKUP(Input_Table[[#This Row],[INVOICE ID]],'SuperMarket Analysis'!A:A,'SuperMarket Analysis'!J:J)</f>
        <v>44.351999999999997</v>
      </c>
      <c r="L273" s="6">
        <f>DAY(Input_Table[[#This Row],[DATE]])</f>
        <v>20</v>
      </c>
      <c r="M273" s="6" t="str">
        <f>TEXT(Input_Table[[#This Row],[DATE]],"mmmm")</f>
        <v>March</v>
      </c>
      <c r="N273" s="6">
        <f>YEAR(Input_Table[[#This Row],[DATE]])</f>
        <v>2019</v>
      </c>
    </row>
    <row r="274" spans="1:14" x14ac:dyDescent="0.3">
      <c r="A274" s="2">
        <f>_xlfn.XLOOKUP(B274,SuperMarket_Analysis[Invoice ID],SuperMarket_Analysis[Date])</f>
        <v>43492</v>
      </c>
      <c r="B274" s="6" t="s">
        <v>305</v>
      </c>
      <c r="C274" s="7">
        <f>_xlfn.XLOOKUP(B274,SuperMarket_Analysis[Invoice ID],SuperMarket_Analysis[Quantity])</f>
        <v>9</v>
      </c>
      <c r="D274" s="6" t="str">
        <f>_xlfn.XLOOKUP('Input data'!B274,'SuperMarket Analysis'!A:A,'SuperMarket Analysis'!F:F)</f>
        <v>Home and lifestyle</v>
      </c>
      <c r="E274" s="6" t="str">
        <f>_xlfn.XLOOKUP(B274,'SuperMarket Analysis'!A:A,'SuperMarket Analysis'!M:M)</f>
        <v>Credit card</v>
      </c>
      <c r="F274" s="6">
        <f>0.05*Input_Table[[#This Row],[TOTAL C.O.G.S]]</f>
        <v>9.6930000000000014</v>
      </c>
      <c r="G274" s="6" t="str">
        <f>_xlfn.XLOOKUP(Input_Table[[#This Row],[INVOICE ID]],'SuperMarket Analysis'!A:A,'SuperMarket Analysis'!B:B)</f>
        <v>Alex</v>
      </c>
      <c r="H274" s="6" t="str">
        <f>_xlfn.XLOOKUP(Input_Table[[#This Row],[INVOICE ID]],'SuperMarket Analysis'!A:A,'SuperMarket Analysis'!F:F)</f>
        <v>Home and lifestyle</v>
      </c>
      <c r="I274" s="12">
        <f>_xlfn.XLOOKUP(Input_Table[[#This Row],[INVOICE ID]],'SuperMarket Analysis'!A:A,'SuperMarket Analysis'!G:G)</f>
        <v>21.54</v>
      </c>
      <c r="J274" s="12">
        <f>_xlfn.XLOOKUP(Input_Table[[#This Row],[INVOICE ID]],'SuperMarket Analysis'!A:A,'SuperMarket Analysis'!N:N)</f>
        <v>193.86</v>
      </c>
      <c r="K274" s="12">
        <f>_xlfn.XLOOKUP(Input_Table[[#This Row],[INVOICE ID]],'SuperMarket Analysis'!A:A,'SuperMarket Analysis'!J:J)</f>
        <v>203.553</v>
      </c>
      <c r="L274" s="6">
        <f>DAY(Input_Table[[#This Row],[DATE]])</f>
        <v>27</v>
      </c>
      <c r="M274" s="6" t="str">
        <f>TEXT(Input_Table[[#This Row],[DATE]],"mmmm")</f>
        <v>January</v>
      </c>
      <c r="N274" s="6">
        <f>YEAR(Input_Table[[#This Row],[DATE]])</f>
        <v>2019</v>
      </c>
    </row>
    <row r="275" spans="1:14" x14ac:dyDescent="0.3">
      <c r="A275" s="2">
        <f>_xlfn.XLOOKUP(B275,SuperMarket_Analysis[Invoice ID],SuperMarket_Analysis[Date])</f>
        <v>43486</v>
      </c>
      <c r="B275" s="6" t="s">
        <v>306</v>
      </c>
      <c r="C275" s="7">
        <f>_xlfn.XLOOKUP(B275,SuperMarket_Analysis[Invoice ID],SuperMarket_Analysis[Quantity])</f>
        <v>2</v>
      </c>
      <c r="D275" s="6" t="str">
        <f>_xlfn.XLOOKUP('Input data'!B275,'SuperMarket Analysis'!A:A,'SuperMarket Analysis'!F:F)</f>
        <v>Home and lifestyle</v>
      </c>
      <c r="E275" s="6" t="str">
        <f>_xlfn.XLOOKUP(B275,'SuperMarket Analysis'!A:A,'SuperMarket Analysis'!M:M)</f>
        <v>Cash</v>
      </c>
      <c r="F275" s="6">
        <f>0.05*Input_Table[[#This Row],[TOTAL C.O.G.S]]</f>
        <v>1.2030000000000001</v>
      </c>
      <c r="G275" s="6" t="str">
        <f>_xlfn.XLOOKUP(Input_Table[[#This Row],[INVOICE ID]],'SuperMarket Analysis'!A:A,'SuperMarket Analysis'!B:B)</f>
        <v>Alex</v>
      </c>
      <c r="H275" s="6" t="str">
        <f>_xlfn.XLOOKUP(Input_Table[[#This Row],[INVOICE ID]],'SuperMarket Analysis'!A:A,'SuperMarket Analysis'!F:F)</f>
        <v>Home and lifestyle</v>
      </c>
      <c r="I275" s="12">
        <f>_xlfn.XLOOKUP(Input_Table[[#This Row],[INVOICE ID]],'SuperMarket Analysis'!A:A,'SuperMarket Analysis'!G:G)</f>
        <v>12.03</v>
      </c>
      <c r="J275" s="12">
        <f>_xlfn.XLOOKUP(Input_Table[[#This Row],[INVOICE ID]],'SuperMarket Analysis'!A:A,'SuperMarket Analysis'!N:N)</f>
        <v>24.06</v>
      </c>
      <c r="K275" s="12">
        <f>_xlfn.XLOOKUP(Input_Table[[#This Row],[INVOICE ID]],'SuperMarket Analysis'!A:A,'SuperMarket Analysis'!J:J)</f>
        <v>25.263000000000002</v>
      </c>
      <c r="L275" s="6">
        <f>DAY(Input_Table[[#This Row],[DATE]])</f>
        <v>21</v>
      </c>
      <c r="M275" s="6" t="str">
        <f>TEXT(Input_Table[[#This Row],[DATE]],"mmmm")</f>
        <v>January</v>
      </c>
      <c r="N275" s="6">
        <f>YEAR(Input_Table[[#This Row],[DATE]])</f>
        <v>2019</v>
      </c>
    </row>
    <row r="276" spans="1:14" x14ac:dyDescent="0.3">
      <c r="A276" s="2">
        <f>_xlfn.XLOOKUP(B276,SuperMarket_Analysis[Invoice ID],SuperMarket_Analysis[Date])</f>
        <v>43492</v>
      </c>
      <c r="B276" s="6" t="s">
        <v>307</v>
      </c>
      <c r="C276" s="7">
        <f>_xlfn.XLOOKUP(B276,SuperMarket_Analysis[Invoice ID],SuperMarket_Analysis[Quantity])</f>
        <v>6</v>
      </c>
      <c r="D276" s="6" t="str">
        <f>_xlfn.XLOOKUP('Input data'!B276,'SuperMarket Analysis'!A:A,'SuperMarket Analysis'!F:F)</f>
        <v>Health and beauty</v>
      </c>
      <c r="E276" s="6" t="str">
        <f>_xlfn.XLOOKUP(B276,'SuperMarket Analysis'!A:A,'SuperMarket Analysis'!M:M)</f>
        <v>Ewallet</v>
      </c>
      <c r="F276" s="6">
        <f>0.05*Input_Table[[#This Row],[TOTAL C.O.G.S]]</f>
        <v>29.913</v>
      </c>
      <c r="G276" s="6" t="str">
        <f>_xlfn.XLOOKUP(Input_Table[[#This Row],[INVOICE ID]],'SuperMarket Analysis'!A:A,'SuperMarket Analysis'!B:B)</f>
        <v>Cairo</v>
      </c>
      <c r="H276" s="6" t="str">
        <f>_xlfn.XLOOKUP(Input_Table[[#This Row],[INVOICE ID]],'SuperMarket Analysis'!A:A,'SuperMarket Analysis'!F:F)</f>
        <v>Health and beauty</v>
      </c>
      <c r="I276" s="12">
        <f>_xlfn.XLOOKUP(Input_Table[[#This Row],[INVOICE ID]],'SuperMarket Analysis'!A:A,'SuperMarket Analysis'!G:G)</f>
        <v>99.71</v>
      </c>
      <c r="J276" s="12">
        <f>_xlfn.XLOOKUP(Input_Table[[#This Row],[INVOICE ID]],'SuperMarket Analysis'!A:A,'SuperMarket Analysis'!N:N)</f>
        <v>598.26</v>
      </c>
      <c r="K276" s="12">
        <f>_xlfn.XLOOKUP(Input_Table[[#This Row],[INVOICE ID]],'SuperMarket Analysis'!A:A,'SuperMarket Analysis'!J:J)</f>
        <v>628.173</v>
      </c>
      <c r="L276" s="6">
        <f>DAY(Input_Table[[#This Row],[DATE]])</f>
        <v>27</v>
      </c>
      <c r="M276" s="6" t="str">
        <f>TEXT(Input_Table[[#This Row],[DATE]],"mmmm")</f>
        <v>January</v>
      </c>
      <c r="N276" s="6">
        <f>YEAR(Input_Table[[#This Row],[DATE]])</f>
        <v>2019</v>
      </c>
    </row>
    <row r="277" spans="1:14" x14ac:dyDescent="0.3">
      <c r="A277" s="2">
        <f>_xlfn.XLOOKUP(B277,SuperMarket_Analysis[Invoice ID],SuperMarket_Analysis[Date])</f>
        <v>43549</v>
      </c>
      <c r="B277" s="6" t="s">
        <v>308</v>
      </c>
      <c r="C277" s="7">
        <f>_xlfn.XLOOKUP(B277,SuperMarket_Analysis[Invoice ID],SuperMarket_Analysis[Quantity])</f>
        <v>7</v>
      </c>
      <c r="D277" s="6" t="str">
        <f>_xlfn.XLOOKUP('Input data'!B277,'SuperMarket Analysis'!A:A,'SuperMarket Analysis'!F:F)</f>
        <v>Fashion accessories</v>
      </c>
      <c r="E277" s="6" t="str">
        <f>_xlfn.XLOOKUP(B277,'SuperMarket Analysis'!A:A,'SuperMarket Analysis'!M:M)</f>
        <v>Cash</v>
      </c>
      <c r="F277" s="6">
        <f>0.05*Input_Table[[#This Row],[TOTAL C.O.G.S]]</f>
        <v>16.7895</v>
      </c>
      <c r="G277" s="6" t="str">
        <f>_xlfn.XLOOKUP(Input_Table[[#This Row],[INVOICE ID]],'SuperMarket Analysis'!A:A,'SuperMarket Analysis'!B:B)</f>
        <v>Cairo</v>
      </c>
      <c r="H277" s="6" t="str">
        <f>_xlfn.XLOOKUP(Input_Table[[#This Row],[INVOICE ID]],'SuperMarket Analysis'!A:A,'SuperMarket Analysis'!F:F)</f>
        <v>Fashion accessories</v>
      </c>
      <c r="I277" s="12">
        <f>_xlfn.XLOOKUP(Input_Table[[#This Row],[INVOICE ID]],'SuperMarket Analysis'!A:A,'SuperMarket Analysis'!G:G)</f>
        <v>47.97</v>
      </c>
      <c r="J277" s="12">
        <f>_xlfn.XLOOKUP(Input_Table[[#This Row],[INVOICE ID]],'SuperMarket Analysis'!A:A,'SuperMarket Analysis'!N:N)</f>
        <v>335.79</v>
      </c>
      <c r="K277" s="12">
        <f>_xlfn.XLOOKUP(Input_Table[[#This Row],[INVOICE ID]],'SuperMarket Analysis'!A:A,'SuperMarket Analysis'!J:J)</f>
        <v>352.5795</v>
      </c>
      <c r="L277" s="6">
        <f>DAY(Input_Table[[#This Row],[DATE]])</f>
        <v>25</v>
      </c>
      <c r="M277" s="6" t="str">
        <f>TEXT(Input_Table[[#This Row],[DATE]],"mmmm")</f>
        <v>March</v>
      </c>
      <c r="N277" s="6">
        <f>YEAR(Input_Table[[#This Row],[DATE]])</f>
        <v>2019</v>
      </c>
    </row>
    <row r="278" spans="1:14" x14ac:dyDescent="0.3">
      <c r="A278" s="2">
        <f>_xlfn.XLOOKUP(B278,SuperMarket_Analysis[Invoice ID],SuperMarket_Analysis[Date])</f>
        <v>43521</v>
      </c>
      <c r="B278" s="6" t="s">
        <v>309</v>
      </c>
      <c r="C278" s="7">
        <f>_xlfn.XLOOKUP(B278,SuperMarket_Analysis[Invoice ID],SuperMarket_Analysis[Quantity])</f>
        <v>10</v>
      </c>
      <c r="D278" s="6" t="str">
        <f>_xlfn.XLOOKUP('Input data'!B278,'SuperMarket Analysis'!A:A,'SuperMarket Analysis'!F:F)</f>
        <v>Home and lifestyle</v>
      </c>
      <c r="E278" s="6" t="str">
        <f>_xlfn.XLOOKUP(B278,'SuperMarket Analysis'!A:A,'SuperMarket Analysis'!M:M)</f>
        <v>Cash</v>
      </c>
      <c r="F278" s="6">
        <f>0.05*Input_Table[[#This Row],[TOTAL C.O.G.S]]</f>
        <v>10.91</v>
      </c>
      <c r="G278" s="6" t="str">
        <f>_xlfn.XLOOKUP(Input_Table[[#This Row],[INVOICE ID]],'SuperMarket Analysis'!A:A,'SuperMarket Analysis'!B:B)</f>
        <v>Giza</v>
      </c>
      <c r="H278" s="6" t="str">
        <f>_xlfn.XLOOKUP(Input_Table[[#This Row],[INVOICE ID]],'SuperMarket Analysis'!A:A,'SuperMarket Analysis'!F:F)</f>
        <v>Home and lifestyle</v>
      </c>
      <c r="I278" s="12">
        <f>_xlfn.XLOOKUP(Input_Table[[#This Row],[INVOICE ID]],'SuperMarket Analysis'!A:A,'SuperMarket Analysis'!G:G)</f>
        <v>21.82</v>
      </c>
      <c r="J278" s="12">
        <f>_xlfn.XLOOKUP(Input_Table[[#This Row],[INVOICE ID]],'SuperMarket Analysis'!A:A,'SuperMarket Analysis'!N:N)</f>
        <v>218.2</v>
      </c>
      <c r="K278" s="12">
        <f>_xlfn.XLOOKUP(Input_Table[[#This Row],[INVOICE ID]],'SuperMarket Analysis'!A:A,'SuperMarket Analysis'!J:J)</f>
        <v>229.11</v>
      </c>
      <c r="L278" s="6">
        <f>DAY(Input_Table[[#This Row],[DATE]])</f>
        <v>25</v>
      </c>
      <c r="M278" s="6" t="str">
        <f>TEXT(Input_Table[[#This Row],[DATE]],"mmmm")</f>
        <v>February</v>
      </c>
      <c r="N278" s="6">
        <f>YEAR(Input_Table[[#This Row],[DATE]])</f>
        <v>2019</v>
      </c>
    </row>
    <row r="279" spans="1:14" x14ac:dyDescent="0.3">
      <c r="A279" s="2">
        <f>_xlfn.XLOOKUP(B279,SuperMarket_Analysis[Invoice ID],SuperMarket_Analysis[Date])</f>
        <v>43493</v>
      </c>
      <c r="B279" s="6" t="s">
        <v>310</v>
      </c>
      <c r="C279" s="7">
        <f>_xlfn.XLOOKUP(B279,SuperMarket_Analysis[Invoice ID],SuperMarket_Analysis[Quantity])</f>
        <v>4</v>
      </c>
      <c r="D279" s="6" t="str">
        <f>_xlfn.XLOOKUP('Input data'!B279,'SuperMarket Analysis'!A:A,'SuperMarket Analysis'!F:F)</f>
        <v>Fashion accessories</v>
      </c>
      <c r="E279" s="6" t="str">
        <f>_xlfn.XLOOKUP(B279,'SuperMarket Analysis'!A:A,'SuperMarket Analysis'!M:M)</f>
        <v>Ewallet</v>
      </c>
      <c r="F279" s="6">
        <f>0.05*Input_Table[[#This Row],[TOTAL C.O.G.S]]</f>
        <v>19.084</v>
      </c>
      <c r="G279" s="6" t="str">
        <f>_xlfn.XLOOKUP(Input_Table[[#This Row],[INVOICE ID]],'SuperMarket Analysis'!A:A,'SuperMarket Analysis'!B:B)</f>
        <v>Giza</v>
      </c>
      <c r="H279" s="6" t="str">
        <f>_xlfn.XLOOKUP(Input_Table[[#This Row],[INVOICE ID]],'SuperMarket Analysis'!A:A,'SuperMarket Analysis'!F:F)</f>
        <v>Fashion accessories</v>
      </c>
      <c r="I279" s="12">
        <f>_xlfn.XLOOKUP(Input_Table[[#This Row],[INVOICE ID]],'SuperMarket Analysis'!A:A,'SuperMarket Analysis'!G:G)</f>
        <v>95.42</v>
      </c>
      <c r="J279" s="12">
        <f>_xlfn.XLOOKUP(Input_Table[[#This Row],[INVOICE ID]],'SuperMarket Analysis'!A:A,'SuperMarket Analysis'!N:N)</f>
        <v>381.68</v>
      </c>
      <c r="K279" s="12">
        <f>_xlfn.XLOOKUP(Input_Table[[#This Row],[INVOICE ID]],'SuperMarket Analysis'!A:A,'SuperMarket Analysis'!J:J)</f>
        <v>400.76400000000001</v>
      </c>
      <c r="L279" s="6">
        <f>DAY(Input_Table[[#This Row],[DATE]])</f>
        <v>28</v>
      </c>
      <c r="M279" s="6" t="str">
        <f>TEXT(Input_Table[[#This Row],[DATE]],"mmmm")</f>
        <v>January</v>
      </c>
      <c r="N279" s="6">
        <f>YEAR(Input_Table[[#This Row],[DATE]])</f>
        <v>2019</v>
      </c>
    </row>
    <row r="280" spans="1:14" x14ac:dyDescent="0.3">
      <c r="A280" s="2">
        <f>_xlfn.XLOOKUP(B280,SuperMarket_Analysis[Invoice ID],SuperMarket_Analysis[Date])</f>
        <v>43494</v>
      </c>
      <c r="B280" s="6" t="s">
        <v>311</v>
      </c>
      <c r="C280" s="7">
        <f>_xlfn.XLOOKUP(B280,SuperMarket_Analysis[Invoice ID],SuperMarket_Analysis[Quantity])</f>
        <v>10</v>
      </c>
      <c r="D280" s="6" t="str">
        <f>_xlfn.XLOOKUP('Input data'!B280,'SuperMarket Analysis'!A:A,'SuperMarket Analysis'!F:F)</f>
        <v>Fashion accessories</v>
      </c>
      <c r="E280" s="6" t="str">
        <f>_xlfn.XLOOKUP(B280,'SuperMarket Analysis'!A:A,'SuperMarket Analysis'!M:M)</f>
        <v>Cash</v>
      </c>
      <c r="F280" s="6">
        <f>0.05*Input_Table[[#This Row],[TOTAL C.O.G.S]]</f>
        <v>35.494999999999997</v>
      </c>
      <c r="G280" s="6" t="str">
        <f>_xlfn.XLOOKUP(Input_Table[[#This Row],[INVOICE ID]],'SuperMarket Analysis'!A:A,'SuperMarket Analysis'!B:B)</f>
        <v>Giza</v>
      </c>
      <c r="H280" s="6" t="str">
        <f>_xlfn.XLOOKUP(Input_Table[[#This Row],[INVOICE ID]],'SuperMarket Analysis'!A:A,'SuperMarket Analysis'!F:F)</f>
        <v>Fashion accessories</v>
      </c>
      <c r="I280" s="12">
        <f>_xlfn.XLOOKUP(Input_Table[[#This Row],[INVOICE ID]],'SuperMarket Analysis'!A:A,'SuperMarket Analysis'!G:G)</f>
        <v>70.989999999999995</v>
      </c>
      <c r="J280" s="12">
        <f>_xlfn.XLOOKUP(Input_Table[[#This Row],[INVOICE ID]],'SuperMarket Analysis'!A:A,'SuperMarket Analysis'!N:N)</f>
        <v>709.9</v>
      </c>
      <c r="K280" s="12">
        <f>_xlfn.XLOOKUP(Input_Table[[#This Row],[INVOICE ID]],'SuperMarket Analysis'!A:A,'SuperMarket Analysis'!J:J)</f>
        <v>745.39499999999998</v>
      </c>
      <c r="L280" s="6">
        <f>DAY(Input_Table[[#This Row],[DATE]])</f>
        <v>29</v>
      </c>
      <c r="M280" s="6" t="str">
        <f>TEXT(Input_Table[[#This Row],[DATE]],"mmmm")</f>
        <v>January</v>
      </c>
      <c r="N280" s="6">
        <f>YEAR(Input_Table[[#This Row],[DATE]])</f>
        <v>2019</v>
      </c>
    </row>
    <row r="281" spans="1:14" x14ac:dyDescent="0.3">
      <c r="A281" s="2">
        <f>_xlfn.XLOOKUP(B281,SuperMarket_Analysis[Invoice ID],SuperMarket_Analysis[Date])</f>
        <v>43553</v>
      </c>
      <c r="B281" s="6" t="s">
        <v>312</v>
      </c>
      <c r="C281" s="7">
        <f>_xlfn.XLOOKUP(B281,SuperMarket_Analysis[Invoice ID],SuperMarket_Analysis[Quantity])</f>
        <v>10</v>
      </c>
      <c r="D281" s="6" t="str">
        <f>_xlfn.XLOOKUP('Input data'!B281,'SuperMarket Analysis'!A:A,'SuperMarket Analysis'!F:F)</f>
        <v>Sports and travel</v>
      </c>
      <c r="E281" s="6" t="str">
        <f>_xlfn.XLOOKUP(B281,'SuperMarket Analysis'!A:A,'SuperMarket Analysis'!M:M)</f>
        <v>Credit card</v>
      </c>
      <c r="F281" s="6">
        <f>0.05*Input_Table[[#This Row],[TOTAL C.O.G.S]]</f>
        <v>22.01</v>
      </c>
      <c r="G281" s="6" t="str">
        <f>_xlfn.XLOOKUP(Input_Table[[#This Row],[INVOICE ID]],'SuperMarket Analysis'!A:A,'SuperMarket Analysis'!B:B)</f>
        <v>Alex</v>
      </c>
      <c r="H281" s="6" t="str">
        <f>_xlfn.XLOOKUP(Input_Table[[#This Row],[INVOICE ID]],'SuperMarket Analysis'!A:A,'SuperMarket Analysis'!F:F)</f>
        <v>Sports and travel</v>
      </c>
      <c r="I281" s="12">
        <f>_xlfn.XLOOKUP(Input_Table[[#This Row],[INVOICE ID]],'SuperMarket Analysis'!A:A,'SuperMarket Analysis'!G:G)</f>
        <v>44.02</v>
      </c>
      <c r="J281" s="12">
        <f>_xlfn.XLOOKUP(Input_Table[[#This Row],[INVOICE ID]],'SuperMarket Analysis'!A:A,'SuperMarket Analysis'!N:N)</f>
        <v>440.2</v>
      </c>
      <c r="K281" s="12">
        <f>_xlfn.XLOOKUP(Input_Table[[#This Row],[INVOICE ID]],'SuperMarket Analysis'!A:A,'SuperMarket Analysis'!J:J)</f>
        <v>462.21</v>
      </c>
      <c r="L281" s="6">
        <f>DAY(Input_Table[[#This Row],[DATE]])</f>
        <v>29</v>
      </c>
      <c r="M281" s="6" t="str">
        <f>TEXT(Input_Table[[#This Row],[DATE]],"mmmm")</f>
        <v>March</v>
      </c>
      <c r="N281" s="6">
        <f>YEAR(Input_Table[[#This Row],[DATE]])</f>
        <v>2019</v>
      </c>
    </row>
    <row r="282" spans="1:14" x14ac:dyDescent="0.3">
      <c r="A282" s="2">
        <f>_xlfn.XLOOKUP(B282,SuperMarket_Analysis[Invoice ID],SuperMarket_Analysis[Date])</f>
        <v>43481</v>
      </c>
      <c r="B282" s="6" t="s">
        <v>313</v>
      </c>
      <c r="C282" s="7">
        <f>_xlfn.XLOOKUP(B282,SuperMarket_Analysis[Invoice ID],SuperMarket_Analysis[Quantity])</f>
        <v>8</v>
      </c>
      <c r="D282" s="6" t="str">
        <f>_xlfn.XLOOKUP('Input data'!B282,'SuperMarket Analysis'!A:A,'SuperMarket Analysis'!F:F)</f>
        <v>Home and lifestyle</v>
      </c>
      <c r="E282" s="6" t="str">
        <f>_xlfn.XLOOKUP(B282,'SuperMarket Analysis'!A:A,'SuperMarket Analysis'!M:M)</f>
        <v>Credit card</v>
      </c>
      <c r="F282" s="6">
        <f>0.05*Input_Table[[#This Row],[TOTAL C.O.G.S]]</f>
        <v>27.983999999999998</v>
      </c>
      <c r="G282" s="6" t="str">
        <f>_xlfn.XLOOKUP(Input_Table[[#This Row],[INVOICE ID]],'SuperMarket Analysis'!A:A,'SuperMarket Analysis'!B:B)</f>
        <v>Alex</v>
      </c>
      <c r="H282" s="6" t="str">
        <f>_xlfn.XLOOKUP(Input_Table[[#This Row],[INVOICE ID]],'SuperMarket Analysis'!A:A,'SuperMarket Analysis'!F:F)</f>
        <v>Home and lifestyle</v>
      </c>
      <c r="I282" s="12">
        <f>_xlfn.XLOOKUP(Input_Table[[#This Row],[INVOICE ID]],'SuperMarket Analysis'!A:A,'SuperMarket Analysis'!G:G)</f>
        <v>69.959999999999994</v>
      </c>
      <c r="J282" s="12">
        <f>_xlfn.XLOOKUP(Input_Table[[#This Row],[INVOICE ID]],'SuperMarket Analysis'!A:A,'SuperMarket Analysis'!N:N)</f>
        <v>559.67999999999995</v>
      </c>
      <c r="K282" s="12">
        <f>_xlfn.XLOOKUP(Input_Table[[#This Row],[INVOICE ID]],'SuperMarket Analysis'!A:A,'SuperMarket Analysis'!J:J)</f>
        <v>587.66399999999999</v>
      </c>
      <c r="L282" s="6">
        <f>DAY(Input_Table[[#This Row],[DATE]])</f>
        <v>16</v>
      </c>
      <c r="M282" s="6" t="str">
        <f>TEXT(Input_Table[[#This Row],[DATE]],"mmmm")</f>
        <v>January</v>
      </c>
      <c r="N282" s="6">
        <f>YEAR(Input_Table[[#This Row],[DATE]])</f>
        <v>2019</v>
      </c>
    </row>
    <row r="283" spans="1:14" x14ac:dyDescent="0.3">
      <c r="A283" s="2">
        <f>_xlfn.XLOOKUP(B283,SuperMarket_Analysis[Invoice ID],SuperMarket_Analysis[Date])</f>
        <v>43492</v>
      </c>
      <c r="B283" s="6" t="s">
        <v>314</v>
      </c>
      <c r="C283" s="7">
        <f>_xlfn.XLOOKUP(B283,SuperMarket_Analysis[Invoice ID],SuperMarket_Analysis[Quantity])</f>
        <v>1</v>
      </c>
      <c r="D283" s="6" t="str">
        <f>_xlfn.XLOOKUP('Input data'!B283,'SuperMarket Analysis'!A:A,'SuperMarket Analysis'!F:F)</f>
        <v>Home and lifestyle</v>
      </c>
      <c r="E283" s="6" t="str">
        <f>_xlfn.XLOOKUP(B283,'SuperMarket Analysis'!A:A,'SuperMarket Analysis'!M:M)</f>
        <v>Credit card</v>
      </c>
      <c r="F283" s="6">
        <f>0.05*Input_Table[[#This Row],[TOTAL C.O.G.S]]</f>
        <v>1.85</v>
      </c>
      <c r="G283" s="6" t="str">
        <f>_xlfn.XLOOKUP(Input_Table[[#This Row],[INVOICE ID]],'SuperMarket Analysis'!A:A,'SuperMarket Analysis'!B:B)</f>
        <v>Giza</v>
      </c>
      <c r="H283" s="6" t="str">
        <f>_xlfn.XLOOKUP(Input_Table[[#This Row],[INVOICE ID]],'SuperMarket Analysis'!A:A,'SuperMarket Analysis'!F:F)</f>
        <v>Home and lifestyle</v>
      </c>
      <c r="I283" s="12">
        <f>_xlfn.XLOOKUP(Input_Table[[#This Row],[INVOICE ID]],'SuperMarket Analysis'!A:A,'SuperMarket Analysis'!G:G)</f>
        <v>37</v>
      </c>
      <c r="J283" s="12">
        <f>_xlfn.XLOOKUP(Input_Table[[#This Row],[INVOICE ID]],'SuperMarket Analysis'!A:A,'SuperMarket Analysis'!N:N)</f>
        <v>37</v>
      </c>
      <c r="K283" s="12">
        <f>_xlfn.XLOOKUP(Input_Table[[#This Row],[INVOICE ID]],'SuperMarket Analysis'!A:A,'SuperMarket Analysis'!J:J)</f>
        <v>38.85</v>
      </c>
      <c r="L283" s="6">
        <f>DAY(Input_Table[[#This Row],[DATE]])</f>
        <v>27</v>
      </c>
      <c r="M283" s="6" t="str">
        <f>TEXT(Input_Table[[#This Row],[DATE]],"mmmm")</f>
        <v>January</v>
      </c>
      <c r="N283" s="6">
        <f>YEAR(Input_Table[[#This Row],[DATE]])</f>
        <v>2019</v>
      </c>
    </row>
    <row r="284" spans="1:14" x14ac:dyDescent="0.3">
      <c r="A284" s="2">
        <f>_xlfn.XLOOKUP(B284,SuperMarket_Analysis[Invoice ID],SuperMarket_Analysis[Date])</f>
        <v>43538</v>
      </c>
      <c r="B284" s="6" t="s">
        <v>315</v>
      </c>
      <c r="C284" s="7">
        <f>_xlfn.XLOOKUP(B284,SuperMarket_Analysis[Invoice ID],SuperMarket_Analysis[Quantity])</f>
        <v>1</v>
      </c>
      <c r="D284" s="6" t="str">
        <f>_xlfn.XLOOKUP('Input data'!B284,'SuperMarket Analysis'!A:A,'SuperMarket Analysis'!F:F)</f>
        <v>Sports and travel</v>
      </c>
      <c r="E284" s="6" t="str">
        <f>_xlfn.XLOOKUP(B284,'SuperMarket Analysis'!A:A,'SuperMarket Analysis'!M:M)</f>
        <v>Cash</v>
      </c>
      <c r="F284" s="6">
        <f>0.05*Input_Table[[#This Row],[TOTAL C.O.G.S]]</f>
        <v>0.76700000000000002</v>
      </c>
      <c r="G284" s="6" t="str">
        <f>_xlfn.XLOOKUP(Input_Table[[#This Row],[INVOICE ID]],'SuperMarket Analysis'!A:A,'SuperMarket Analysis'!B:B)</f>
        <v>Alex</v>
      </c>
      <c r="H284" s="6" t="str">
        <f>_xlfn.XLOOKUP(Input_Table[[#This Row],[INVOICE ID]],'SuperMarket Analysis'!A:A,'SuperMarket Analysis'!F:F)</f>
        <v>Sports and travel</v>
      </c>
      <c r="I284" s="12">
        <f>_xlfn.XLOOKUP(Input_Table[[#This Row],[INVOICE ID]],'SuperMarket Analysis'!A:A,'SuperMarket Analysis'!G:G)</f>
        <v>15.34</v>
      </c>
      <c r="J284" s="12">
        <f>_xlfn.XLOOKUP(Input_Table[[#This Row],[INVOICE ID]],'SuperMarket Analysis'!A:A,'SuperMarket Analysis'!N:N)</f>
        <v>15.34</v>
      </c>
      <c r="K284" s="12">
        <f>_xlfn.XLOOKUP(Input_Table[[#This Row],[INVOICE ID]],'SuperMarket Analysis'!A:A,'SuperMarket Analysis'!J:J)</f>
        <v>16.106999999999999</v>
      </c>
      <c r="L284" s="6">
        <f>DAY(Input_Table[[#This Row],[DATE]])</f>
        <v>14</v>
      </c>
      <c r="M284" s="6" t="str">
        <f>TEXT(Input_Table[[#This Row],[DATE]],"mmmm")</f>
        <v>March</v>
      </c>
      <c r="N284" s="6">
        <f>YEAR(Input_Table[[#This Row],[DATE]])</f>
        <v>2019</v>
      </c>
    </row>
    <row r="285" spans="1:14" x14ac:dyDescent="0.3">
      <c r="A285" s="2">
        <f>_xlfn.XLOOKUP(B285,SuperMarket_Analysis[Invoice ID],SuperMarket_Analysis[Date])</f>
        <v>43519</v>
      </c>
      <c r="B285" s="6" t="s">
        <v>316</v>
      </c>
      <c r="C285" s="7">
        <f>_xlfn.XLOOKUP(B285,SuperMarket_Analysis[Invoice ID],SuperMarket_Analysis[Quantity])</f>
        <v>6</v>
      </c>
      <c r="D285" s="6" t="str">
        <f>_xlfn.XLOOKUP('Input data'!B285,'SuperMarket Analysis'!A:A,'SuperMarket Analysis'!F:F)</f>
        <v>Health and beauty</v>
      </c>
      <c r="E285" s="6" t="str">
        <f>_xlfn.XLOOKUP(B285,'SuperMarket Analysis'!A:A,'SuperMarket Analysis'!M:M)</f>
        <v>Ewallet</v>
      </c>
      <c r="F285" s="6">
        <f>0.05*Input_Table[[#This Row],[TOTAL C.O.G.S]]</f>
        <v>29.949000000000002</v>
      </c>
      <c r="G285" s="6" t="str">
        <f>_xlfn.XLOOKUP(Input_Table[[#This Row],[INVOICE ID]],'SuperMarket Analysis'!A:A,'SuperMarket Analysis'!B:B)</f>
        <v>Alex</v>
      </c>
      <c r="H285" s="6" t="str">
        <f>_xlfn.XLOOKUP(Input_Table[[#This Row],[INVOICE ID]],'SuperMarket Analysis'!A:A,'SuperMarket Analysis'!F:F)</f>
        <v>Health and beauty</v>
      </c>
      <c r="I285" s="12">
        <f>_xlfn.XLOOKUP(Input_Table[[#This Row],[INVOICE ID]],'SuperMarket Analysis'!A:A,'SuperMarket Analysis'!G:G)</f>
        <v>99.83</v>
      </c>
      <c r="J285" s="12">
        <f>_xlfn.XLOOKUP(Input_Table[[#This Row],[INVOICE ID]],'SuperMarket Analysis'!A:A,'SuperMarket Analysis'!N:N)</f>
        <v>598.98</v>
      </c>
      <c r="K285" s="12">
        <f>_xlfn.XLOOKUP(Input_Table[[#This Row],[INVOICE ID]],'SuperMarket Analysis'!A:A,'SuperMarket Analysis'!J:J)</f>
        <v>628.92899999999997</v>
      </c>
      <c r="L285" s="6">
        <f>DAY(Input_Table[[#This Row],[DATE]])</f>
        <v>23</v>
      </c>
      <c r="M285" s="6" t="str">
        <f>TEXT(Input_Table[[#This Row],[DATE]],"mmmm")</f>
        <v>February</v>
      </c>
      <c r="N285" s="6">
        <f>YEAR(Input_Table[[#This Row],[DATE]])</f>
        <v>2019</v>
      </c>
    </row>
    <row r="286" spans="1:14" x14ac:dyDescent="0.3">
      <c r="A286" s="2">
        <f>_xlfn.XLOOKUP(B286,SuperMarket_Analysis[Invoice ID],SuperMarket_Analysis[Date])</f>
        <v>43542</v>
      </c>
      <c r="B286" s="6" t="s">
        <v>317</v>
      </c>
      <c r="C286" s="7">
        <f>_xlfn.XLOOKUP(B286,SuperMarket_Analysis[Invoice ID],SuperMarket_Analysis[Quantity])</f>
        <v>4</v>
      </c>
      <c r="D286" s="6" t="str">
        <f>_xlfn.XLOOKUP('Input data'!B286,'SuperMarket Analysis'!A:A,'SuperMarket Analysis'!F:F)</f>
        <v>Health and beauty</v>
      </c>
      <c r="E286" s="6" t="str">
        <f>_xlfn.XLOOKUP(B286,'SuperMarket Analysis'!A:A,'SuperMarket Analysis'!M:M)</f>
        <v>Cash</v>
      </c>
      <c r="F286" s="6">
        <f>0.05*Input_Table[[#This Row],[TOTAL C.O.G.S]]</f>
        <v>9.5340000000000007</v>
      </c>
      <c r="G286" s="6" t="str">
        <f>_xlfn.XLOOKUP(Input_Table[[#This Row],[INVOICE ID]],'SuperMarket Analysis'!A:A,'SuperMarket Analysis'!B:B)</f>
        <v>Alex</v>
      </c>
      <c r="H286" s="6" t="str">
        <f>_xlfn.XLOOKUP(Input_Table[[#This Row],[INVOICE ID]],'SuperMarket Analysis'!A:A,'SuperMarket Analysis'!F:F)</f>
        <v>Health and beauty</v>
      </c>
      <c r="I286" s="12">
        <f>_xlfn.XLOOKUP(Input_Table[[#This Row],[INVOICE ID]],'SuperMarket Analysis'!A:A,'SuperMarket Analysis'!G:G)</f>
        <v>47.67</v>
      </c>
      <c r="J286" s="12">
        <f>_xlfn.XLOOKUP(Input_Table[[#This Row],[INVOICE ID]],'SuperMarket Analysis'!A:A,'SuperMarket Analysis'!N:N)</f>
        <v>190.68</v>
      </c>
      <c r="K286" s="12">
        <f>_xlfn.XLOOKUP(Input_Table[[#This Row],[INVOICE ID]],'SuperMarket Analysis'!A:A,'SuperMarket Analysis'!J:J)</f>
        <v>200.214</v>
      </c>
      <c r="L286" s="6">
        <f>DAY(Input_Table[[#This Row],[DATE]])</f>
        <v>18</v>
      </c>
      <c r="M286" s="6" t="str">
        <f>TEXT(Input_Table[[#This Row],[DATE]],"mmmm")</f>
        <v>March</v>
      </c>
      <c r="N286" s="6">
        <f>YEAR(Input_Table[[#This Row],[DATE]])</f>
        <v>2019</v>
      </c>
    </row>
    <row r="287" spans="1:14" x14ac:dyDescent="0.3">
      <c r="A287" s="2">
        <f>_xlfn.XLOOKUP(B287,SuperMarket_Analysis[Invoice ID],SuperMarket_Analysis[Date])</f>
        <v>43553</v>
      </c>
      <c r="B287" s="6" t="s">
        <v>318</v>
      </c>
      <c r="C287" s="7">
        <f>_xlfn.XLOOKUP(B287,SuperMarket_Analysis[Invoice ID],SuperMarket_Analysis[Quantity])</f>
        <v>5</v>
      </c>
      <c r="D287" s="6" t="str">
        <f>_xlfn.XLOOKUP('Input data'!B287,'SuperMarket Analysis'!A:A,'SuperMarket Analysis'!F:F)</f>
        <v>Health and beauty</v>
      </c>
      <c r="E287" s="6" t="str">
        <f>_xlfn.XLOOKUP(B287,'SuperMarket Analysis'!A:A,'SuperMarket Analysis'!M:M)</f>
        <v>Cash</v>
      </c>
      <c r="F287" s="6">
        <f>0.05*Input_Table[[#This Row],[TOTAL C.O.G.S]]</f>
        <v>16.669999999999998</v>
      </c>
      <c r="G287" s="6" t="str">
        <f>_xlfn.XLOOKUP(Input_Table[[#This Row],[INVOICE ID]],'SuperMarket Analysis'!A:A,'SuperMarket Analysis'!B:B)</f>
        <v>Cairo</v>
      </c>
      <c r="H287" s="6" t="str">
        <f>_xlfn.XLOOKUP(Input_Table[[#This Row],[INVOICE ID]],'SuperMarket Analysis'!A:A,'SuperMarket Analysis'!F:F)</f>
        <v>Health and beauty</v>
      </c>
      <c r="I287" s="12">
        <f>_xlfn.XLOOKUP(Input_Table[[#This Row],[INVOICE ID]],'SuperMarket Analysis'!A:A,'SuperMarket Analysis'!G:G)</f>
        <v>66.680000000000007</v>
      </c>
      <c r="J287" s="12">
        <f>_xlfn.XLOOKUP(Input_Table[[#This Row],[INVOICE ID]],'SuperMarket Analysis'!A:A,'SuperMarket Analysis'!N:N)</f>
        <v>333.4</v>
      </c>
      <c r="K287" s="12">
        <f>_xlfn.XLOOKUP(Input_Table[[#This Row],[INVOICE ID]],'SuperMarket Analysis'!A:A,'SuperMarket Analysis'!J:J)</f>
        <v>350.07</v>
      </c>
      <c r="L287" s="6">
        <f>DAY(Input_Table[[#This Row],[DATE]])</f>
        <v>29</v>
      </c>
      <c r="M287" s="6" t="str">
        <f>TEXT(Input_Table[[#This Row],[DATE]],"mmmm")</f>
        <v>March</v>
      </c>
      <c r="N287" s="6">
        <f>YEAR(Input_Table[[#This Row],[DATE]])</f>
        <v>2019</v>
      </c>
    </row>
    <row r="288" spans="1:14" x14ac:dyDescent="0.3">
      <c r="A288" s="2">
        <f>_xlfn.XLOOKUP(B288,SuperMarket_Analysis[Invoice ID],SuperMarket_Analysis[Date])</f>
        <v>43487</v>
      </c>
      <c r="B288" s="6" t="s">
        <v>319</v>
      </c>
      <c r="C288" s="7">
        <f>_xlfn.XLOOKUP(B288,SuperMarket_Analysis[Invoice ID],SuperMarket_Analysis[Quantity])</f>
        <v>1</v>
      </c>
      <c r="D288" s="6" t="str">
        <f>_xlfn.XLOOKUP('Input data'!B288,'SuperMarket Analysis'!A:A,'SuperMarket Analysis'!F:F)</f>
        <v>Home and lifestyle</v>
      </c>
      <c r="E288" s="6" t="str">
        <f>_xlfn.XLOOKUP(B288,'SuperMarket Analysis'!A:A,'SuperMarket Analysis'!M:M)</f>
        <v>Cash</v>
      </c>
      <c r="F288" s="6">
        <f>0.05*Input_Table[[#This Row],[TOTAL C.O.G.S]]</f>
        <v>3.7430000000000003</v>
      </c>
      <c r="G288" s="6" t="str">
        <f>_xlfn.XLOOKUP(Input_Table[[#This Row],[INVOICE ID]],'SuperMarket Analysis'!A:A,'SuperMarket Analysis'!B:B)</f>
        <v>Giza</v>
      </c>
      <c r="H288" s="6" t="str">
        <f>_xlfn.XLOOKUP(Input_Table[[#This Row],[INVOICE ID]],'SuperMarket Analysis'!A:A,'SuperMarket Analysis'!F:F)</f>
        <v>Home and lifestyle</v>
      </c>
      <c r="I288" s="12">
        <f>_xlfn.XLOOKUP(Input_Table[[#This Row],[INVOICE ID]],'SuperMarket Analysis'!A:A,'SuperMarket Analysis'!G:G)</f>
        <v>74.86</v>
      </c>
      <c r="J288" s="12">
        <f>_xlfn.XLOOKUP(Input_Table[[#This Row],[INVOICE ID]],'SuperMarket Analysis'!A:A,'SuperMarket Analysis'!N:N)</f>
        <v>74.86</v>
      </c>
      <c r="K288" s="12">
        <f>_xlfn.XLOOKUP(Input_Table[[#This Row],[INVOICE ID]],'SuperMarket Analysis'!A:A,'SuperMarket Analysis'!J:J)</f>
        <v>78.602999999999994</v>
      </c>
      <c r="L288" s="6">
        <f>DAY(Input_Table[[#This Row],[DATE]])</f>
        <v>22</v>
      </c>
      <c r="M288" s="6" t="str">
        <f>TEXT(Input_Table[[#This Row],[DATE]],"mmmm")</f>
        <v>January</v>
      </c>
      <c r="N288" s="6">
        <f>YEAR(Input_Table[[#This Row],[DATE]])</f>
        <v>2019</v>
      </c>
    </row>
    <row r="289" spans="1:14" x14ac:dyDescent="0.3">
      <c r="A289" s="2">
        <f>_xlfn.XLOOKUP(B289,SuperMarket_Analysis[Invoice ID],SuperMarket_Analysis[Date])</f>
        <v>43482</v>
      </c>
      <c r="B289" s="6" t="s">
        <v>320</v>
      </c>
      <c r="C289" s="7">
        <f>_xlfn.XLOOKUP(B289,SuperMarket_Analysis[Invoice ID],SuperMarket_Analysis[Quantity])</f>
        <v>9</v>
      </c>
      <c r="D289" s="6" t="str">
        <f>_xlfn.XLOOKUP('Input data'!B289,'SuperMarket Analysis'!A:A,'SuperMarket Analysis'!F:F)</f>
        <v>Sports and travel</v>
      </c>
      <c r="E289" s="6" t="str">
        <f>_xlfn.XLOOKUP(B289,'SuperMarket Analysis'!A:A,'SuperMarket Analysis'!M:M)</f>
        <v>Cash</v>
      </c>
      <c r="F289" s="6">
        <f>0.05*Input_Table[[#This Row],[TOTAL C.O.G.S]]</f>
        <v>10.6875</v>
      </c>
      <c r="G289" s="6" t="str">
        <f>_xlfn.XLOOKUP(Input_Table[[#This Row],[INVOICE ID]],'SuperMarket Analysis'!A:A,'SuperMarket Analysis'!B:B)</f>
        <v>Giza</v>
      </c>
      <c r="H289" s="6" t="str">
        <f>_xlfn.XLOOKUP(Input_Table[[#This Row],[INVOICE ID]],'SuperMarket Analysis'!A:A,'SuperMarket Analysis'!F:F)</f>
        <v>Sports and travel</v>
      </c>
      <c r="I289" s="12">
        <f>_xlfn.XLOOKUP(Input_Table[[#This Row],[INVOICE ID]],'SuperMarket Analysis'!A:A,'SuperMarket Analysis'!G:G)</f>
        <v>23.75</v>
      </c>
      <c r="J289" s="12">
        <f>_xlfn.XLOOKUP(Input_Table[[#This Row],[INVOICE ID]],'SuperMarket Analysis'!A:A,'SuperMarket Analysis'!N:N)</f>
        <v>213.75</v>
      </c>
      <c r="K289" s="12">
        <f>_xlfn.XLOOKUP(Input_Table[[#This Row],[INVOICE ID]],'SuperMarket Analysis'!A:A,'SuperMarket Analysis'!J:J)</f>
        <v>224.4375</v>
      </c>
      <c r="L289" s="6">
        <f>DAY(Input_Table[[#This Row],[DATE]])</f>
        <v>17</v>
      </c>
      <c r="M289" s="6" t="str">
        <f>TEXT(Input_Table[[#This Row],[DATE]],"mmmm")</f>
        <v>January</v>
      </c>
      <c r="N289" s="6">
        <f>YEAR(Input_Table[[#This Row],[DATE]])</f>
        <v>2019</v>
      </c>
    </row>
    <row r="290" spans="1:14" x14ac:dyDescent="0.3">
      <c r="A290" s="2">
        <f>_xlfn.XLOOKUP(B290,SuperMarket_Analysis[Invoice ID],SuperMarket_Analysis[Date])</f>
        <v>43550</v>
      </c>
      <c r="B290" s="6" t="s">
        <v>321</v>
      </c>
      <c r="C290" s="7">
        <f>_xlfn.XLOOKUP(B290,SuperMarket_Analysis[Invoice ID],SuperMarket_Analysis[Quantity])</f>
        <v>7</v>
      </c>
      <c r="D290" s="6" t="str">
        <f>_xlfn.XLOOKUP('Input data'!B290,'SuperMarket Analysis'!A:A,'SuperMarket Analysis'!F:F)</f>
        <v>Food and beverages</v>
      </c>
      <c r="E290" s="6" t="str">
        <f>_xlfn.XLOOKUP(B290,'SuperMarket Analysis'!A:A,'SuperMarket Analysis'!M:M)</f>
        <v>Credit card</v>
      </c>
      <c r="F290" s="6">
        <f>0.05*Input_Table[[#This Row],[TOTAL C.O.G.S]]</f>
        <v>16.9785</v>
      </c>
      <c r="G290" s="6" t="str">
        <f>_xlfn.XLOOKUP(Input_Table[[#This Row],[INVOICE ID]],'SuperMarket Analysis'!A:A,'SuperMarket Analysis'!B:B)</f>
        <v>Cairo</v>
      </c>
      <c r="H290" s="6" t="str">
        <f>_xlfn.XLOOKUP(Input_Table[[#This Row],[INVOICE ID]],'SuperMarket Analysis'!A:A,'SuperMarket Analysis'!F:F)</f>
        <v>Food and beverages</v>
      </c>
      <c r="I290" s="12">
        <f>_xlfn.XLOOKUP(Input_Table[[#This Row],[INVOICE ID]],'SuperMarket Analysis'!A:A,'SuperMarket Analysis'!G:G)</f>
        <v>48.51</v>
      </c>
      <c r="J290" s="12">
        <f>_xlfn.XLOOKUP(Input_Table[[#This Row],[INVOICE ID]],'SuperMarket Analysis'!A:A,'SuperMarket Analysis'!N:N)</f>
        <v>339.57</v>
      </c>
      <c r="K290" s="12">
        <f>_xlfn.XLOOKUP(Input_Table[[#This Row],[INVOICE ID]],'SuperMarket Analysis'!A:A,'SuperMarket Analysis'!J:J)</f>
        <v>356.54849999999999</v>
      </c>
      <c r="L290" s="6">
        <f>DAY(Input_Table[[#This Row],[DATE]])</f>
        <v>26</v>
      </c>
      <c r="M290" s="6" t="str">
        <f>TEXT(Input_Table[[#This Row],[DATE]],"mmmm")</f>
        <v>March</v>
      </c>
      <c r="N290" s="6">
        <f>YEAR(Input_Table[[#This Row],[DATE]])</f>
        <v>2019</v>
      </c>
    </row>
    <row r="291" spans="1:14" x14ac:dyDescent="0.3">
      <c r="A291" s="2">
        <f>_xlfn.XLOOKUP(B291,SuperMarket_Analysis[Invoice ID],SuperMarket_Analysis[Date])</f>
        <v>43544</v>
      </c>
      <c r="B291" s="6" t="s">
        <v>322</v>
      </c>
      <c r="C291" s="7">
        <f>_xlfn.XLOOKUP(B291,SuperMarket_Analysis[Invoice ID],SuperMarket_Analysis[Quantity])</f>
        <v>7</v>
      </c>
      <c r="D291" s="6" t="str">
        <f>_xlfn.XLOOKUP('Input data'!B291,'SuperMarket Analysis'!A:A,'SuperMarket Analysis'!F:F)</f>
        <v>Home and lifestyle</v>
      </c>
      <c r="E291" s="6" t="str">
        <f>_xlfn.XLOOKUP(B291,'SuperMarket Analysis'!A:A,'SuperMarket Analysis'!M:M)</f>
        <v>Cash</v>
      </c>
      <c r="F291" s="6">
        <f>0.05*Input_Table[[#This Row],[TOTAL C.O.G.S]]</f>
        <v>33.207999999999998</v>
      </c>
      <c r="G291" s="6" t="str">
        <f>_xlfn.XLOOKUP(Input_Table[[#This Row],[INVOICE ID]],'SuperMarket Analysis'!A:A,'SuperMarket Analysis'!B:B)</f>
        <v>Alex</v>
      </c>
      <c r="H291" s="6" t="str">
        <f>_xlfn.XLOOKUP(Input_Table[[#This Row],[INVOICE ID]],'SuperMarket Analysis'!A:A,'SuperMarket Analysis'!F:F)</f>
        <v>Home and lifestyle</v>
      </c>
      <c r="I291" s="12">
        <f>_xlfn.XLOOKUP(Input_Table[[#This Row],[INVOICE ID]],'SuperMarket Analysis'!A:A,'SuperMarket Analysis'!G:G)</f>
        <v>94.88</v>
      </c>
      <c r="J291" s="12">
        <f>_xlfn.XLOOKUP(Input_Table[[#This Row],[INVOICE ID]],'SuperMarket Analysis'!A:A,'SuperMarket Analysis'!N:N)</f>
        <v>664.16</v>
      </c>
      <c r="K291" s="12">
        <f>_xlfn.XLOOKUP(Input_Table[[#This Row],[INVOICE ID]],'SuperMarket Analysis'!A:A,'SuperMarket Analysis'!J:J)</f>
        <v>697.36800000000005</v>
      </c>
      <c r="L291" s="6">
        <f>DAY(Input_Table[[#This Row],[DATE]])</f>
        <v>20</v>
      </c>
      <c r="M291" s="6" t="str">
        <f>TEXT(Input_Table[[#This Row],[DATE]],"mmmm")</f>
        <v>March</v>
      </c>
      <c r="N291" s="6">
        <f>YEAR(Input_Table[[#This Row],[DATE]])</f>
        <v>2019</v>
      </c>
    </row>
    <row r="292" spans="1:14" x14ac:dyDescent="0.3">
      <c r="A292" s="2">
        <f>_xlfn.XLOOKUP(B292,SuperMarket_Analysis[Invoice ID],SuperMarket_Analysis[Date])</f>
        <v>43492</v>
      </c>
      <c r="B292" s="6" t="s">
        <v>323</v>
      </c>
      <c r="C292" s="7">
        <f>_xlfn.XLOOKUP(B292,SuperMarket_Analysis[Invoice ID],SuperMarket_Analysis[Quantity])</f>
        <v>10</v>
      </c>
      <c r="D292" s="6" t="str">
        <f>_xlfn.XLOOKUP('Input data'!B292,'SuperMarket Analysis'!A:A,'SuperMarket Analysis'!F:F)</f>
        <v>Electronic accessories</v>
      </c>
      <c r="E292" s="6" t="str">
        <f>_xlfn.XLOOKUP(B292,'SuperMarket Analysis'!A:A,'SuperMarket Analysis'!M:M)</f>
        <v>Credit card</v>
      </c>
      <c r="F292" s="6">
        <f>0.05*Input_Table[[#This Row],[TOTAL C.O.G.S]]</f>
        <v>20.150000000000002</v>
      </c>
      <c r="G292" s="6" t="str">
        <f>_xlfn.XLOOKUP(Input_Table[[#This Row],[INVOICE ID]],'SuperMarket Analysis'!A:A,'SuperMarket Analysis'!B:B)</f>
        <v>Cairo</v>
      </c>
      <c r="H292" s="6" t="str">
        <f>_xlfn.XLOOKUP(Input_Table[[#This Row],[INVOICE ID]],'SuperMarket Analysis'!A:A,'SuperMarket Analysis'!F:F)</f>
        <v>Electronic accessories</v>
      </c>
      <c r="I292" s="12">
        <f>_xlfn.XLOOKUP(Input_Table[[#This Row],[INVOICE ID]],'SuperMarket Analysis'!A:A,'SuperMarket Analysis'!G:G)</f>
        <v>40.299999999999997</v>
      </c>
      <c r="J292" s="12">
        <f>_xlfn.XLOOKUP(Input_Table[[#This Row],[INVOICE ID]],'SuperMarket Analysis'!A:A,'SuperMarket Analysis'!N:N)</f>
        <v>403</v>
      </c>
      <c r="K292" s="12">
        <f>_xlfn.XLOOKUP(Input_Table[[#This Row],[INVOICE ID]],'SuperMarket Analysis'!A:A,'SuperMarket Analysis'!J:J)</f>
        <v>423.15</v>
      </c>
      <c r="L292" s="6">
        <f>DAY(Input_Table[[#This Row],[DATE]])</f>
        <v>27</v>
      </c>
      <c r="M292" s="6" t="str">
        <f>TEXT(Input_Table[[#This Row],[DATE]],"mmmm")</f>
        <v>January</v>
      </c>
      <c r="N292" s="6">
        <f>YEAR(Input_Table[[#This Row],[DATE]])</f>
        <v>2019</v>
      </c>
    </row>
    <row r="293" spans="1:14" x14ac:dyDescent="0.3">
      <c r="A293" s="2">
        <f>_xlfn.XLOOKUP(B293,SuperMarket_Analysis[Invoice ID],SuperMarket_Analysis[Date])</f>
        <v>43521</v>
      </c>
      <c r="B293" s="6" t="s">
        <v>324</v>
      </c>
      <c r="C293" s="7">
        <f>_xlfn.XLOOKUP(B293,SuperMarket_Analysis[Invoice ID],SuperMarket_Analysis[Quantity])</f>
        <v>7</v>
      </c>
      <c r="D293" s="6" t="str">
        <f>_xlfn.XLOOKUP('Input data'!B293,'SuperMarket Analysis'!A:A,'SuperMarket Analysis'!F:F)</f>
        <v>Electronic accessories</v>
      </c>
      <c r="E293" s="6" t="str">
        <f>_xlfn.XLOOKUP(B293,'SuperMarket Analysis'!A:A,'SuperMarket Analysis'!M:M)</f>
        <v>Ewallet</v>
      </c>
      <c r="F293" s="6">
        <f>0.05*Input_Table[[#This Row],[TOTAL C.O.G.S]]</f>
        <v>9.7475000000000005</v>
      </c>
      <c r="G293" s="6" t="str">
        <f>_xlfn.XLOOKUP(Input_Table[[#This Row],[INVOICE ID]],'SuperMarket Analysis'!A:A,'SuperMarket Analysis'!B:B)</f>
        <v>Giza</v>
      </c>
      <c r="H293" s="6" t="str">
        <f>_xlfn.XLOOKUP(Input_Table[[#This Row],[INVOICE ID]],'SuperMarket Analysis'!A:A,'SuperMarket Analysis'!F:F)</f>
        <v>Electronic accessories</v>
      </c>
      <c r="I293" s="12">
        <f>_xlfn.XLOOKUP(Input_Table[[#This Row],[INVOICE ID]],'SuperMarket Analysis'!A:A,'SuperMarket Analysis'!G:G)</f>
        <v>27.85</v>
      </c>
      <c r="J293" s="12">
        <f>_xlfn.XLOOKUP(Input_Table[[#This Row],[INVOICE ID]],'SuperMarket Analysis'!A:A,'SuperMarket Analysis'!N:N)</f>
        <v>194.95</v>
      </c>
      <c r="K293" s="12">
        <f>_xlfn.XLOOKUP(Input_Table[[#This Row],[INVOICE ID]],'SuperMarket Analysis'!A:A,'SuperMarket Analysis'!J:J)</f>
        <v>204.69749999999999</v>
      </c>
      <c r="L293" s="6">
        <f>DAY(Input_Table[[#This Row],[DATE]])</f>
        <v>25</v>
      </c>
      <c r="M293" s="6" t="str">
        <f>TEXT(Input_Table[[#This Row],[DATE]],"mmmm")</f>
        <v>February</v>
      </c>
      <c r="N293" s="6">
        <f>YEAR(Input_Table[[#This Row],[DATE]])</f>
        <v>2019</v>
      </c>
    </row>
    <row r="294" spans="1:14" x14ac:dyDescent="0.3">
      <c r="A294" s="2">
        <f>_xlfn.XLOOKUP(B294,SuperMarket_Analysis[Invoice ID],SuperMarket_Analysis[Date])</f>
        <v>43481</v>
      </c>
      <c r="B294" s="6" t="s">
        <v>325</v>
      </c>
      <c r="C294" s="7">
        <f>_xlfn.XLOOKUP(B294,SuperMarket_Analysis[Invoice ID],SuperMarket_Analysis[Quantity])</f>
        <v>1</v>
      </c>
      <c r="D294" s="6" t="str">
        <f>_xlfn.XLOOKUP('Input data'!B294,'SuperMarket Analysis'!A:A,'SuperMarket Analysis'!F:F)</f>
        <v>Electronic accessories</v>
      </c>
      <c r="E294" s="6" t="str">
        <f>_xlfn.XLOOKUP(B294,'SuperMarket Analysis'!A:A,'SuperMarket Analysis'!M:M)</f>
        <v>Cash</v>
      </c>
      <c r="F294" s="6">
        <f>0.05*Input_Table[[#This Row],[TOTAL C.O.G.S]]</f>
        <v>3.1240000000000001</v>
      </c>
      <c r="G294" s="6" t="str">
        <f>_xlfn.XLOOKUP(Input_Table[[#This Row],[INVOICE ID]],'SuperMarket Analysis'!A:A,'SuperMarket Analysis'!B:B)</f>
        <v>Alex</v>
      </c>
      <c r="H294" s="6" t="str">
        <f>_xlfn.XLOOKUP(Input_Table[[#This Row],[INVOICE ID]],'SuperMarket Analysis'!A:A,'SuperMarket Analysis'!F:F)</f>
        <v>Electronic accessories</v>
      </c>
      <c r="I294" s="12">
        <f>_xlfn.XLOOKUP(Input_Table[[#This Row],[INVOICE ID]],'SuperMarket Analysis'!A:A,'SuperMarket Analysis'!G:G)</f>
        <v>62.48</v>
      </c>
      <c r="J294" s="12">
        <f>_xlfn.XLOOKUP(Input_Table[[#This Row],[INVOICE ID]],'SuperMarket Analysis'!A:A,'SuperMarket Analysis'!N:N)</f>
        <v>62.48</v>
      </c>
      <c r="K294" s="12">
        <f>_xlfn.XLOOKUP(Input_Table[[#This Row],[INVOICE ID]],'SuperMarket Analysis'!A:A,'SuperMarket Analysis'!J:J)</f>
        <v>65.603999999999999</v>
      </c>
      <c r="L294" s="6">
        <f>DAY(Input_Table[[#This Row],[DATE]])</f>
        <v>16</v>
      </c>
      <c r="M294" s="6" t="str">
        <f>TEXT(Input_Table[[#This Row],[DATE]],"mmmm")</f>
        <v>January</v>
      </c>
      <c r="N294" s="6">
        <f>YEAR(Input_Table[[#This Row],[DATE]])</f>
        <v>2019</v>
      </c>
    </row>
    <row r="295" spans="1:14" x14ac:dyDescent="0.3">
      <c r="A295" s="2">
        <f>_xlfn.XLOOKUP(B295,SuperMarket_Analysis[Invoice ID],SuperMarket_Analysis[Date])</f>
        <v>43478</v>
      </c>
      <c r="B295" s="6" t="s">
        <v>326</v>
      </c>
      <c r="C295" s="7">
        <f>_xlfn.XLOOKUP(B295,SuperMarket_Analysis[Invoice ID],SuperMarket_Analysis[Quantity])</f>
        <v>2</v>
      </c>
      <c r="D295" s="6" t="str">
        <f>_xlfn.XLOOKUP('Input data'!B295,'SuperMarket Analysis'!A:A,'SuperMarket Analysis'!F:F)</f>
        <v>Food and beverages</v>
      </c>
      <c r="E295" s="6" t="str">
        <f>_xlfn.XLOOKUP(B295,'SuperMarket Analysis'!A:A,'SuperMarket Analysis'!M:M)</f>
        <v>Cash</v>
      </c>
      <c r="F295" s="6">
        <f>0.05*Input_Table[[#This Row],[TOTAL C.O.G.S]]</f>
        <v>3.6360000000000001</v>
      </c>
      <c r="G295" s="6" t="str">
        <f>_xlfn.XLOOKUP(Input_Table[[#This Row],[INVOICE ID]],'SuperMarket Analysis'!A:A,'SuperMarket Analysis'!B:B)</f>
        <v>Alex</v>
      </c>
      <c r="H295" s="6" t="str">
        <f>_xlfn.XLOOKUP(Input_Table[[#This Row],[INVOICE ID]],'SuperMarket Analysis'!A:A,'SuperMarket Analysis'!F:F)</f>
        <v>Food and beverages</v>
      </c>
      <c r="I295" s="12">
        <f>_xlfn.XLOOKUP(Input_Table[[#This Row],[INVOICE ID]],'SuperMarket Analysis'!A:A,'SuperMarket Analysis'!G:G)</f>
        <v>36.36</v>
      </c>
      <c r="J295" s="12">
        <f>_xlfn.XLOOKUP(Input_Table[[#This Row],[INVOICE ID]],'SuperMarket Analysis'!A:A,'SuperMarket Analysis'!N:N)</f>
        <v>72.72</v>
      </c>
      <c r="K295" s="12">
        <f>_xlfn.XLOOKUP(Input_Table[[#This Row],[INVOICE ID]],'SuperMarket Analysis'!A:A,'SuperMarket Analysis'!J:J)</f>
        <v>76.355999999999995</v>
      </c>
      <c r="L295" s="6">
        <f>DAY(Input_Table[[#This Row],[DATE]])</f>
        <v>13</v>
      </c>
      <c r="M295" s="6" t="str">
        <f>TEXT(Input_Table[[#This Row],[DATE]],"mmmm")</f>
        <v>January</v>
      </c>
      <c r="N295" s="6">
        <f>YEAR(Input_Table[[#This Row],[DATE]])</f>
        <v>2019</v>
      </c>
    </row>
    <row r="296" spans="1:14" x14ac:dyDescent="0.3">
      <c r="A296" s="2">
        <f>_xlfn.XLOOKUP(B296,SuperMarket_Analysis[Invoice ID],SuperMarket_Analysis[Date])</f>
        <v>43513</v>
      </c>
      <c r="B296" s="6" t="s">
        <v>327</v>
      </c>
      <c r="C296" s="7">
        <f>_xlfn.XLOOKUP(B296,SuperMarket_Analysis[Invoice ID],SuperMarket_Analysis[Quantity])</f>
        <v>10</v>
      </c>
      <c r="D296" s="6" t="str">
        <f>_xlfn.XLOOKUP('Input data'!B296,'SuperMarket Analysis'!A:A,'SuperMarket Analysis'!F:F)</f>
        <v>Health and beauty</v>
      </c>
      <c r="E296" s="6" t="str">
        <f>_xlfn.XLOOKUP(B296,'SuperMarket Analysis'!A:A,'SuperMarket Analysis'!M:M)</f>
        <v>Ewallet</v>
      </c>
      <c r="F296" s="6">
        <f>0.05*Input_Table[[#This Row],[TOTAL C.O.G.S]]</f>
        <v>9.0549999999999997</v>
      </c>
      <c r="G296" s="6" t="str">
        <f>_xlfn.XLOOKUP(Input_Table[[#This Row],[INVOICE ID]],'SuperMarket Analysis'!A:A,'SuperMarket Analysis'!B:B)</f>
        <v>Cairo</v>
      </c>
      <c r="H296" s="6" t="str">
        <f>_xlfn.XLOOKUP(Input_Table[[#This Row],[INVOICE ID]],'SuperMarket Analysis'!A:A,'SuperMarket Analysis'!F:F)</f>
        <v>Health and beauty</v>
      </c>
      <c r="I296" s="12">
        <f>_xlfn.XLOOKUP(Input_Table[[#This Row],[INVOICE ID]],'SuperMarket Analysis'!A:A,'SuperMarket Analysis'!G:G)</f>
        <v>18.11</v>
      </c>
      <c r="J296" s="12">
        <f>_xlfn.XLOOKUP(Input_Table[[#This Row],[INVOICE ID]],'SuperMarket Analysis'!A:A,'SuperMarket Analysis'!N:N)</f>
        <v>181.1</v>
      </c>
      <c r="K296" s="12">
        <f>_xlfn.XLOOKUP(Input_Table[[#This Row],[INVOICE ID]],'SuperMarket Analysis'!A:A,'SuperMarket Analysis'!J:J)</f>
        <v>190.155</v>
      </c>
      <c r="L296" s="6">
        <f>DAY(Input_Table[[#This Row],[DATE]])</f>
        <v>17</v>
      </c>
      <c r="M296" s="6" t="str">
        <f>TEXT(Input_Table[[#This Row],[DATE]],"mmmm")</f>
        <v>February</v>
      </c>
      <c r="N296" s="6">
        <f>YEAR(Input_Table[[#This Row],[DATE]])</f>
        <v>2019</v>
      </c>
    </row>
    <row r="297" spans="1:14" x14ac:dyDescent="0.3">
      <c r="A297" s="2">
        <f>_xlfn.XLOOKUP(B297,SuperMarket_Analysis[Invoice ID],SuperMarket_Analysis[Date])</f>
        <v>43489</v>
      </c>
      <c r="B297" s="6" t="s">
        <v>328</v>
      </c>
      <c r="C297" s="7">
        <f>_xlfn.XLOOKUP(B297,SuperMarket_Analysis[Invoice ID],SuperMarket_Analysis[Quantity])</f>
        <v>5</v>
      </c>
      <c r="D297" s="6" t="str">
        <f>_xlfn.XLOOKUP('Input data'!B297,'SuperMarket Analysis'!A:A,'SuperMarket Analysis'!F:F)</f>
        <v>Electronic accessories</v>
      </c>
      <c r="E297" s="6" t="str">
        <f>_xlfn.XLOOKUP(B297,'SuperMarket Analysis'!A:A,'SuperMarket Analysis'!M:M)</f>
        <v>Cash</v>
      </c>
      <c r="F297" s="6">
        <f>0.05*Input_Table[[#This Row],[TOTAL C.O.G.S]]</f>
        <v>12.980000000000002</v>
      </c>
      <c r="G297" s="6" t="str">
        <f>_xlfn.XLOOKUP(Input_Table[[#This Row],[INVOICE ID]],'SuperMarket Analysis'!A:A,'SuperMarket Analysis'!B:B)</f>
        <v>Giza</v>
      </c>
      <c r="H297" s="6" t="str">
        <f>_xlfn.XLOOKUP(Input_Table[[#This Row],[INVOICE ID]],'SuperMarket Analysis'!A:A,'SuperMarket Analysis'!F:F)</f>
        <v>Electronic accessories</v>
      </c>
      <c r="I297" s="12">
        <f>_xlfn.XLOOKUP(Input_Table[[#This Row],[INVOICE ID]],'SuperMarket Analysis'!A:A,'SuperMarket Analysis'!G:G)</f>
        <v>51.92</v>
      </c>
      <c r="J297" s="12">
        <f>_xlfn.XLOOKUP(Input_Table[[#This Row],[INVOICE ID]],'SuperMarket Analysis'!A:A,'SuperMarket Analysis'!N:N)</f>
        <v>259.60000000000002</v>
      </c>
      <c r="K297" s="12">
        <f>_xlfn.XLOOKUP(Input_Table[[#This Row],[INVOICE ID]],'SuperMarket Analysis'!A:A,'SuperMarket Analysis'!J:J)</f>
        <v>272.58</v>
      </c>
      <c r="L297" s="6">
        <f>DAY(Input_Table[[#This Row],[DATE]])</f>
        <v>24</v>
      </c>
      <c r="M297" s="6" t="str">
        <f>TEXT(Input_Table[[#This Row],[DATE]],"mmmm")</f>
        <v>January</v>
      </c>
      <c r="N297" s="6">
        <f>YEAR(Input_Table[[#This Row],[DATE]])</f>
        <v>2019</v>
      </c>
    </row>
    <row r="298" spans="1:14" x14ac:dyDescent="0.3">
      <c r="A298" s="2">
        <f>_xlfn.XLOOKUP(B298,SuperMarket_Analysis[Invoice ID],SuperMarket_Analysis[Date])</f>
        <v>43550</v>
      </c>
      <c r="B298" s="6" t="s">
        <v>329</v>
      </c>
      <c r="C298" s="7">
        <f>_xlfn.XLOOKUP(B298,SuperMarket_Analysis[Invoice ID],SuperMarket_Analysis[Quantity])</f>
        <v>4</v>
      </c>
      <c r="D298" s="6" t="str">
        <f>_xlfn.XLOOKUP('Input data'!B298,'SuperMarket Analysis'!A:A,'SuperMarket Analysis'!F:F)</f>
        <v>Electronic accessories</v>
      </c>
      <c r="E298" s="6" t="str">
        <f>_xlfn.XLOOKUP(B298,'SuperMarket Analysis'!A:A,'SuperMarket Analysis'!M:M)</f>
        <v>Cash</v>
      </c>
      <c r="F298" s="6">
        <f>0.05*Input_Table[[#This Row],[TOTAL C.O.G.S]]</f>
        <v>5.7680000000000007</v>
      </c>
      <c r="G298" s="6" t="str">
        <f>_xlfn.XLOOKUP(Input_Table[[#This Row],[INVOICE ID]],'SuperMarket Analysis'!A:A,'SuperMarket Analysis'!B:B)</f>
        <v>Giza</v>
      </c>
      <c r="H298" s="6" t="str">
        <f>_xlfn.XLOOKUP(Input_Table[[#This Row],[INVOICE ID]],'SuperMarket Analysis'!A:A,'SuperMarket Analysis'!F:F)</f>
        <v>Electronic accessories</v>
      </c>
      <c r="I298" s="12">
        <f>_xlfn.XLOOKUP(Input_Table[[#This Row],[INVOICE ID]],'SuperMarket Analysis'!A:A,'SuperMarket Analysis'!G:G)</f>
        <v>28.84</v>
      </c>
      <c r="J298" s="12">
        <f>_xlfn.XLOOKUP(Input_Table[[#This Row],[INVOICE ID]],'SuperMarket Analysis'!A:A,'SuperMarket Analysis'!N:N)</f>
        <v>115.36</v>
      </c>
      <c r="K298" s="12">
        <f>_xlfn.XLOOKUP(Input_Table[[#This Row],[INVOICE ID]],'SuperMarket Analysis'!A:A,'SuperMarket Analysis'!J:J)</f>
        <v>121.128</v>
      </c>
      <c r="L298" s="6">
        <f>DAY(Input_Table[[#This Row],[DATE]])</f>
        <v>26</v>
      </c>
      <c r="M298" s="6" t="str">
        <f>TEXT(Input_Table[[#This Row],[DATE]],"mmmm")</f>
        <v>March</v>
      </c>
      <c r="N298" s="6">
        <f>YEAR(Input_Table[[#This Row],[DATE]])</f>
        <v>2019</v>
      </c>
    </row>
    <row r="299" spans="1:14" x14ac:dyDescent="0.3">
      <c r="A299" s="2">
        <f>_xlfn.XLOOKUP(B299,SuperMarket_Analysis[Invoice ID],SuperMarket_Analysis[Date])</f>
        <v>43521</v>
      </c>
      <c r="B299" s="6" t="s">
        <v>330</v>
      </c>
      <c r="C299" s="7">
        <f>_xlfn.XLOOKUP(B299,SuperMarket_Analysis[Invoice ID],SuperMarket_Analysis[Quantity])</f>
        <v>6</v>
      </c>
      <c r="D299" s="6" t="str">
        <f>_xlfn.XLOOKUP('Input data'!B299,'SuperMarket Analysis'!A:A,'SuperMarket Analysis'!F:F)</f>
        <v>Home and lifestyle</v>
      </c>
      <c r="E299" s="6" t="str">
        <f>_xlfn.XLOOKUP(B299,'SuperMarket Analysis'!A:A,'SuperMarket Analysis'!M:M)</f>
        <v>Ewallet</v>
      </c>
      <c r="F299" s="6">
        <f>0.05*Input_Table[[#This Row],[TOTAL C.O.G.S]]</f>
        <v>23.513999999999999</v>
      </c>
      <c r="G299" s="6" t="str">
        <f>_xlfn.XLOOKUP(Input_Table[[#This Row],[INVOICE ID]],'SuperMarket Analysis'!A:A,'SuperMarket Analysis'!B:B)</f>
        <v>Alex</v>
      </c>
      <c r="H299" s="6" t="str">
        <f>_xlfn.XLOOKUP(Input_Table[[#This Row],[INVOICE ID]],'SuperMarket Analysis'!A:A,'SuperMarket Analysis'!F:F)</f>
        <v>Home and lifestyle</v>
      </c>
      <c r="I299" s="12">
        <f>_xlfn.XLOOKUP(Input_Table[[#This Row],[INVOICE ID]],'SuperMarket Analysis'!A:A,'SuperMarket Analysis'!G:G)</f>
        <v>78.38</v>
      </c>
      <c r="J299" s="12">
        <f>_xlfn.XLOOKUP(Input_Table[[#This Row],[INVOICE ID]],'SuperMarket Analysis'!A:A,'SuperMarket Analysis'!N:N)</f>
        <v>470.28</v>
      </c>
      <c r="K299" s="12">
        <f>_xlfn.XLOOKUP(Input_Table[[#This Row],[INVOICE ID]],'SuperMarket Analysis'!A:A,'SuperMarket Analysis'!J:J)</f>
        <v>493.79399999999998</v>
      </c>
      <c r="L299" s="6">
        <f>DAY(Input_Table[[#This Row],[DATE]])</f>
        <v>25</v>
      </c>
      <c r="M299" s="6" t="str">
        <f>TEXT(Input_Table[[#This Row],[DATE]],"mmmm")</f>
        <v>February</v>
      </c>
      <c r="N299" s="6">
        <f>YEAR(Input_Table[[#This Row],[DATE]])</f>
        <v>2019</v>
      </c>
    </row>
    <row r="300" spans="1:14" x14ac:dyDescent="0.3">
      <c r="A300" s="2">
        <f>_xlfn.XLOOKUP(B300,SuperMarket_Analysis[Invoice ID],SuperMarket_Analysis[Date])</f>
        <v>43487</v>
      </c>
      <c r="B300" s="6" t="s">
        <v>331</v>
      </c>
      <c r="C300" s="7">
        <f>_xlfn.XLOOKUP(B300,SuperMarket_Analysis[Invoice ID],SuperMarket_Analysis[Quantity])</f>
        <v>4</v>
      </c>
      <c r="D300" s="6" t="str">
        <f>_xlfn.XLOOKUP('Input data'!B300,'SuperMarket Analysis'!A:A,'SuperMarket Analysis'!F:F)</f>
        <v>Home and lifestyle</v>
      </c>
      <c r="E300" s="6" t="str">
        <f>_xlfn.XLOOKUP(B300,'SuperMarket Analysis'!A:A,'SuperMarket Analysis'!M:M)</f>
        <v>Cash</v>
      </c>
      <c r="F300" s="6">
        <f>0.05*Input_Table[[#This Row],[TOTAL C.O.G.S]]</f>
        <v>12.002000000000001</v>
      </c>
      <c r="G300" s="6" t="str">
        <f>_xlfn.XLOOKUP(Input_Table[[#This Row],[INVOICE ID]],'SuperMarket Analysis'!A:A,'SuperMarket Analysis'!B:B)</f>
        <v>Alex</v>
      </c>
      <c r="H300" s="6" t="str">
        <f>_xlfn.XLOOKUP(Input_Table[[#This Row],[INVOICE ID]],'SuperMarket Analysis'!A:A,'SuperMarket Analysis'!F:F)</f>
        <v>Home and lifestyle</v>
      </c>
      <c r="I300" s="12">
        <f>_xlfn.XLOOKUP(Input_Table[[#This Row],[INVOICE ID]],'SuperMarket Analysis'!A:A,'SuperMarket Analysis'!G:G)</f>
        <v>60.01</v>
      </c>
      <c r="J300" s="12">
        <f>_xlfn.XLOOKUP(Input_Table[[#This Row],[INVOICE ID]],'SuperMarket Analysis'!A:A,'SuperMarket Analysis'!N:N)</f>
        <v>240.04</v>
      </c>
      <c r="K300" s="12">
        <f>_xlfn.XLOOKUP(Input_Table[[#This Row],[INVOICE ID]],'SuperMarket Analysis'!A:A,'SuperMarket Analysis'!J:J)</f>
        <v>252.042</v>
      </c>
      <c r="L300" s="6">
        <f>DAY(Input_Table[[#This Row],[DATE]])</f>
        <v>22</v>
      </c>
      <c r="M300" s="6" t="str">
        <f>TEXT(Input_Table[[#This Row],[DATE]],"mmmm")</f>
        <v>January</v>
      </c>
      <c r="N300" s="6">
        <f>YEAR(Input_Table[[#This Row],[DATE]])</f>
        <v>2019</v>
      </c>
    </row>
    <row r="301" spans="1:14" x14ac:dyDescent="0.3">
      <c r="A301" s="2">
        <f>_xlfn.XLOOKUP(B301,SuperMarket_Analysis[Invoice ID],SuperMarket_Analysis[Date])</f>
        <v>43509</v>
      </c>
      <c r="B301" s="6" t="s">
        <v>332</v>
      </c>
      <c r="C301" s="7">
        <f>_xlfn.XLOOKUP(B301,SuperMarket_Analysis[Invoice ID],SuperMarket_Analysis[Quantity])</f>
        <v>1</v>
      </c>
      <c r="D301" s="6" t="str">
        <f>_xlfn.XLOOKUP('Input data'!B301,'SuperMarket Analysis'!A:A,'SuperMarket Analysis'!F:F)</f>
        <v>Home and lifestyle</v>
      </c>
      <c r="E301" s="6" t="str">
        <f>_xlfn.XLOOKUP(B301,'SuperMarket Analysis'!A:A,'SuperMarket Analysis'!M:M)</f>
        <v>Cash</v>
      </c>
      <c r="F301" s="6">
        <f>0.05*Input_Table[[#This Row],[TOTAL C.O.G.S]]</f>
        <v>4.4305000000000003</v>
      </c>
      <c r="G301" s="6" t="str">
        <f>_xlfn.XLOOKUP(Input_Table[[#This Row],[INVOICE ID]],'SuperMarket Analysis'!A:A,'SuperMarket Analysis'!B:B)</f>
        <v>Giza</v>
      </c>
      <c r="H301" s="6" t="str">
        <f>_xlfn.XLOOKUP(Input_Table[[#This Row],[INVOICE ID]],'SuperMarket Analysis'!A:A,'SuperMarket Analysis'!F:F)</f>
        <v>Home and lifestyle</v>
      </c>
      <c r="I301" s="12">
        <f>_xlfn.XLOOKUP(Input_Table[[#This Row],[INVOICE ID]],'SuperMarket Analysis'!A:A,'SuperMarket Analysis'!G:G)</f>
        <v>88.61</v>
      </c>
      <c r="J301" s="12">
        <f>_xlfn.XLOOKUP(Input_Table[[#This Row],[INVOICE ID]],'SuperMarket Analysis'!A:A,'SuperMarket Analysis'!N:N)</f>
        <v>88.61</v>
      </c>
      <c r="K301" s="12">
        <f>_xlfn.XLOOKUP(Input_Table[[#This Row],[INVOICE ID]],'SuperMarket Analysis'!A:A,'SuperMarket Analysis'!J:J)</f>
        <v>93.040499999999994</v>
      </c>
      <c r="L301" s="6">
        <f>DAY(Input_Table[[#This Row],[DATE]])</f>
        <v>13</v>
      </c>
      <c r="M301" s="6" t="str">
        <f>TEXT(Input_Table[[#This Row],[DATE]],"mmmm")</f>
        <v>February</v>
      </c>
      <c r="N301" s="6">
        <f>YEAR(Input_Table[[#This Row],[DATE]])</f>
        <v>2019</v>
      </c>
    </row>
    <row r="302" spans="1:14" x14ac:dyDescent="0.3">
      <c r="A302" s="2">
        <f>_xlfn.XLOOKUP(B302,SuperMarket_Analysis[Invoice ID],SuperMarket_Analysis[Date])</f>
        <v>43493</v>
      </c>
      <c r="B302" s="6" t="s">
        <v>333</v>
      </c>
      <c r="C302" s="7">
        <f>_xlfn.XLOOKUP(B302,SuperMarket_Analysis[Invoice ID],SuperMarket_Analysis[Quantity])</f>
        <v>2</v>
      </c>
      <c r="D302" s="6" t="str">
        <f>_xlfn.XLOOKUP('Input data'!B302,'SuperMarket Analysis'!A:A,'SuperMarket Analysis'!F:F)</f>
        <v>Fashion accessories</v>
      </c>
      <c r="E302" s="6" t="str">
        <f>_xlfn.XLOOKUP(B302,'SuperMarket Analysis'!A:A,'SuperMarket Analysis'!M:M)</f>
        <v>Credit card</v>
      </c>
      <c r="F302" s="6">
        <f>0.05*Input_Table[[#This Row],[TOTAL C.O.G.S]]</f>
        <v>9.9819999999999993</v>
      </c>
      <c r="G302" s="6" t="str">
        <f>_xlfn.XLOOKUP(Input_Table[[#This Row],[INVOICE ID]],'SuperMarket Analysis'!A:A,'SuperMarket Analysis'!B:B)</f>
        <v>Giza</v>
      </c>
      <c r="H302" s="6" t="str">
        <f>_xlfn.XLOOKUP(Input_Table[[#This Row],[INVOICE ID]],'SuperMarket Analysis'!A:A,'SuperMarket Analysis'!F:F)</f>
        <v>Fashion accessories</v>
      </c>
      <c r="I302" s="12">
        <f>_xlfn.XLOOKUP(Input_Table[[#This Row],[INVOICE ID]],'SuperMarket Analysis'!A:A,'SuperMarket Analysis'!G:G)</f>
        <v>99.82</v>
      </c>
      <c r="J302" s="12">
        <f>_xlfn.XLOOKUP(Input_Table[[#This Row],[INVOICE ID]],'SuperMarket Analysis'!A:A,'SuperMarket Analysis'!N:N)</f>
        <v>199.64</v>
      </c>
      <c r="K302" s="12">
        <f>_xlfn.XLOOKUP(Input_Table[[#This Row],[INVOICE ID]],'SuperMarket Analysis'!A:A,'SuperMarket Analysis'!J:J)</f>
        <v>209.62200000000001</v>
      </c>
      <c r="L302" s="6">
        <f>DAY(Input_Table[[#This Row],[DATE]])</f>
        <v>28</v>
      </c>
      <c r="M302" s="6" t="str">
        <f>TEXT(Input_Table[[#This Row],[DATE]],"mmmm")</f>
        <v>January</v>
      </c>
      <c r="N302" s="6">
        <f>YEAR(Input_Table[[#This Row],[DATE]])</f>
        <v>2019</v>
      </c>
    </row>
    <row r="303" spans="1:14" x14ac:dyDescent="0.3">
      <c r="A303" s="2">
        <f>_xlfn.XLOOKUP(B303,SuperMarket_Analysis[Invoice ID],SuperMarket_Analysis[Date])</f>
        <v>43543</v>
      </c>
      <c r="B303" s="6" t="s">
        <v>334</v>
      </c>
      <c r="C303" s="7">
        <f>_xlfn.XLOOKUP(B303,SuperMarket_Analysis[Invoice ID],SuperMarket_Analysis[Quantity])</f>
        <v>1</v>
      </c>
      <c r="D303" s="6" t="str">
        <f>_xlfn.XLOOKUP('Input data'!B303,'SuperMarket Analysis'!A:A,'SuperMarket Analysis'!F:F)</f>
        <v>Health and beauty</v>
      </c>
      <c r="E303" s="6" t="str">
        <f>_xlfn.XLOOKUP(B303,'SuperMarket Analysis'!A:A,'SuperMarket Analysis'!M:M)</f>
        <v>Credit card</v>
      </c>
      <c r="F303" s="6">
        <f>0.05*Input_Table[[#This Row],[TOTAL C.O.G.S]]</f>
        <v>1.9504999999999999</v>
      </c>
      <c r="G303" s="6" t="str">
        <f>_xlfn.XLOOKUP(Input_Table[[#This Row],[INVOICE ID]],'SuperMarket Analysis'!A:A,'SuperMarket Analysis'!B:B)</f>
        <v>Cairo</v>
      </c>
      <c r="H303" s="6" t="str">
        <f>_xlfn.XLOOKUP(Input_Table[[#This Row],[INVOICE ID]],'SuperMarket Analysis'!A:A,'SuperMarket Analysis'!F:F)</f>
        <v>Health and beauty</v>
      </c>
      <c r="I303" s="12">
        <f>_xlfn.XLOOKUP(Input_Table[[#This Row],[INVOICE ID]],'SuperMarket Analysis'!A:A,'SuperMarket Analysis'!G:G)</f>
        <v>39.01</v>
      </c>
      <c r="J303" s="12">
        <f>_xlfn.XLOOKUP(Input_Table[[#This Row],[INVOICE ID]],'SuperMarket Analysis'!A:A,'SuperMarket Analysis'!N:N)</f>
        <v>39.01</v>
      </c>
      <c r="K303" s="12">
        <f>_xlfn.XLOOKUP(Input_Table[[#This Row],[INVOICE ID]],'SuperMarket Analysis'!A:A,'SuperMarket Analysis'!J:J)</f>
        <v>40.960500000000003</v>
      </c>
      <c r="L303" s="6">
        <f>DAY(Input_Table[[#This Row],[DATE]])</f>
        <v>19</v>
      </c>
      <c r="M303" s="6" t="str">
        <f>TEXT(Input_Table[[#This Row],[DATE]],"mmmm")</f>
        <v>March</v>
      </c>
      <c r="N303" s="6">
        <f>YEAR(Input_Table[[#This Row],[DATE]])</f>
        <v>2019</v>
      </c>
    </row>
    <row r="304" spans="1:14" x14ac:dyDescent="0.3">
      <c r="A304" s="2">
        <f>_xlfn.XLOOKUP(B304,SuperMarket_Analysis[Invoice ID],SuperMarket_Analysis[Date])</f>
        <v>43491</v>
      </c>
      <c r="B304" s="6" t="s">
        <v>335</v>
      </c>
      <c r="C304" s="7">
        <f>_xlfn.XLOOKUP(B304,SuperMarket_Analysis[Invoice ID],SuperMarket_Analysis[Quantity])</f>
        <v>1</v>
      </c>
      <c r="D304" s="6" t="str">
        <f>_xlfn.XLOOKUP('Input data'!B304,'SuperMarket Analysis'!A:A,'SuperMarket Analysis'!F:F)</f>
        <v>Food and beverages</v>
      </c>
      <c r="E304" s="6" t="str">
        <f>_xlfn.XLOOKUP(B304,'SuperMarket Analysis'!A:A,'SuperMarket Analysis'!M:M)</f>
        <v>Cash</v>
      </c>
      <c r="F304" s="6">
        <f>0.05*Input_Table[[#This Row],[TOTAL C.O.G.S]]</f>
        <v>2.4305000000000003</v>
      </c>
      <c r="G304" s="6" t="str">
        <f>_xlfn.XLOOKUP(Input_Table[[#This Row],[INVOICE ID]],'SuperMarket Analysis'!A:A,'SuperMarket Analysis'!B:B)</f>
        <v>Giza</v>
      </c>
      <c r="H304" s="6" t="str">
        <f>_xlfn.XLOOKUP(Input_Table[[#This Row],[INVOICE ID]],'SuperMarket Analysis'!A:A,'SuperMarket Analysis'!F:F)</f>
        <v>Food and beverages</v>
      </c>
      <c r="I304" s="12">
        <f>_xlfn.XLOOKUP(Input_Table[[#This Row],[INVOICE ID]],'SuperMarket Analysis'!A:A,'SuperMarket Analysis'!G:G)</f>
        <v>48.61</v>
      </c>
      <c r="J304" s="12">
        <f>_xlfn.XLOOKUP(Input_Table[[#This Row],[INVOICE ID]],'SuperMarket Analysis'!A:A,'SuperMarket Analysis'!N:N)</f>
        <v>48.61</v>
      </c>
      <c r="K304" s="12">
        <f>_xlfn.XLOOKUP(Input_Table[[#This Row],[INVOICE ID]],'SuperMarket Analysis'!A:A,'SuperMarket Analysis'!J:J)</f>
        <v>51.040500000000002</v>
      </c>
      <c r="L304" s="6">
        <f>DAY(Input_Table[[#This Row],[DATE]])</f>
        <v>26</v>
      </c>
      <c r="M304" s="6" t="str">
        <f>TEXT(Input_Table[[#This Row],[DATE]],"mmmm")</f>
        <v>January</v>
      </c>
      <c r="N304" s="6">
        <f>YEAR(Input_Table[[#This Row],[DATE]])</f>
        <v>2019</v>
      </c>
    </row>
    <row r="305" spans="1:14" x14ac:dyDescent="0.3">
      <c r="A305" s="2">
        <f>_xlfn.XLOOKUP(B305,SuperMarket_Analysis[Invoice ID],SuperMarket_Analysis[Date])</f>
        <v>43488</v>
      </c>
      <c r="B305" s="6" t="s">
        <v>336</v>
      </c>
      <c r="C305" s="7">
        <f>_xlfn.XLOOKUP(B305,SuperMarket_Analysis[Invoice ID],SuperMarket_Analysis[Quantity])</f>
        <v>4</v>
      </c>
      <c r="D305" s="6" t="str">
        <f>_xlfn.XLOOKUP('Input data'!B305,'SuperMarket Analysis'!A:A,'SuperMarket Analysis'!F:F)</f>
        <v>Electronic accessories</v>
      </c>
      <c r="E305" s="6" t="str">
        <f>_xlfn.XLOOKUP(B305,'SuperMarket Analysis'!A:A,'SuperMarket Analysis'!M:M)</f>
        <v>Credit card</v>
      </c>
      <c r="F305" s="6">
        <f>0.05*Input_Table[[#This Row],[TOTAL C.O.G.S]]</f>
        <v>10.238</v>
      </c>
      <c r="G305" s="6" t="str">
        <f>_xlfn.XLOOKUP(Input_Table[[#This Row],[INVOICE ID]],'SuperMarket Analysis'!A:A,'SuperMarket Analysis'!B:B)</f>
        <v>Alex</v>
      </c>
      <c r="H305" s="6" t="str">
        <f>_xlfn.XLOOKUP(Input_Table[[#This Row],[INVOICE ID]],'SuperMarket Analysis'!A:A,'SuperMarket Analysis'!F:F)</f>
        <v>Electronic accessories</v>
      </c>
      <c r="I305" s="12">
        <f>_xlfn.XLOOKUP(Input_Table[[#This Row],[INVOICE ID]],'SuperMarket Analysis'!A:A,'SuperMarket Analysis'!G:G)</f>
        <v>51.19</v>
      </c>
      <c r="J305" s="12">
        <f>_xlfn.XLOOKUP(Input_Table[[#This Row],[INVOICE ID]],'SuperMarket Analysis'!A:A,'SuperMarket Analysis'!N:N)</f>
        <v>204.76</v>
      </c>
      <c r="K305" s="12">
        <f>_xlfn.XLOOKUP(Input_Table[[#This Row],[INVOICE ID]],'SuperMarket Analysis'!A:A,'SuperMarket Analysis'!J:J)</f>
        <v>214.99799999999999</v>
      </c>
      <c r="L305" s="6">
        <f>DAY(Input_Table[[#This Row],[DATE]])</f>
        <v>23</v>
      </c>
      <c r="M305" s="6" t="str">
        <f>TEXT(Input_Table[[#This Row],[DATE]],"mmmm")</f>
        <v>January</v>
      </c>
      <c r="N305" s="6">
        <f>YEAR(Input_Table[[#This Row],[DATE]])</f>
        <v>2019</v>
      </c>
    </row>
    <row r="306" spans="1:14" x14ac:dyDescent="0.3">
      <c r="A306" s="2">
        <f>_xlfn.XLOOKUP(B306,SuperMarket_Analysis[Invoice ID],SuperMarket_Analysis[Date])</f>
        <v>43518</v>
      </c>
      <c r="B306" s="6" t="s">
        <v>337</v>
      </c>
      <c r="C306" s="7">
        <f>_xlfn.XLOOKUP(B306,SuperMarket_Analysis[Invoice ID],SuperMarket_Analysis[Quantity])</f>
        <v>8</v>
      </c>
      <c r="D306" s="6" t="str">
        <f>_xlfn.XLOOKUP('Input data'!B306,'SuperMarket Analysis'!A:A,'SuperMarket Analysis'!F:F)</f>
        <v>Electronic accessories</v>
      </c>
      <c r="E306" s="6" t="str">
        <f>_xlfn.XLOOKUP(B306,'SuperMarket Analysis'!A:A,'SuperMarket Analysis'!M:M)</f>
        <v>Cash</v>
      </c>
      <c r="F306" s="6">
        <f>0.05*Input_Table[[#This Row],[TOTAL C.O.G.S]]</f>
        <v>5.9840000000000009</v>
      </c>
      <c r="G306" s="6" t="str">
        <f>_xlfn.XLOOKUP(Input_Table[[#This Row],[INVOICE ID]],'SuperMarket Analysis'!A:A,'SuperMarket Analysis'!B:B)</f>
        <v>Cairo</v>
      </c>
      <c r="H306" s="6" t="str">
        <f>_xlfn.XLOOKUP(Input_Table[[#This Row],[INVOICE ID]],'SuperMarket Analysis'!A:A,'SuperMarket Analysis'!F:F)</f>
        <v>Electronic accessories</v>
      </c>
      <c r="I306" s="12">
        <f>_xlfn.XLOOKUP(Input_Table[[#This Row],[INVOICE ID]],'SuperMarket Analysis'!A:A,'SuperMarket Analysis'!G:G)</f>
        <v>14.96</v>
      </c>
      <c r="J306" s="12">
        <f>_xlfn.XLOOKUP(Input_Table[[#This Row],[INVOICE ID]],'SuperMarket Analysis'!A:A,'SuperMarket Analysis'!N:N)</f>
        <v>119.68</v>
      </c>
      <c r="K306" s="12">
        <f>_xlfn.XLOOKUP(Input_Table[[#This Row],[INVOICE ID]],'SuperMarket Analysis'!A:A,'SuperMarket Analysis'!J:J)</f>
        <v>125.664</v>
      </c>
      <c r="L306" s="6">
        <f>DAY(Input_Table[[#This Row],[DATE]])</f>
        <v>22</v>
      </c>
      <c r="M306" s="6" t="str">
        <f>TEXT(Input_Table[[#This Row],[DATE]],"mmmm")</f>
        <v>February</v>
      </c>
      <c r="N306" s="6">
        <f>YEAR(Input_Table[[#This Row],[DATE]])</f>
        <v>2019</v>
      </c>
    </row>
    <row r="307" spans="1:14" x14ac:dyDescent="0.3">
      <c r="A307" s="2">
        <f>_xlfn.XLOOKUP(B307,SuperMarket_Analysis[Invoice ID],SuperMarket_Analysis[Date])</f>
        <v>43549</v>
      </c>
      <c r="B307" s="6" t="s">
        <v>338</v>
      </c>
      <c r="C307" s="7">
        <f>_xlfn.XLOOKUP(B307,SuperMarket_Analysis[Invoice ID],SuperMarket_Analysis[Quantity])</f>
        <v>7</v>
      </c>
      <c r="D307" s="6" t="str">
        <f>_xlfn.XLOOKUP('Input data'!B307,'SuperMarket Analysis'!A:A,'SuperMarket Analysis'!F:F)</f>
        <v>Electronic accessories</v>
      </c>
      <c r="E307" s="6" t="str">
        <f>_xlfn.XLOOKUP(B307,'SuperMarket Analysis'!A:A,'SuperMarket Analysis'!M:M)</f>
        <v>Ewallet</v>
      </c>
      <c r="F307" s="6">
        <f>0.05*Input_Table[[#This Row],[TOTAL C.O.G.S]]</f>
        <v>25.27</v>
      </c>
      <c r="G307" s="6" t="str">
        <f>_xlfn.XLOOKUP(Input_Table[[#This Row],[INVOICE ID]],'SuperMarket Analysis'!A:A,'SuperMarket Analysis'!B:B)</f>
        <v>Alex</v>
      </c>
      <c r="H307" s="6" t="str">
        <f>_xlfn.XLOOKUP(Input_Table[[#This Row],[INVOICE ID]],'SuperMarket Analysis'!A:A,'SuperMarket Analysis'!F:F)</f>
        <v>Electronic accessories</v>
      </c>
      <c r="I307" s="12">
        <f>_xlfn.XLOOKUP(Input_Table[[#This Row],[INVOICE ID]],'SuperMarket Analysis'!A:A,'SuperMarket Analysis'!G:G)</f>
        <v>72.2</v>
      </c>
      <c r="J307" s="12">
        <f>_xlfn.XLOOKUP(Input_Table[[#This Row],[INVOICE ID]],'SuperMarket Analysis'!A:A,'SuperMarket Analysis'!N:N)</f>
        <v>505.4</v>
      </c>
      <c r="K307" s="12">
        <f>_xlfn.XLOOKUP(Input_Table[[#This Row],[INVOICE ID]],'SuperMarket Analysis'!A:A,'SuperMarket Analysis'!J:J)</f>
        <v>530.66999999999996</v>
      </c>
      <c r="L307" s="6">
        <f>DAY(Input_Table[[#This Row],[DATE]])</f>
        <v>25</v>
      </c>
      <c r="M307" s="6" t="str">
        <f>TEXT(Input_Table[[#This Row],[DATE]],"mmmm")</f>
        <v>March</v>
      </c>
      <c r="N307" s="6">
        <f>YEAR(Input_Table[[#This Row],[DATE]])</f>
        <v>2019</v>
      </c>
    </row>
    <row r="308" spans="1:14" x14ac:dyDescent="0.3">
      <c r="A308" s="2">
        <f>_xlfn.XLOOKUP(B308,SuperMarket_Analysis[Invoice ID],SuperMarket_Analysis[Date])</f>
        <v>43485</v>
      </c>
      <c r="B308" s="6" t="s">
        <v>339</v>
      </c>
      <c r="C308" s="7">
        <f>_xlfn.XLOOKUP(B308,SuperMarket_Analysis[Invoice ID],SuperMarket_Analysis[Quantity])</f>
        <v>7</v>
      </c>
      <c r="D308" s="6" t="str">
        <f>_xlfn.XLOOKUP('Input data'!B308,'SuperMarket Analysis'!A:A,'SuperMarket Analysis'!F:F)</f>
        <v>Sports and travel</v>
      </c>
      <c r="E308" s="6" t="str">
        <f>_xlfn.XLOOKUP(B308,'SuperMarket Analysis'!A:A,'SuperMarket Analysis'!M:M)</f>
        <v>Cash</v>
      </c>
      <c r="F308" s="6">
        <f>0.05*Input_Table[[#This Row],[TOTAL C.O.G.S]]</f>
        <v>14.080500000000001</v>
      </c>
      <c r="G308" s="6" t="str">
        <f>_xlfn.XLOOKUP(Input_Table[[#This Row],[INVOICE ID]],'SuperMarket Analysis'!A:A,'SuperMarket Analysis'!B:B)</f>
        <v>Alex</v>
      </c>
      <c r="H308" s="6" t="str">
        <f>_xlfn.XLOOKUP(Input_Table[[#This Row],[INVOICE ID]],'SuperMarket Analysis'!A:A,'SuperMarket Analysis'!F:F)</f>
        <v>Sports and travel</v>
      </c>
      <c r="I308" s="12">
        <f>_xlfn.XLOOKUP(Input_Table[[#This Row],[INVOICE ID]],'SuperMarket Analysis'!A:A,'SuperMarket Analysis'!G:G)</f>
        <v>40.229999999999997</v>
      </c>
      <c r="J308" s="12">
        <f>_xlfn.XLOOKUP(Input_Table[[#This Row],[INVOICE ID]],'SuperMarket Analysis'!A:A,'SuperMarket Analysis'!N:N)</f>
        <v>281.61</v>
      </c>
      <c r="K308" s="12">
        <f>_xlfn.XLOOKUP(Input_Table[[#This Row],[INVOICE ID]],'SuperMarket Analysis'!A:A,'SuperMarket Analysis'!J:J)</f>
        <v>295.69049999999999</v>
      </c>
      <c r="L308" s="6">
        <f>DAY(Input_Table[[#This Row],[DATE]])</f>
        <v>20</v>
      </c>
      <c r="M308" s="6" t="str">
        <f>TEXT(Input_Table[[#This Row],[DATE]],"mmmm")</f>
        <v>January</v>
      </c>
      <c r="N308" s="6">
        <f>YEAR(Input_Table[[#This Row],[DATE]])</f>
        <v>2019</v>
      </c>
    </row>
    <row r="309" spans="1:14" x14ac:dyDescent="0.3">
      <c r="A309" s="2">
        <f>_xlfn.XLOOKUP(B309,SuperMarket_Analysis[Invoice ID],SuperMarket_Analysis[Date])</f>
        <v>43495</v>
      </c>
      <c r="B309" s="6" t="s">
        <v>340</v>
      </c>
      <c r="C309" s="7">
        <f>_xlfn.XLOOKUP(B309,SuperMarket_Analysis[Invoice ID],SuperMarket_Analysis[Quantity])</f>
        <v>8</v>
      </c>
      <c r="D309" s="6" t="str">
        <f>_xlfn.XLOOKUP('Input data'!B309,'SuperMarket Analysis'!A:A,'SuperMarket Analysis'!F:F)</f>
        <v>Home and lifestyle</v>
      </c>
      <c r="E309" s="6" t="str">
        <f>_xlfn.XLOOKUP(B309,'SuperMarket Analysis'!A:A,'SuperMarket Analysis'!M:M)</f>
        <v>Cash</v>
      </c>
      <c r="F309" s="6">
        <f>0.05*Input_Table[[#This Row],[TOTAL C.O.G.S]]</f>
        <v>35.516000000000005</v>
      </c>
      <c r="G309" s="6" t="str">
        <f>_xlfn.XLOOKUP(Input_Table[[#This Row],[INVOICE ID]],'SuperMarket Analysis'!A:A,'SuperMarket Analysis'!B:B)</f>
        <v>Alex</v>
      </c>
      <c r="H309" s="6" t="str">
        <f>_xlfn.XLOOKUP(Input_Table[[#This Row],[INVOICE ID]],'SuperMarket Analysis'!A:A,'SuperMarket Analysis'!F:F)</f>
        <v>Home and lifestyle</v>
      </c>
      <c r="I309" s="12">
        <f>_xlfn.XLOOKUP(Input_Table[[#This Row],[INVOICE ID]],'SuperMarket Analysis'!A:A,'SuperMarket Analysis'!G:G)</f>
        <v>88.79</v>
      </c>
      <c r="J309" s="12">
        <f>_xlfn.XLOOKUP(Input_Table[[#This Row],[INVOICE ID]],'SuperMarket Analysis'!A:A,'SuperMarket Analysis'!N:N)</f>
        <v>710.32</v>
      </c>
      <c r="K309" s="12">
        <f>_xlfn.XLOOKUP(Input_Table[[#This Row],[INVOICE ID]],'SuperMarket Analysis'!A:A,'SuperMarket Analysis'!J:J)</f>
        <v>745.83600000000001</v>
      </c>
      <c r="L309" s="6">
        <f>DAY(Input_Table[[#This Row],[DATE]])</f>
        <v>30</v>
      </c>
      <c r="M309" s="6" t="str">
        <f>TEXT(Input_Table[[#This Row],[DATE]],"mmmm")</f>
        <v>January</v>
      </c>
      <c r="N309" s="6">
        <f>YEAR(Input_Table[[#This Row],[DATE]])</f>
        <v>2019</v>
      </c>
    </row>
    <row r="310" spans="1:14" x14ac:dyDescent="0.3">
      <c r="A310" s="2">
        <f>_xlfn.XLOOKUP(B310,SuperMarket_Analysis[Invoice ID],SuperMarket_Analysis[Date])</f>
        <v>43553</v>
      </c>
      <c r="B310" s="6" t="s">
        <v>341</v>
      </c>
      <c r="C310" s="7">
        <f>_xlfn.XLOOKUP(B310,SuperMarket_Analysis[Invoice ID],SuperMarket_Analysis[Quantity])</f>
        <v>3</v>
      </c>
      <c r="D310" s="6" t="str">
        <f>_xlfn.XLOOKUP('Input data'!B310,'SuperMarket Analysis'!A:A,'SuperMarket Analysis'!F:F)</f>
        <v>Electronic accessories</v>
      </c>
      <c r="E310" s="6" t="str">
        <f>_xlfn.XLOOKUP(B310,'SuperMarket Analysis'!A:A,'SuperMarket Analysis'!M:M)</f>
        <v>Ewallet</v>
      </c>
      <c r="F310" s="6">
        <f>0.05*Input_Table[[#This Row],[TOTAL C.O.G.S]]</f>
        <v>3.972</v>
      </c>
      <c r="G310" s="6" t="str">
        <f>_xlfn.XLOOKUP(Input_Table[[#This Row],[INVOICE ID]],'SuperMarket Analysis'!A:A,'SuperMarket Analysis'!B:B)</f>
        <v>Alex</v>
      </c>
      <c r="H310" s="6" t="str">
        <f>_xlfn.XLOOKUP(Input_Table[[#This Row],[INVOICE ID]],'SuperMarket Analysis'!A:A,'SuperMarket Analysis'!F:F)</f>
        <v>Electronic accessories</v>
      </c>
      <c r="I310" s="12">
        <f>_xlfn.XLOOKUP(Input_Table[[#This Row],[INVOICE ID]],'SuperMarket Analysis'!A:A,'SuperMarket Analysis'!G:G)</f>
        <v>26.48</v>
      </c>
      <c r="J310" s="12">
        <f>_xlfn.XLOOKUP(Input_Table[[#This Row],[INVOICE ID]],'SuperMarket Analysis'!A:A,'SuperMarket Analysis'!N:N)</f>
        <v>79.44</v>
      </c>
      <c r="K310" s="12">
        <f>_xlfn.XLOOKUP(Input_Table[[#This Row],[INVOICE ID]],'SuperMarket Analysis'!A:A,'SuperMarket Analysis'!J:J)</f>
        <v>83.412000000000006</v>
      </c>
      <c r="L310" s="6">
        <f>DAY(Input_Table[[#This Row],[DATE]])</f>
        <v>29</v>
      </c>
      <c r="M310" s="6" t="str">
        <f>TEXT(Input_Table[[#This Row],[DATE]],"mmmm")</f>
        <v>March</v>
      </c>
      <c r="N310" s="6">
        <f>YEAR(Input_Table[[#This Row],[DATE]])</f>
        <v>2019</v>
      </c>
    </row>
    <row r="311" spans="1:14" x14ac:dyDescent="0.3">
      <c r="A311" s="2">
        <f>_xlfn.XLOOKUP(B311,SuperMarket_Analysis[Invoice ID],SuperMarket_Analysis[Date])</f>
        <v>43538</v>
      </c>
      <c r="B311" s="6" t="s">
        <v>342</v>
      </c>
      <c r="C311" s="7">
        <f>_xlfn.XLOOKUP(B311,SuperMarket_Analysis[Invoice ID],SuperMarket_Analysis[Quantity])</f>
        <v>2</v>
      </c>
      <c r="D311" s="6" t="str">
        <f>_xlfn.XLOOKUP('Input data'!B311,'SuperMarket Analysis'!A:A,'SuperMarket Analysis'!F:F)</f>
        <v>Fashion accessories</v>
      </c>
      <c r="E311" s="6" t="str">
        <f>_xlfn.XLOOKUP(B311,'SuperMarket Analysis'!A:A,'SuperMarket Analysis'!M:M)</f>
        <v>Cash</v>
      </c>
      <c r="F311" s="6">
        <f>0.05*Input_Table[[#This Row],[TOTAL C.O.G.S]]</f>
        <v>8.1910000000000007</v>
      </c>
      <c r="G311" s="6" t="str">
        <f>_xlfn.XLOOKUP(Input_Table[[#This Row],[INVOICE ID]],'SuperMarket Analysis'!A:A,'SuperMarket Analysis'!B:B)</f>
        <v>Alex</v>
      </c>
      <c r="H311" s="6" t="str">
        <f>_xlfn.XLOOKUP(Input_Table[[#This Row],[INVOICE ID]],'SuperMarket Analysis'!A:A,'SuperMarket Analysis'!F:F)</f>
        <v>Fashion accessories</v>
      </c>
      <c r="I311" s="12">
        <f>_xlfn.XLOOKUP(Input_Table[[#This Row],[INVOICE ID]],'SuperMarket Analysis'!A:A,'SuperMarket Analysis'!G:G)</f>
        <v>81.91</v>
      </c>
      <c r="J311" s="12">
        <f>_xlfn.XLOOKUP(Input_Table[[#This Row],[INVOICE ID]],'SuperMarket Analysis'!A:A,'SuperMarket Analysis'!N:N)</f>
        <v>163.82</v>
      </c>
      <c r="K311" s="12">
        <f>_xlfn.XLOOKUP(Input_Table[[#This Row],[INVOICE ID]],'SuperMarket Analysis'!A:A,'SuperMarket Analysis'!J:J)</f>
        <v>172.011</v>
      </c>
      <c r="L311" s="6">
        <f>DAY(Input_Table[[#This Row],[DATE]])</f>
        <v>14</v>
      </c>
      <c r="M311" s="6" t="str">
        <f>TEXT(Input_Table[[#This Row],[DATE]],"mmmm")</f>
        <v>March</v>
      </c>
      <c r="N311" s="6">
        <f>YEAR(Input_Table[[#This Row],[DATE]])</f>
        <v>2019</v>
      </c>
    </row>
    <row r="312" spans="1:14" x14ac:dyDescent="0.3">
      <c r="A312" s="2">
        <f>_xlfn.XLOOKUP(B312,SuperMarket_Analysis[Invoice ID],SuperMarket_Analysis[Date])</f>
        <v>43495</v>
      </c>
      <c r="B312" s="6" t="s">
        <v>343</v>
      </c>
      <c r="C312" s="7">
        <f>_xlfn.XLOOKUP(B312,SuperMarket_Analysis[Invoice ID],SuperMarket_Analysis[Quantity])</f>
        <v>6</v>
      </c>
      <c r="D312" s="6" t="str">
        <f>_xlfn.XLOOKUP('Input data'!B312,'SuperMarket Analysis'!A:A,'SuperMarket Analysis'!F:F)</f>
        <v>Sports and travel</v>
      </c>
      <c r="E312" s="6" t="str">
        <f>_xlfn.XLOOKUP(B312,'SuperMarket Analysis'!A:A,'SuperMarket Analysis'!M:M)</f>
        <v>Cash</v>
      </c>
      <c r="F312" s="6">
        <f>0.05*Input_Table[[#This Row],[TOTAL C.O.G.S]]</f>
        <v>23.978999999999999</v>
      </c>
      <c r="G312" s="6" t="str">
        <f>_xlfn.XLOOKUP(Input_Table[[#This Row],[INVOICE ID]],'SuperMarket Analysis'!A:A,'SuperMarket Analysis'!B:B)</f>
        <v>Cairo</v>
      </c>
      <c r="H312" s="6" t="str">
        <f>_xlfn.XLOOKUP(Input_Table[[#This Row],[INVOICE ID]],'SuperMarket Analysis'!A:A,'SuperMarket Analysis'!F:F)</f>
        <v>Sports and travel</v>
      </c>
      <c r="I312" s="12">
        <f>_xlfn.XLOOKUP(Input_Table[[#This Row],[INVOICE ID]],'SuperMarket Analysis'!A:A,'SuperMarket Analysis'!G:G)</f>
        <v>79.930000000000007</v>
      </c>
      <c r="J312" s="12">
        <f>_xlfn.XLOOKUP(Input_Table[[#This Row],[INVOICE ID]],'SuperMarket Analysis'!A:A,'SuperMarket Analysis'!N:N)</f>
        <v>479.58</v>
      </c>
      <c r="K312" s="12">
        <f>_xlfn.XLOOKUP(Input_Table[[#This Row],[INVOICE ID]],'SuperMarket Analysis'!A:A,'SuperMarket Analysis'!J:J)</f>
        <v>503.55900000000003</v>
      </c>
      <c r="L312" s="6">
        <f>DAY(Input_Table[[#This Row],[DATE]])</f>
        <v>30</v>
      </c>
      <c r="M312" s="6" t="str">
        <f>TEXT(Input_Table[[#This Row],[DATE]],"mmmm")</f>
        <v>January</v>
      </c>
      <c r="N312" s="6">
        <f>YEAR(Input_Table[[#This Row],[DATE]])</f>
        <v>2019</v>
      </c>
    </row>
    <row r="313" spans="1:14" x14ac:dyDescent="0.3">
      <c r="A313" s="2">
        <f>_xlfn.XLOOKUP(B313,SuperMarket_Analysis[Invoice ID],SuperMarket_Analysis[Date])</f>
        <v>43544</v>
      </c>
      <c r="B313" s="6" t="s">
        <v>344</v>
      </c>
      <c r="C313" s="7">
        <f>_xlfn.XLOOKUP(B313,SuperMarket_Analysis[Invoice ID],SuperMarket_Analysis[Quantity])</f>
        <v>2</v>
      </c>
      <c r="D313" s="6" t="str">
        <f>_xlfn.XLOOKUP('Input data'!B313,'SuperMarket Analysis'!A:A,'SuperMarket Analysis'!F:F)</f>
        <v>Fashion accessories</v>
      </c>
      <c r="E313" s="6" t="str">
        <f>_xlfn.XLOOKUP(B313,'SuperMarket Analysis'!A:A,'SuperMarket Analysis'!M:M)</f>
        <v>Ewallet</v>
      </c>
      <c r="F313" s="6">
        <f>0.05*Input_Table[[#This Row],[TOTAL C.O.G.S]]</f>
        <v>6.9329999999999998</v>
      </c>
      <c r="G313" s="6" t="str">
        <f>_xlfn.XLOOKUP(Input_Table[[#This Row],[INVOICE ID]],'SuperMarket Analysis'!A:A,'SuperMarket Analysis'!B:B)</f>
        <v>Giza</v>
      </c>
      <c r="H313" s="6" t="str">
        <f>_xlfn.XLOOKUP(Input_Table[[#This Row],[INVOICE ID]],'SuperMarket Analysis'!A:A,'SuperMarket Analysis'!F:F)</f>
        <v>Fashion accessories</v>
      </c>
      <c r="I313" s="12">
        <f>_xlfn.XLOOKUP(Input_Table[[#This Row],[INVOICE ID]],'SuperMarket Analysis'!A:A,'SuperMarket Analysis'!G:G)</f>
        <v>69.33</v>
      </c>
      <c r="J313" s="12">
        <f>_xlfn.XLOOKUP(Input_Table[[#This Row],[INVOICE ID]],'SuperMarket Analysis'!A:A,'SuperMarket Analysis'!N:N)</f>
        <v>138.66</v>
      </c>
      <c r="K313" s="12">
        <f>_xlfn.XLOOKUP(Input_Table[[#This Row],[INVOICE ID]],'SuperMarket Analysis'!A:A,'SuperMarket Analysis'!J:J)</f>
        <v>145.59299999999999</v>
      </c>
      <c r="L313" s="6">
        <f>DAY(Input_Table[[#This Row],[DATE]])</f>
        <v>20</v>
      </c>
      <c r="M313" s="6" t="str">
        <f>TEXT(Input_Table[[#This Row],[DATE]],"mmmm")</f>
        <v>March</v>
      </c>
      <c r="N313" s="6">
        <f>YEAR(Input_Table[[#This Row],[DATE]])</f>
        <v>2019</v>
      </c>
    </row>
    <row r="314" spans="1:14" x14ac:dyDescent="0.3">
      <c r="A314" s="2">
        <f>_xlfn.XLOOKUP(B314,SuperMarket_Analysis[Invoice ID],SuperMarket_Analysis[Date])</f>
        <v>43544</v>
      </c>
      <c r="B314" s="6" t="s">
        <v>345</v>
      </c>
      <c r="C314" s="7">
        <f>_xlfn.XLOOKUP(B314,SuperMarket_Analysis[Invoice ID],SuperMarket_Analysis[Quantity])</f>
        <v>5</v>
      </c>
      <c r="D314" s="6" t="str">
        <f>_xlfn.XLOOKUP('Input data'!B314,'SuperMarket Analysis'!A:A,'SuperMarket Analysis'!F:F)</f>
        <v>Food and beverages</v>
      </c>
      <c r="E314" s="6" t="str">
        <f>_xlfn.XLOOKUP(B314,'SuperMarket Analysis'!A:A,'SuperMarket Analysis'!M:M)</f>
        <v>Credit card</v>
      </c>
      <c r="F314" s="6">
        <f>0.05*Input_Table[[#This Row],[TOTAL C.O.G.S]]</f>
        <v>3.5575000000000006</v>
      </c>
      <c r="G314" s="6" t="str">
        <f>_xlfn.XLOOKUP(Input_Table[[#This Row],[INVOICE ID]],'SuperMarket Analysis'!A:A,'SuperMarket Analysis'!B:B)</f>
        <v>Alex</v>
      </c>
      <c r="H314" s="6" t="str">
        <f>_xlfn.XLOOKUP(Input_Table[[#This Row],[INVOICE ID]],'SuperMarket Analysis'!A:A,'SuperMarket Analysis'!F:F)</f>
        <v>Food and beverages</v>
      </c>
      <c r="I314" s="12">
        <f>_xlfn.XLOOKUP(Input_Table[[#This Row],[INVOICE ID]],'SuperMarket Analysis'!A:A,'SuperMarket Analysis'!G:G)</f>
        <v>14.23</v>
      </c>
      <c r="J314" s="12">
        <f>_xlfn.XLOOKUP(Input_Table[[#This Row],[INVOICE ID]],'SuperMarket Analysis'!A:A,'SuperMarket Analysis'!N:N)</f>
        <v>71.150000000000006</v>
      </c>
      <c r="K314" s="12">
        <f>_xlfn.XLOOKUP(Input_Table[[#This Row],[INVOICE ID]],'SuperMarket Analysis'!A:A,'SuperMarket Analysis'!J:J)</f>
        <v>74.707499999999996</v>
      </c>
      <c r="L314" s="6">
        <f>DAY(Input_Table[[#This Row],[DATE]])</f>
        <v>20</v>
      </c>
      <c r="M314" s="6" t="str">
        <f>TEXT(Input_Table[[#This Row],[DATE]],"mmmm")</f>
        <v>March</v>
      </c>
      <c r="N314" s="6">
        <f>YEAR(Input_Table[[#This Row],[DATE]])</f>
        <v>2019</v>
      </c>
    </row>
    <row r="315" spans="1:14" x14ac:dyDescent="0.3">
      <c r="A315" s="2">
        <f>_xlfn.XLOOKUP(B315,SuperMarket_Analysis[Invoice ID],SuperMarket_Analysis[Date])</f>
        <v>43482</v>
      </c>
      <c r="B315" s="6" t="s">
        <v>346</v>
      </c>
      <c r="C315" s="7">
        <f>_xlfn.XLOOKUP(B315,SuperMarket_Analysis[Invoice ID],SuperMarket_Analysis[Quantity])</f>
        <v>9</v>
      </c>
      <c r="D315" s="6" t="str">
        <f>_xlfn.XLOOKUP('Input data'!B315,'SuperMarket Analysis'!A:A,'SuperMarket Analysis'!F:F)</f>
        <v>Health and beauty</v>
      </c>
      <c r="E315" s="6" t="str">
        <f>_xlfn.XLOOKUP(B315,'SuperMarket Analysis'!A:A,'SuperMarket Analysis'!M:M)</f>
        <v>Cash</v>
      </c>
      <c r="F315" s="6">
        <f>0.05*Input_Table[[#This Row],[TOTAL C.O.G.S]]</f>
        <v>6.9974999999999996</v>
      </c>
      <c r="G315" s="6" t="str">
        <f>_xlfn.XLOOKUP(Input_Table[[#This Row],[INVOICE ID]],'SuperMarket Analysis'!A:A,'SuperMarket Analysis'!B:B)</f>
        <v>Alex</v>
      </c>
      <c r="H315" s="6" t="str">
        <f>_xlfn.XLOOKUP(Input_Table[[#This Row],[INVOICE ID]],'SuperMarket Analysis'!A:A,'SuperMarket Analysis'!F:F)</f>
        <v>Health and beauty</v>
      </c>
      <c r="I315" s="12">
        <f>_xlfn.XLOOKUP(Input_Table[[#This Row],[INVOICE ID]],'SuperMarket Analysis'!A:A,'SuperMarket Analysis'!G:G)</f>
        <v>15.55</v>
      </c>
      <c r="J315" s="12">
        <f>_xlfn.XLOOKUP(Input_Table[[#This Row],[INVOICE ID]],'SuperMarket Analysis'!A:A,'SuperMarket Analysis'!N:N)</f>
        <v>139.94999999999999</v>
      </c>
      <c r="K315" s="12">
        <f>_xlfn.XLOOKUP(Input_Table[[#This Row],[INVOICE ID]],'SuperMarket Analysis'!A:A,'SuperMarket Analysis'!J:J)</f>
        <v>146.94749999999999</v>
      </c>
      <c r="L315" s="6">
        <f>DAY(Input_Table[[#This Row],[DATE]])</f>
        <v>17</v>
      </c>
      <c r="M315" s="6" t="str">
        <f>TEXT(Input_Table[[#This Row],[DATE]],"mmmm")</f>
        <v>January</v>
      </c>
      <c r="N315" s="6">
        <f>YEAR(Input_Table[[#This Row],[DATE]])</f>
        <v>2019</v>
      </c>
    </row>
    <row r="316" spans="1:14" x14ac:dyDescent="0.3">
      <c r="A316" s="2">
        <f>_xlfn.XLOOKUP(B316,SuperMarket_Analysis[Invoice ID],SuperMarket_Analysis[Date])</f>
        <v>43521</v>
      </c>
      <c r="B316" s="6" t="s">
        <v>347</v>
      </c>
      <c r="C316" s="7">
        <f>_xlfn.XLOOKUP(B316,SuperMarket_Analysis[Invoice ID],SuperMarket_Analysis[Quantity])</f>
        <v>10</v>
      </c>
      <c r="D316" s="6" t="str">
        <f>_xlfn.XLOOKUP('Input data'!B316,'SuperMarket Analysis'!A:A,'SuperMarket Analysis'!F:F)</f>
        <v>Electronic accessories</v>
      </c>
      <c r="E316" s="6" t="str">
        <f>_xlfn.XLOOKUP(B316,'SuperMarket Analysis'!A:A,'SuperMarket Analysis'!M:M)</f>
        <v>Cash</v>
      </c>
      <c r="F316" s="6">
        <f>0.05*Input_Table[[#This Row],[TOTAL C.O.G.S]]</f>
        <v>39.064999999999998</v>
      </c>
      <c r="G316" s="6" t="str">
        <f>_xlfn.XLOOKUP(Input_Table[[#This Row],[INVOICE ID]],'SuperMarket Analysis'!A:A,'SuperMarket Analysis'!B:B)</f>
        <v>Giza</v>
      </c>
      <c r="H316" s="6" t="str">
        <f>_xlfn.XLOOKUP(Input_Table[[#This Row],[INVOICE ID]],'SuperMarket Analysis'!A:A,'SuperMarket Analysis'!F:F)</f>
        <v>Electronic accessories</v>
      </c>
      <c r="I316" s="12">
        <f>_xlfn.XLOOKUP(Input_Table[[#This Row],[INVOICE ID]],'SuperMarket Analysis'!A:A,'SuperMarket Analysis'!G:G)</f>
        <v>78.13</v>
      </c>
      <c r="J316" s="12">
        <f>_xlfn.XLOOKUP(Input_Table[[#This Row],[INVOICE ID]],'SuperMarket Analysis'!A:A,'SuperMarket Analysis'!N:N)</f>
        <v>781.3</v>
      </c>
      <c r="K316" s="12">
        <f>_xlfn.XLOOKUP(Input_Table[[#This Row],[INVOICE ID]],'SuperMarket Analysis'!A:A,'SuperMarket Analysis'!J:J)</f>
        <v>820.36500000000001</v>
      </c>
      <c r="L316" s="6">
        <f>DAY(Input_Table[[#This Row],[DATE]])</f>
        <v>25</v>
      </c>
      <c r="M316" s="6" t="str">
        <f>TEXT(Input_Table[[#This Row],[DATE]],"mmmm")</f>
        <v>February</v>
      </c>
      <c r="N316" s="6">
        <f>YEAR(Input_Table[[#This Row],[DATE]])</f>
        <v>2019</v>
      </c>
    </row>
    <row r="317" spans="1:14" x14ac:dyDescent="0.3">
      <c r="A317" s="2">
        <f>_xlfn.XLOOKUP(B317,SuperMarket_Analysis[Invoice ID],SuperMarket_Analysis[Date])</f>
        <v>43494</v>
      </c>
      <c r="B317" s="6" t="s">
        <v>348</v>
      </c>
      <c r="C317" s="7">
        <f>_xlfn.XLOOKUP(B317,SuperMarket_Analysis[Invoice ID],SuperMarket_Analysis[Quantity])</f>
        <v>2</v>
      </c>
      <c r="D317" s="6" t="str">
        <f>_xlfn.XLOOKUP('Input data'!B317,'SuperMarket Analysis'!A:A,'SuperMarket Analysis'!F:F)</f>
        <v>Food and beverages</v>
      </c>
      <c r="E317" s="6" t="str">
        <f>_xlfn.XLOOKUP(B317,'SuperMarket Analysis'!A:A,'SuperMarket Analysis'!M:M)</f>
        <v>Cash</v>
      </c>
      <c r="F317" s="6">
        <f>0.05*Input_Table[[#This Row],[TOTAL C.O.G.S]]</f>
        <v>9.9370000000000012</v>
      </c>
      <c r="G317" s="6" t="str">
        <f>_xlfn.XLOOKUP(Input_Table[[#This Row],[INVOICE ID]],'SuperMarket Analysis'!A:A,'SuperMarket Analysis'!B:B)</f>
        <v>Giza</v>
      </c>
      <c r="H317" s="6" t="str">
        <f>_xlfn.XLOOKUP(Input_Table[[#This Row],[INVOICE ID]],'SuperMarket Analysis'!A:A,'SuperMarket Analysis'!F:F)</f>
        <v>Food and beverages</v>
      </c>
      <c r="I317" s="12">
        <f>_xlfn.XLOOKUP(Input_Table[[#This Row],[INVOICE ID]],'SuperMarket Analysis'!A:A,'SuperMarket Analysis'!G:G)</f>
        <v>99.37</v>
      </c>
      <c r="J317" s="12">
        <f>_xlfn.XLOOKUP(Input_Table[[#This Row],[INVOICE ID]],'SuperMarket Analysis'!A:A,'SuperMarket Analysis'!N:N)</f>
        <v>198.74</v>
      </c>
      <c r="K317" s="12">
        <f>_xlfn.XLOOKUP(Input_Table[[#This Row],[INVOICE ID]],'SuperMarket Analysis'!A:A,'SuperMarket Analysis'!J:J)</f>
        <v>208.67699999999999</v>
      </c>
      <c r="L317" s="6">
        <f>DAY(Input_Table[[#This Row],[DATE]])</f>
        <v>29</v>
      </c>
      <c r="M317" s="6" t="str">
        <f>TEXT(Input_Table[[#This Row],[DATE]],"mmmm")</f>
        <v>January</v>
      </c>
      <c r="N317" s="6">
        <f>YEAR(Input_Table[[#This Row],[DATE]])</f>
        <v>2019</v>
      </c>
    </row>
    <row r="318" spans="1:14" x14ac:dyDescent="0.3">
      <c r="A318" s="2">
        <f>_xlfn.XLOOKUP(B318,SuperMarket_Analysis[Invoice ID],SuperMarket_Analysis[Date])</f>
        <v>43478</v>
      </c>
      <c r="B318" s="6" t="s">
        <v>349</v>
      </c>
      <c r="C318" s="7">
        <f>_xlfn.XLOOKUP(B318,SuperMarket_Analysis[Invoice ID],SuperMarket_Analysis[Quantity])</f>
        <v>3</v>
      </c>
      <c r="D318" s="6" t="str">
        <f>_xlfn.XLOOKUP('Input data'!B318,'SuperMarket Analysis'!A:A,'SuperMarket Analysis'!F:F)</f>
        <v>Food and beverages</v>
      </c>
      <c r="E318" s="6" t="str">
        <f>_xlfn.XLOOKUP(B318,'SuperMarket Analysis'!A:A,'SuperMarket Analysis'!M:M)</f>
        <v>Cash</v>
      </c>
      <c r="F318" s="6">
        <f>0.05*Input_Table[[#This Row],[TOTAL C.O.G.S]]</f>
        <v>3.1620000000000004</v>
      </c>
      <c r="G318" s="6" t="str">
        <f>_xlfn.XLOOKUP(Input_Table[[#This Row],[INVOICE ID]],'SuperMarket Analysis'!A:A,'SuperMarket Analysis'!B:B)</f>
        <v>Giza</v>
      </c>
      <c r="H318" s="6" t="str">
        <f>_xlfn.XLOOKUP(Input_Table[[#This Row],[INVOICE ID]],'SuperMarket Analysis'!A:A,'SuperMarket Analysis'!F:F)</f>
        <v>Food and beverages</v>
      </c>
      <c r="I318" s="12">
        <f>_xlfn.XLOOKUP(Input_Table[[#This Row],[INVOICE ID]],'SuperMarket Analysis'!A:A,'SuperMarket Analysis'!G:G)</f>
        <v>21.08</v>
      </c>
      <c r="J318" s="12">
        <f>_xlfn.XLOOKUP(Input_Table[[#This Row],[INVOICE ID]],'SuperMarket Analysis'!A:A,'SuperMarket Analysis'!N:N)</f>
        <v>63.24</v>
      </c>
      <c r="K318" s="12">
        <f>_xlfn.XLOOKUP(Input_Table[[#This Row],[INVOICE ID]],'SuperMarket Analysis'!A:A,'SuperMarket Analysis'!J:J)</f>
        <v>66.402000000000001</v>
      </c>
      <c r="L318" s="6">
        <f>DAY(Input_Table[[#This Row],[DATE]])</f>
        <v>13</v>
      </c>
      <c r="M318" s="6" t="str">
        <f>TEXT(Input_Table[[#This Row],[DATE]],"mmmm")</f>
        <v>January</v>
      </c>
      <c r="N318" s="6">
        <f>YEAR(Input_Table[[#This Row],[DATE]])</f>
        <v>2019</v>
      </c>
    </row>
    <row r="319" spans="1:14" x14ac:dyDescent="0.3">
      <c r="A319" s="2">
        <f>_xlfn.XLOOKUP(B319,SuperMarket_Analysis[Invoice ID],SuperMarket_Analysis[Date])</f>
        <v>43546</v>
      </c>
      <c r="B319" s="6" t="s">
        <v>350</v>
      </c>
      <c r="C319" s="7">
        <f>_xlfn.XLOOKUP(B319,SuperMarket_Analysis[Invoice ID],SuperMarket_Analysis[Quantity])</f>
        <v>5</v>
      </c>
      <c r="D319" s="6" t="str">
        <f>_xlfn.XLOOKUP('Input data'!B319,'SuperMarket Analysis'!A:A,'SuperMarket Analysis'!F:F)</f>
        <v>Electronic accessories</v>
      </c>
      <c r="E319" s="6" t="str">
        <f>_xlfn.XLOOKUP(B319,'SuperMarket Analysis'!A:A,'SuperMarket Analysis'!M:M)</f>
        <v>Cash</v>
      </c>
      <c r="F319" s="6">
        <f>0.05*Input_Table[[#This Row],[TOTAL C.O.G.S]]</f>
        <v>18.697500000000002</v>
      </c>
      <c r="G319" s="6" t="str">
        <f>_xlfn.XLOOKUP(Input_Table[[#This Row],[INVOICE ID]],'SuperMarket Analysis'!A:A,'SuperMarket Analysis'!B:B)</f>
        <v>Giza</v>
      </c>
      <c r="H319" s="6" t="str">
        <f>_xlfn.XLOOKUP(Input_Table[[#This Row],[INVOICE ID]],'SuperMarket Analysis'!A:A,'SuperMarket Analysis'!F:F)</f>
        <v>Electronic accessories</v>
      </c>
      <c r="I319" s="12">
        <f>_xlfn.XLOOKUP(Input_Table[[#This Row],[INVOICE ID]],'SuperMarket Analysis'!A:A,'SuperMarket Analysis'!G:G)</f>
        <v>74.790000000000006</v>
      </c>
      <c r="J319" s="12">
        <f>_xlfn.XLOOKUP(Input_Table[[#This Row],[INVOICE ID]],'SuperMarket Analysis'!A:A,'SuperMarket Analysis'!N:N)</f>
        <v>373.95</v>
      </c>
      <c r="K319" s="12">
        <f>_xlfn.XLOOKUP(Input_Table[[#This Row],[INVOICE ID]],'SuperMarket Analysis'!A:A,'SuperMarket Analysis'!J:J)</f>
        <v>392.64749999999998</v>
      </c>
      <c r="L319" s="6">
        <f>DAY(Input_Table[[#This Row],[DATE]])</f>
        <v>22</v>
      </c>
      <c r="M319" s="6" t="str">
        <f>TEXT(Input_Table[[#This Row],[DATE]],"mmmm")</f>
        <v>March</v>
      </c>
      <c r="N319" s="6">
        <f>YEAR(Input_Table[[#This Row],[DATE]])</f>
        <v>2019</v>
      </c>
    </row>
    <row r="320" spans="1:14" x14ac:dyDescent="0.3">
      <c r="A320" s="2">
        <f>_xlfn.XLOOKUP(B320,SuperMarket_Analysis[Invoice ID],SuperMarket_Analysis[Date])</f>
        <v>43516</v>
      </c>
      <c r="B320" s="6" t="s">
        <v>351</v>
      </c>
      <c r="C320" s="7">
        <f>_xlfn.XLOOKUP(B320,SuperMarket_Analysis[Invoice ID],SuperMarket_Analysis[Quantity])</f>
        <v>7</v>
      </c>
      <c r="D320" s="6" t="str">
        <f>_xlfn.XLOOKUP('Input data'!B320,'SuperMarket Analysis'!A:A,'SuperMarket Analysis'!F:F)</f>
        <v>Health and beauty</v>
      </c>
      <c r="E320" s="6" t="str">
        <f>_xlfn.XLOOKUP(B320,'SuperMarket Analysis'!A:A,'SuperMarket Analysis'!M:M)</f>
        <v>Credit card</v>
      </c>
      <c r="F320" s="6">
        <f>0.05*Input_Table[[#This Row],[TOTAL C.O.G.S]]</f>
        <v>10.384500000000001</v>
      </c>
      <c r="G320" s="6" t="str">
        <f>_xlfn.XLOOKUP(Input_Table[[#This Row],[INVOICE ID]],'SuperMarket Analysis'!A:A,'SuperMarket Analysis'!B:B)</f>
        <v>Giza</v>
      </c>
      <c r="H320" s="6" t="str">
        <f>_xlfn.XLOOKUP(Input_Table[[#This Row],[INVOICE ID]],'SuperMarket Analysis'!A:A,'SuperMarket Analysis'!F:F)</f>
        <v>Health and beauty</v>
      </c>
      <c r="I320" s="12">
        <f>_xlfn.XLOOKUP(Input_Table[[#This Row],[INVOICE ID]],'SuperMarket Analysis'!A:A,'SuperMarket Analysis'!G:G)</f>
        <v>29.67</v>
      </c>
      <c r="J320" s="12">
        <f>_xlfn.XLOOKUP(Input_Table[[#This Row],[INVOICE ID]],'SuperMarket Analysis'!A:A,'SuperMarket Analysis'!N:N)</f>
        <v>207.69</v>
      </c>
      <c r="K320" s="12">
        <f>_xlfn.XLOOKUP(Input_Table[[#This Row],[INVOICE ID]],'SuperMarket Analysis'!A:A,'SuperMarket Analysis'!J:J)</f>
        <v>218.0745</v>
      </c>
      <c r="L320" s="6">
        <f>DAY(Input_Table[[#This Row],[DATE]])</f>
        <v>20</v>
      </c>
      <c r="M320" s="6" t="str">
        <f>TEXT(Input_Table[[#This Row],[DATE]],"mmmm")</f>
        <v>February</v>
      </c>
      <c r="N320" s="6">
        <f>YEAR(Input_Table[[#This Row],[DATE]])</f>
        <v>2019</v>
      </c>
    </row>
    <row r="321" spans="1:14" x14ac:dyDescent="0.3">
      <c r="A321" s="2">
        <f>_xlfn.XLOOKUP(B321,SuperMarket_Analysis[Invoice ID],SuperMarket_Analysis[Date])</f>
        <v>43479</v>
      </c>
      <c r="B321" s="6" t="s">
        <v>352</v>
      </c>
      <c r="C321" s="7">
        <f>_xlfn.XLOOKUP(B321,SuperMarket_Analysis[Invoice ID],SuperMarket_Analysis[Quantity])</f>
        <v>4</v>
      </c>
      <c r="D321" s="6" t="str">
        <f>_xlfn.XLOOKUP('Input data'!B321,'SuperMarket Analysis'!A:A,'SuperMarket Analysis'!F:F)</f>
        <v>Health and beauty</v>
      </c>
      <c r="E321" s="6" t="str">
        <f>_xlfn.XLOOKUP(B321,'SuperMarket Analysis'!A:A,'SuperMarket Analysis'!M:M)</f>
        <v>Ewallet</v>
      </c>
      <c r="F321" s="6">
        <f>0.05*Input_Table[[#This Row],[TOTAL C.O.G.S]]</f>
        <v>8.8140000000000001</v>
      </c>
      <c r="G321" s="6" t="str">
        <f>_xlfn.XLOOKUP(Input_Table[[#This Row],[INVOICE ID]],'SuperMarket Analysis'!A:A,'SuperMarket Analysis'!B:B)</f>
        <v>Giza</v>
      </c>
      <c r="H321" s="6" t="str">
        <f>_xlfn.XLOOKUP(Input_Table[[#This Row],[INVOICE ID]],'SuperMarket Analysis'!A:A,'SuperMarket Analysis'!F:F)</f>
        <v>Health and beauty</v>
      </c>
      <c r="I321" s="12">
        <f>_xlfn.XLOOKUP(Input_Table[[#This Row],[INVOICE ID]],'SuperMarket Analysis'!A:A,'SuperMarket Analysis'!G:G)</f>
        <v>44.07</v>
      </c>
      <c r="J321" s="12">
        <f>_xlfn.XLOOKUP(Input_Table[[#This Row],[INVOICE ID]],'SuperMarket Analysis'!A:A,'SuperMarket Analysis'!N:N)</f>
        <v>176.28</v>
      </c>
      <c r="K321" s="12">
        <f>_xlfn.XLOOKUP(Input_Table[[#This Row],[INVOICE ID]],'SuperMarket Analysis'!A:A,'SuperMarket Analysis'!J:J)</f>
        <v>185.09399999999999</v>
      </c>
      <c r="L321" s="6">
        <f>DAY(Input_Table[[#This Row],[DATE]])</f>
        <v>14</v>
      </c>
      <c r="M321" s="6" t="str">
        <f>TEXT(Input_Table[[#This Row],[DATE]],"mmmm")</f>
        <v>January</v>
      </c>
      <c r="N321" s="6">
        <f>YEAR(Input_Table[[#This Row],[DATE]])</f>
        <v>2019</v>
      </c>
    </row>
    <row r="322" spans="1:14" x14ac:dyDescent="0.3">
      <c r="A322" s="2">
        <f>_xlfn.XLOOKUP(B322,SuperMarket_Analysis[Invoice ID],SuperMarket_Analysis[Date])</f>
        <v>43550</v>
      </c>
      <c r="B322" s="6" t="s">
        <v>353</v>
      </c>
      <c r="C322" s="7">
        <f>_xlfn.XLOOKUP(B322,SuperMarket_Analysis[Invoice ID],SuperMarket_Analysis[Quantity])</f>
        <v>9</v>
      </c>
      <c r="D322" s="6" t="str">
        <f>_xlfn.XLOOKUP('Input data'!B322,'SuperMarket Analysis'!A:A,'SuperMarket Analysis'!F:F)</f>
        <v>Food and beverages</v>
      </c>
      <c r="E322" s="6" t="str">
        <f>_xlfn.XLOOKUP(B322,'SuperMarket Analysis'!A:A,'SuperMarket Analysis'!M:M)</f>
        <v>Cash</v>
      </c>
      <c r="F322" s="6">
        <f>0.05*Input_Table[[#This Row],[TOTAL C.O.G.S]]</f>
        <v>10.3185</v>
      </c>
      <c r="G322" s="6" t="str">
        <f>_xlfn.XLOOKUP(Input_Table[[#This Row],[INVOICE ID]],'SuperMarket Analysis'!A:A,'SuperMarket Analysis'!B:B)</f>
        <v>Giza</v>
      </c>
      <c r="H322" s="6" t="str">
        <f>_xlfn.XLOOKUP(Input_Table[[#This Row],[INVOICE ID]],'SuperMarket Analysis'!A:A,'SuperMarket Analysis'!F:F)</f>
        <v>Food and beverages</v>
      </c>
      <c r="I322" s="12">
        <f>_xlfn.XLOOKUP(Input_Table[[#This Row],[INVOICE ID]],'SuperMarket Analysis'!A:A,'SuperMarket Analysis'!G:G)</f>
        <v>22.93</v>
      </c>
      <c r="J322" s="12">
        <f>_xlfn.XLOOKUP(Input_Table[[#This Row],[INVOICE ID]],'SuperMarket Analysis'!A:A,'SuperMarket Analysis'!N:N)</f>
        <v>206.37</v>
      </c>
      <c r="K322" s="12">
        <f>_xlfn.XLOOKUP(Input_Table[[#This Row],[INVOICE ID]],'SuperMarket Analysis'!A:A,'SuperMarket Analysis'!J:J)</f>
        <v>216.6885</v>
      </c>
      <c r="L322" s="6">
        <f>DAY(Input_Table[[#This Row],[DATE]])</f>
        <v>26</v>
      </c>
      <c r="M322" s="6" t="str">
        <f>TEXT(Input_Table[[#This Row],[DATE]],"mmmm")</f>
        <v>March</v>
      </c>
      <c r="N322" s="6">
        <f>YEAR(Input_Table[[#This Row],[DATE]])</f>
        <v>2019</v>
      </c>
    </row>
    <row r="323" spans="1:14" x14ac:dyDescent="0.3">
      <c r="A323" s="2">
        <f>_xlfn.XLOOKUP(B323,SuperMarket_Analysis[Invoice ID],SuperMarket_Analysis[Date])</f>
        <v>43509</v>
      </c>
      <c r="B323" s="6" t="s">
        <v>354</v>
      </c>
      <c r="C323" s="7">
        <f>_xlfn.XLOOKUP(B323,SuperMarket_Analysis[Invoice ID],SuperMarket_Analysis[Quantity])</f>
        <v>1</v>
      </c>
      <c r="D323" s="6" t="str">
        <f>_xlfn.XLOOKUP('Input data'!B323,'SuperMarket Analysis'!A:A,'SuperMarket Analysis'!F:F)</f>
        <v>Health and beauty</v>
      </c>
      <c r="E323" s="6" t="str">
        <f>_xlfn.XLOOKUP(B323,'SuperMarket Analysis'!A:A,'SuperMarket Analysis'!M:M)</f>
        <v>Cash</v>
      </c>
      <c r="F323" s="6">
        <f>0.05*Input_Table[[#This Row],[TOTAL C.O.G.S]]</f>
        <v>1.9710000000000001</v>
      </c>
      <c r="G323" s="6" t="str">
        <f>_xlfn.XLOOKUP(Input_Table[[#This Row],[INVOICE ID]],'SuperMarket Analysis'!A:A,'SuperMarket Analysis'!B:B)</f>
        <v>Giza</v>
      </c>
      <c r="H323" s="6" t="str">
        <f>_xlfn.XLOOKUP(Input_Table[[#This Row],[INVOICE ID]],'SuperMarket Analysis'!A:A,'SuperMarket Analysis'!F:F)</f>
        <v>Health and beauty</v>
      </c>
      <c r="I323" s="12">
        <f>_xlfn.XLOOKUP(Input_Table[[#This Row],[INVOICE ID]],'SuperMarket Analysis'!A:A,'SuperMarket Analysis'!G:G)</f>
        <v>39.42</v>
      </c>
      <c r="J323" s="12">
        <f>_xlfn.XLOOKUP(Input_Table[[#This Row],[INVOICE ID]],'SuperMarket Analysis'!A:A,'SuperMarket Analysis'!N:N)</f>
        <v>39.42</v>
      </c>
      <c r="K323" s="12">
        <f>_xlfn.XLOOKUP(Input_Table[[#This Row],[INVOICE ID]],'SuperMarket Analysis'!A:A,'SuperMarket Analysis'!J:J)</f>
        <v>41.390999999999998</v>
      </c>
      <c r="L323" s="6">
        <f>DAY(Input_Table[[#This Row],[DATE]])</f>
        <v>13</v>
      </c>
      <c r="M323" s="6" t="str">
        <f>TEXT(Input_Table[[#This Row],[DATE]],"mmmm")</f>
        <v>February</v>
      </c>
      <c r="N323" s="6">
        <f>YEAR(Input_Table[[#This Row],[DATE]])</f>
        <v>2019</v>
      </c>
    </row>
    <row r="324" spans="1:14" x14ac:dyDescent="0.3">
      <c r="A324" s="2">
        <f>_xlfn.XLOOKUP(B324,SuperMarket_Analysis[Invoice ID],SuperMarket_Analysis[Date])</f>
        <v>43479</v>
      </c>
      <c r="B324" s="6" t="s">
        <v>355</v>
      </c>
      <c r="C324" s="7">
        <f>_xlfn.XLOOKUP(B324,SuperMarket_Analysis[Invoice ID],SuperMarket_Analysis[Quantity])</f>
        <v>6</v>
      </c>
      <c r="D324" s="6" t="str">
        <f>_xlfn.XLOOKUP('Input data'!B324,'SuperMarket Analysis'!A:A,'SuperMarket Analysis'!F:F)</f>
        <v>Health and beauty</v>
      </c>
      <c r="E324" s="6" t="str">
        <f>_xlfn.XLOOKUP(B324,'SuperMarket Analysis'!A:A,'SuperMarket Analysis'!M:M)</f>
        <v>Ewallet</v>
      </c>
      <c r="F324" s="6">
        <f>0.05*Input_Table[[#This Row],[TOTAL C.O.G.S]]</f>
        <v>4.5780000000000003</v>
      </c>
      <c r="G324" s="6" t="str">
        <f>_xlfn.XLOOKUP(Input_Table[[#This Row],[INVOICE ID]],'SuperMarket Analysis'!A:A,'SuperMarket Analysis'!B:B)</f>
        <v>Alex</v>
      </c>
      <c r="H324" s="6" t="str">
        <f>_xlfn.XLOOKUP(Input_Table[[#This Row],[INVOICE ID]],'SuperMarket Analysis'!A:A,'SuperMarket Analysis'!F:F)</f>
        <v>Health and beauty</v>
      </c>
      <c r="I324" s="12">
        <f>_xlfn.XLOOKUP(Input_Table[[#This Row],[INVOICE ID]],'SuperMarket Analysis'!A:A,'SuperMarket Analysis'!G:G)</f>
        <v>15.26</v>
      </c>
      <c r="J324" s="12">
        <f>_xlfn.XLOOKUP(Input_Table[[#This Row],[INVOICE ID]],'SuperMarket Analysis'!A:A,'SuperMarket Analysis'!N:N)</f>
        <v>91.56</v>
      </c>
      <c r="K324" s="12">
        <f>_xlfn.XLOOKUP(Input_Table[[#This Row],[INVOICE ID]],'SuperMarket Analysis'!A:A,'SuperMarket Analysis'!J:J)</f>
        <v>96.138000000000005</v>
      </c>
      <c r="L324" s="6">
        <f>DAY(Input_Table[[#This Row],[DATE]])</f>
        <v>14</v>
      </c>
      <c r="M324" s="6" t="str">
        <f>TEXT(Input_Table[[#This Row],[DATE]],"mmmm")</f>
        <v>January</v>
      </c>
      <c r="N324" s="6">
        <f>YEAR(Input_Table[[#This Row],[DATE]])</f>
        <v>2019</v>
      </c>
    </row>
    <row r="325" spans="1:14" x14ac:dyDescent="0.3">
      <c r="A325" s="2">
        <f>_xlfn.XLOOKUP(B325,SuperMarket_Analysis[Invoice ID],SuperMarket_Analysis[Date])</f>
        <v>43484</v>
      </c>
      <c r="B325" s="6" t="s">
        <v>356</v>
      </c>
      <c r="C325" s="7">
        <f>_xlfn.XLOOKUP(B325,SuperMarket_Analysis[Invoice ID],SuperMarket_Analysis[Quantity])</f>
        <v>5</v>
      </c>
      <c r="D325" s="6" t="str">
        <f>_xlfn.XLOOKUP('Input data'!B325,'SuperMarket Analysis'!A:A,'SuperMarket Analysis'!F:F)</f>
        <v>Fashion accessories</v>
      </c>
      <c r="E325" s="6" t="str">
        <f>_xlfn.XLOOKUP(B325,'SuperMarket Analysis'!A:A,'SuperMarket Analysis'!M:M)</f>
        <v>Cash</v>
      </c>
      <c r="F325" s="6">
        <f>0.05*Input_Table[[#This Row],[TOTAL C.O.G.S]]</f>
        <v>15.442500000000003</v>
      </c>
      <c r="G325" s="6" t="str">
        <f>_xlfn.XLOOKUP(Input_Table[[#This Row],[INVOICE ID]],'SuperMarket Analysis'!A:A,'SuperMarket Analysis'!B:B)</f>
        <v>Alex</v>
      </c>
      <c r="H325" s="6" t="str">
        <f>_xlfn.XLOOKUP(Input_Table[[#This Row],[INVOICE ID]],'SuperMarket Analysis'!A:A,'SuperMarket Analysis'!F:F)</f>
        <v>Fashion accessories</v>
      </c>
      <c r="I325" s="12">
        <f>_xlfn.XLOOKUP(Input_Table[[#This Row],[INVOICE ID]],'SuperMarket Analysis'!A:A,'SuperMarket Analysis'!G:G)</f>
        <v>61.77</v>
      </c>
      <c r="J325" s="12">
        <f>_xlfn.XLOOKUP(Input_Table[[#This Row],[INVOICE ID]],'SuperMarket Analysis'!A:A,'SuperMarket Analysis'!N:N)</f>
        <v>308.85000000000002</v>
      </c>
      <c r="K325" s="12">
        <f>_xlfn.XLOOKUP(Input_Table[[#This Row],[INVOICE ID]],'SuperMarket Analysis'!A:A,'SuperMarket Analysis'!J:J)</f>
        <v>324.29250000000002</v>
      </c>
      <c r="L325" s="6">
        <f>DAY(Input_Table[[#This Row],[DATE]])</f>
        <v>19</v>
      </c>
      <c r="M325" s="6" t="str">
        <f>TEXT(Input_Table[[#This Row],[DATE]],"mmmm")</f>
        <v>January</v>
      </c>
      <c r="N325" s="6">
        <f>YEAR(Input_Table[[#This Row],[DATE]])</f>
        <v>2019</v>
      </c>
    </row>
    <row r="326" spans="1:14" x14ac:dyDescent="0.3">
      <c r="A326" s="2">
        <f>_xlfn.XLOOKUP(B326,SuperMarket_Analysis[Invoice ID],SuperMarket_Analysis[Date])</f>
        <v>43551</v>
      </c>
      <c r="B326" s="6" t="s">
        <v>357</v>
      </c>
      <c r="C326" s="7">
        <f>_xlfn.XLOOKUP(B326,SuperMarket_Analysis[Invoice ID],SuperMarket_Analysis[Quantity])</f>
        <v>6</v>
      </c>
      <c r="D326" s="6" t="str">
        <f>_xlfn.XLOOKUP('Input data'!B326,'SuperMarket Analysis'!A:A,'SuperMarket Analysis'!F:F)</f>
        <v>Home and lifestyle</v>
      </c>
      <c r="E326" s="6" t="str">
        <f>_xlfn.XLOOKUP(B326,'SuperMarket Analysis'!A:A,'SuperMarket Analysis'!M:M)</f>
        <v>Credit card</v>
      </c>
      <c r="F326" s="6">
        <f>0.05*Input_Table[[#This Row],[TOTAL C.O.G.S]]</f>
        <v>6.4560000000000004</v>
      </c>
      <c r="G326" s="6" t="str">
        <f>_xlfn.XLOOKUP(Input_Table[[#This Row],[INVOICE ID]],'SuperMarket Analysis'!A:A,'SuperMarket Analysis'!B:B)</f>
        <v>Alex</v>
      </c>
      <c r="H326" s="6" t="str">
        <f>_xlfn.XLOOKUP(Input_Table[[#This Row],[INVOICE ID]],'SuperMarket Analysis'!A:A,'SuperMarket Analysis'!F:F)</f>
        <v>Home and lifestyle</v>
      </c>
      <c r="I326" s="12">
        <f>_xlfn.XLOOKUP(Input_Table[[#This Row],[INVOICE ID]],'SuperMarket Analysis'!A:A,'SuperMarket Analysis'!G:G)</f>
        <v>21.52</v>
      </c>
      <c r="J326" s="12">
        <f>_xlfn.XLOOKUP(Input_Table[[#This Row],[INVOICE ID]],'SuperMarket Analysis'!A:A,'SuperMarket Analysis'!N:N)</f>
        <v>129.12</v>
      </c>
      <c r="K326" s="12">
        <f>_xlfn.XLOOKUP(Input_Table[[#This Row],[INVOICE ID]],'SuperMarket Analysis'!A:A,'SuperMarket Analysis'!J:J)</f>
        <v>135.57599999999999</v>
      </c>
      <c r="L326" s="6">
        <f>DAY(Input_Table[[#This Row],[DATE]])</f>
        <v>27</v>
      </c>
      <c r="M326" s="6" t="str">
        <f>TEXT(Input_Table[[#This Row],[DATE]],"mmmm")</f>
        <v>March</v>
      </c>
      <c r="N326" s="6">
        <f>YEAR(Input_Table[[#This Row],[DATE]])</f>
        <v>2019</v>
      </c>
    </row>
    <row r="327" spans="1:14" x14ac:dyDescent="0.3">
      <c r="A327" s="2">
        <f>_xlfn.XLOOKUP(B327,SuperMarket_Analysis[Invoice ID],SuperMarket_Analysis[Date])</f>
        <v>43538</v>
      </c>
      <c r="B327" s="6" t="s">
        <v>358</v>
      </c>
      <c r="C327" s="7">
        <f>_xlfn.XLOOKUP(B327,SuperMarket_Analysis[Invoice ID],SuperMarket_Analysis[Quantity])</f>
        <v>4</v>
      </c>
      <c r="D327" s="6" t="str">
        <f>_xlfn.XLOOKUP('Input data'!B327,'SuperMarket Analysis'!A:A,'SuperMarket Analysis'!F:F)</f>
        <v>Sports and travel</v>
      </c>
      <c r="E327" s="6" t="str">
        <f>_xlfn.XLOOKUP(B327,'SuperMarket Analysis'!A:A,'SuperMarket Analysis'!M:M)</f>
        <v>Ewallet</v>
      </c>
      <c r="F327" s="6">
        <f>0.05*Input_Table[[#This Row],[TOTAL C.O.G.S]]</f>
        <v>19.548000000000002</v>
      </c>
      <c r="G327" s="6" t="str">
        <f>_xlfn.XLOOKUP(Input_Table[[#This Row],[INVOICE ID]],'SuperMarket Analysis'!A:A,'SuperMarket Analysis'!B:B)</f>
        <v>Cairo</v>
      </c>
      <c r="H327" s="6" t="str">
        <f>_xlfn.XLOOKUP(Input_Table[[#This Row],[INVOICE ID]],'SuperMarket Analysis'!A:A,'SuperMarket Analysis'!F:F)</f>
        <v>Sports and travel</v>
      </c>
      <c r="I327" s="12">
        <f>_xlfn.XLOOKUP(Input_Table[[#This Row],[INVOICE ID]],'SuperMarket Analysis'!A:A,'SuperMarket Analysis'!G:G)</f>
        <v>97.74</v>
      </c>
      <c r="J327" s="12">
        <f>_xlfn.XLOOKUP(Input_Table[[#This Row],[INVOICE ID]],'SuperMarket Analysis'!A:A,'SuperMarket Analysis'!N:N)</f>
        <v>390.96</v>
      </c>
      <c r="K327" s="12">
        <f>_xlfn.XLOOKUP(Input_Table[[#This Row],[INVOICE ID]],'SuperMarket Analysis'!A:A,'SuperMarket Analysis'!J:J)</f>
        <v>410.50799999999998</v>
      </c>
      <c r="L327" s="6">
        <f>DAY(Input_Table[[#This Row],[DATE]])</f>
        <v>14</v>
      </c>
      <c r="M327" s="6" t="str">
        <f>TEXT(Input_Table[[#This Row],[DATE]],"mmmm")</f>
        <v>March</v>
      </c>
      <c r="N327" s="6">
        <f>YEAR(Input_Table[[#This Row],[DATE]])</f>
        <v>2019</v>
      </c>
    </row>
    <row r="328" spans="1:14" x14ac:dyDescent="0.3">
      <c r="A328" s="2">
        <f>_xlfn.XLOOKUP(B328,SuperMarket_Analysis[Invoice ID],SuperMarket_Analysis[Date])</f>
        <v>43492</v>
      </c>
      <c r="B328" s="6" t="s">
        <v>359</v>
      </c>
      <c r="C328" s="7">
        <f>_xlfn.XLOOKUP(B328,SuperMarket_Analysis[Invoice ID],SuperMarket_Analysis[Quantity])</f>
        <v>5</v>
      </c>
      <c r="D328" s="6" t="str">
        <f>_xlfn.XLOOKUP('Input data'!B328,'SuperMarket Analysis'!A:A,'SuperMarket Analysis'!F:F)</f>
        <v>Food and beverages</v>
      </c>
      <c r="E328" s="6" t="str">
        <f>_xlfn.XLOOKUP(B328,'SuperMarket Analysis'!A:A,'SuperMarket Analysis'!M:M)</f>
        <v>Cash</v>
      </c>
      <c r="F328" s="6">
        <f>0.05*Input_Table[[#This Row],[TOTAL C.O.G.S]]</f>
        <v>24.945</v>
      </c>
      <c r="G328" s="6" t="str">
        <f>_xlfn.XLOOKUP(Input_Table[[#This Row],[INVOICE ID]],'SuperMarket Analysis'!A:A,'SuperMarket Analysis'!B:B)</f>
        <v>Alex</v>
      </c>
      <c r="H328" s="6" t="str">
        <f>_xlfn.XLOOKUP(Input_Table[[#This Row],[INVOICE ID]],'SuperMarket Analysis'!A:A,'SuperMarket Analysis'!F:F)</f>
        <v>Food and beverages</v>
      </c>
      <c r="I328" s="12">
        <f>_xlfn.XLOOKUP(Input_Table[[#This Row],[INVOICE ID]],'SuperMarket Analysis'!A:A,'SuperMarket Analysis'!G:G)</f>
        <v>99.78</v>
      </c>
      <c r="J328" s="12">
        <f>_xlfn.XLOOKUP(Input_Table[[#This Row],[INVOICE ID]],'SuperMarket Analysis'!A:A,'SuperMarket Analysis'!N:N)</f>
        <v>498.9</v>
      </c>
      <c r="K328" s="12">
        <f>_xlfn.XLOOKUP(Input_Table[[#This Row],[INVOICE ID]],'SuperMarket Analysis'!A:A,'SuperMarket Analysis'!J:J)</f>
        <v>523.84500000000003</v>
      </c>
      <c r="L328" s="6">
        <f>DAY(Input_Table[[#This Row],[DATE]])</f>
        <v>27</v>
      </c>
      <c r="M328" s="6" t="str">
        <f>TEXT(Input_Table[[#This Row],[DATE]],"mmmm")</f>
        <v>January</v>
      </c>
      <c r="N328" s="6">
        <f>YEAR(Input_Table[[#This Row],[DATE]])</f>
        <v>2019</v>
      </c>
    </row>
    <row r="329" spans="1:14" x14ac:dyDescent="0.3">
      <c r="A329" s="2">
        <f>_xlfn.XLOOKUP(B329,SuperMarket_Analysis[Invoice ID],SuperMarket_Analysis[Date])</f>
        <v>43539</v>
      </c>
      <c r="B329" s="6" t="s">
        <v>360</v>
      </c>
      <c r="C329" s="7">
        <f>_xlfn.XLOOKUP(B329,SuperMarket_Analysis[Invoice ID],SuperMarket_Analysis[Quantity])</f>
        <v>4</v>
      </c>
      <c r="D329" s="6" t="str">
        <f>_xlfn.XLOOKUP('Input data'!B329,'SuperMarket Analysis'!A:A,'SuperMarket Analysis'!F:F)</f>
        <v>Food and beverages</v>
      </c>
      <c r="E329" s="6" t="str">
        <f>_xlfn.XLOOKUP(B329,'SuperMarket Analysis'!A:A,'SuperMarket Analysis'!M:M)</f>
        <v>Cash</v>
      </c>
      <c r="F329" s="6">
        <f>0.05*Input_Table[[#This Row],[TOTAL C.O.G.S]]</f>
        <v>18.852</v>
      </c>
      <c r="G329" s="6" t="str">
        <f>_xlfn.XLOOKUP(Input_Table[[#This Row],[INVOICE ID]],'SuperMarket Analysis'!A:A,'SuperMarket Analysis'!B:B)</f>
        <v>Giza</v>
      </c>
      <c r="H329" s="6" t="str">
        <f>_xlfn.XLOOKUP(Input_Table[[#This Row],[INVOICE ID]],'SuperMarket Analysis'!A:A,'SuperMarket Analysis'!F:F)</f>
        <v>Food and beverages</v>
      </c>
      <c r="I329" s="12">
        <f>_xlfn.XLOOKUP(Input_Table[[#This Row],[INVOICE ID]],'SuperMarket Analysis'!A:A,'SuperMarket Analysis'!G:G)</f>
        <v>94.26</v>
      </c>
      <c r="J329" s="12">
        <f>_xlfn.XLOOKUP(Input_Table[[#This Row],[INVOICE ID]],'SuperMarket Analysis'!A:A,'SuperMarket Analysis'!N:N)</f>
        <v>377.04</v>
      </c>
      <c r="K329" s="12">
        <f>_xlfn.XLOOKUP(Input_Table[[#This Row],[INVOICE ID]],'SuperMarket Analysis'!A:A,'SuperMarket Analysis'!J:J)</f>
        <v>395.892</v>
      </c>
      <c r="L329" s="6">
        <f>DAY(Input_Table[[#This Row],[DATE]])</f>
        <v>15</v>
      </c>
      <c r="M329" s="6" t="str">
        <f>TEXT(Input_Table[[#This Row],[DATE]],"mmmm")</f>
        <v>March</v>
      </c>
      <c r="N329" s="6">
        <f>YEAR(Input_Table[[#This Row],[DATE]])</f>
        <v>2019</v>
      </c>
    </row>
    <row r="330" spans="1:14" x14ac:dyDescent="0.3">
      <c r="A330" s="2">
        <f>_xlfn.XLOOKUP(B330,SuperMarket_Analysis[Invoice ID],SuperMarket_Analysis[Date])</f>
        <v>43511</v>
      </c>
      <c r="B330" s="6" t="s">
        <v>361</v>
      </c>
      <c r="C330" s="7">
        <f>_xlfn.XLOOKUP(B330,SuperMarket_Analysis[Invoice ID],SuperMarket_Analysis[Quantity])</f>
        <v>4</v>
      </c>
      <c r="D330" s="6" t="str">
        <f>_xlfn.XLOOKUP('Input data'!B330,'SuperMarket Analysis'!A:A,'SuperMarket Analysis'!F:F)</f>
        <v>Health and beauty</v>
      </c>
      <c r="E330" s="6" t="str">
        <f>_xlfn.XLOOKUP(B330,'SuperMarket Analysis'!A:A,'SuperMarket Analysis'!M:M)</f>
        <v>Credit card</v>
      </c>
      <c r="F330" s="6">
        <f>0.05*Input_Table[[#This Row],[TOTAL C.O.G.S]]</f>
        <v>10.226000000000001</v>
      </c>
      <c r="G330" s="6" t="str">
        <f>_xlfn.XLOOKUP(Input_Table[[#This Row],[INVOICE ID]],'SuperMarket Analysis'!A:A,'SuperMarket Analysis'!B:B)</f>
        <v>Cairo</v>
      </c>
      <c r="H330" s="6" t="str">
        <f>_xlfn.XLOOKUP(Input_Table[[#This Row],[INVOICE ID]],'SuperMarket Analysis'!A:A,'SuperMarket Analysis'!F:F)</f>
        <v>Health and beauty</v>
      </c>
      <c r="I330" s="12">
        <f>_xlfn.XLOOKUP(Input_Table[[#This Row],[INVOICE ID]],'SuperMarket Analysis'!A:A,'SuperMarket Analysis'!G:G)</f>
        <v>51.13</v>
      </c>
      <c r="J330" s="12">
        <f>_xlfn.XLOOKUP(Input_Table[[#This Row],[INVOICE ID]],'SuperMarket Analysis'!A:A,'SuperMarket Analysis'!N:N)</f>
        <v>204.52</v>
      </c>
      <c r="K330" s="12">
        <f>_xlfn.XLOOKUP(Input_Table[[#This Row],[INVOICE ID]],'SuperMarket Analysis'!A:A,'SuperMarket Analysis'!J:J)</f>
        <v>214.74600000000001</v>
      </c>
      <c r="L330" s="6">
        <f>DAY(Input_Table[[#This Row],[DATE]])</f>
        <v>15</v>
      </c>
      <c r="M330" s="6" t="str">
        <f>TEXT(Input_Table[[#This Row],[DATE]],"mmmm")</f>
        <v>February</v>
      </c>
      <c r="N330" s="6">
        <f>YEAR(Input_Table[[#This Row],[DATE]])</f>
        <v>2019</v>
      </c>
    </row>
    <row r="331" spans="1:14" x14ac:dyDescent="0.3">
      <c r="A331" s="2">
        <f>_xlfn.XLOOKUP(B331,SuperMarket_Analysis[Invoice ID],SuperMarket_Analysis[Date])</f>
        <v>43513</v>
      </c>
      <c r="B331" s="6" t="s">
        <v>362</v>
      </c>
      <c r="C331" s="7">
        <f>_xlfn.XLOOKUP(B331,SuperMarket_Analysis[Invoice ID],SuperMarket_Analysis[Quantity])</f>
        <v>4</v>
      </c>
      <c r="D331" s="6" t="str">
        <f>_xlfn.XLOOKUP('Input data'!B331,'SuperMarket Analysis'!A:A,'SuperMarket Analysis'!F:F)</f>
        <v>Electronic accessories</v>
      </c>
      <c r="E331" s="6" t="str">
        <f>_xlfn.XLOOKUP(B331,'SuperMarket Analysis'!A:A,'SuperMarket Analysis'!M:M)</f>
        <v>Cash</v>
      </c>
      <c r="F331" s="6">
        <f>0.05*Input_Table[[#This Row],[TOTAL C.O.G.S]]</f>
        <v>7.2720000000000002</v>
      </c>
      <c r="G331" s="6" t="str">
        <f>_xlfn.XLOOKUP(Input_Table[[#This Row],[INVOICE ID]],'SuperMarket Analysis'!A:A,'SuperMarket Analysis'!B:B)</f>
        <v>Alex</v>
      </c>
      <c r="H331" s="6" t="str">
        <f>_xlfn.XLOOKUP(Input_Table[[#This Row],[INVOICE ID]],'SuperMarket Analysis'!A:A,'SuperMarket Analysis'!F:F)</f>
        <v>Electronic accessories</v>
      </c>
      <c r="I331" s="12">
        <f>_xlfn.XLOOKUP(Input_Table[[#This Row],[INVOICE ID]],'SuperMarket Analysis'!A:A,'SuperMarket Analysis'!G:G)</f>
        <v>36.36</v>
      </c>
      <c r="J331" s="12">
        <f>_xlfn.XLOOKUP(Input_Table[[#This Row],[INVOICE ID]],'SuperMarket Analysis'!A:A,'SuperMarket Analysis'!N:N)</f>
        <v>145.44</v>
      </c>
      <c r="K331" s="12">
        <f>_xlfn.XLOOKUP(Input_Table[[#This Row],[INVOICE ID]],'SuperMarket Analysis'!A:A,'SuperMarket Analysis'!J:J)</f>
        <v>152.71199999999999</v>
      </c>
      <c r="L331" s="6">
        <f>DAY(Input_Table[[#This Row],[DATE]])</f>
        <v>17</v>
      </c>
      <c r="M331" s="6" t="str">
        <f>TEXT(Input_Table[[#This Row],[DATE]],"mmmm")</f>
        <v>February</v>
      </c>
      <c r="N331" s="6">
        <f>YEAR(Input_Table[[#This Row],[DATE]])</f>
        <v>2019</v>
      </c>
    </row>
    <row r="332" spans="1:14" x14ac:dyDescent="0.3">
      <c r="A332" s="2">
        <f>_xlfn.XLOOKUP(B332,SuperMarket_Analysis[Invoice ID],SuperMarket_Analysis[Date])</f>
        <v>43491</v>
      </c>
      <c r="B332" s="6" t="s">
        <v>363</v>
      </c>
      <c r="C332" s="7">
        <f>_xlfn.XLOOKUP(B332,SuperMarket_Analysis[Invoice ID],SuperMarket_Analysis[Quantity])</f>
        <v>9</v>
      </c>
      <c r="D332" s="6" t="str">
        <f>_xlfn.XLOOKUP('Input data'!B332,'SuperMarket Analysis'!A:A,'SuperMarket Analysis'!F:F)</f>
        <v>Home and lifestyle</v>
      </c>
      <c r="E332" s="6" t="str">
        <f>_xlfn.XLOOKUP(B332,'SuperMarket Analysis'!A:A,'SuperMarket Analysis'!M:M)</f>
        <v>Cash</v>
      </c>
      <c r="F332" s="6">
        <f>0.05*Input_Table[[#This Row],[TOTAL C.O.G.S]]</f>
        <v>9.9090000000000007</v>
      </c>
      <c r="G332" s="6" t="str">
        <f>_xlfn.XLOOKUP(Input_Table[[#This Row],[INVOICE ID]],'SuperMarket Analysis'!A:A,'SuperMarket Analysis'!B:B)</f>
        <v>Cairo</v>
      </c>
      <c r="H332" s="6" t="str">
        <f>_xlfn.XLOOKUP(Input_Table[[#This Row],[INVOICE ID]],'SuperMarket Analysis'!A:A,'SuperMarket Analysis'!F:F)</f>
        <v>Home and lifestyle</v>
      </c>
      <c r="I332" s="12">
        <f>_xlfn.XLOOKUP(Input_Table[[#This Row],[INVOICE ID]],'SuperMarket Analysis'!A:A,'SuperMarket Analysis'!G:G)</f>
        <v>22.02</v>
      </c>
      <c r="J332" s="12">
        <f>_xlfn.XLOOKUP(Input_Table[[#This Row],[INVOICE ID]],'SuperMarket Analysis'!A:A,'SuperMarket Analysis'!N:N)</f>
        <v>198.18</v>
      </c>
      <c r="K332" s="12">
        <f>_xlfn.XLOOKUP(Input_Table[[#This Row],[INVOICE ID]],'SuperMarket Analysis'!A:A,'SuperMarket Analysis'!J:J)</f>
        <v>208.089</v>
      </c>
      <c r="L332" s="6">
        <f>DAY(Input_Table[[#This Row],[DATE]])</f>
        <v>26</v>
      </c>
      <c r="M332" s="6" t="str">
        <f>TEXT(Input_Table[[#This Row],[DATE]],"mmmm")</f>
        <v>January</v>
      </c>
      <c r="N332" s="6">
        <f>YEAR(Input_Table[[#This Row],[DATE]])</f>
        <v>2019</v>
      </c>
    </row>
    <row r="333" spans="1:14" x14ac:dyDescent="0.3">
      <c r="A333" s="2">
        <f>_xlfn.XLOOKUP(B333,SuperMarket_Analysis[Invoice ID],SuperMarket_Analysis[Date])</f>
        <v>43548</v>
      </c>
      <c r="B333" s="6" t="s">
        <v>364</v>
      </c>
      <c r="C333" s="7">
        <f>_xlfn.XLOOKUP(B333,SuperMarket_Analysis[Invoice ID],SuperMarket_Analysis[Quantity])</f>
        <v>3</v>
      </c>
      <c r="D333" s="6" t="str">
        <f>_xlfn.XLOOKUP('Input data'!B333,'SuperMarket Analysis'!A:A,'SuperMarket Analysis'!F:F)</f>
        <v>Food and beverages</v>
      </c>
      <c r="E333" s="6" t="str">
        <f>_xlfn.XLOOKUP(B333,'SuperMarket Analysis'!A:A,'SuperMarket Analysis'!M:M)</f>
        <v>Credit card</v>
      </c>
      <c r="F333" s="6">
        <f>0.05*Input_Table[[#This Row],[TOTAL C.O.G.S]]</f>
        <v>4.9350000000000005</v>
      </c>
      <c r="G333" s="6" t="str">
        <f>_xlfn.XLOOKUP(Input_Table[[#This Row],[INVOICE ID]],'SuperMarket Analysis'!A:A,'SuperMarket Analysis'!B:B)</f>
        <v>Alex</v>
      </c>
      <c r="H333" s="6" t="str">
        <f>_xlfn.XLOOKUP(Input_Table[[#This Row],[INVOICE ID]],'SuperMarket Analysis'!A:A,'SuperMarket Analysis'!F:F)</f>
        <v>Food and beverages</v>
      </c>
      <c r="I333" s="12">
        <f>_xlfn.XLOOKUP(Input_Table[[#This Row],[INVOICE ID]],'SuperMarket Analysis'!A:A,'SuperMarket Analysis'!G:G)</f>
        <v>32.9</v>
      </c>
      <c r="J333" s="12">
        <f>_xlfn.XLOOKUP(Input_Table[[#This Row],[INVOICE ID]],'SuperMarket Analysis'!A:A,'SuperMarket Analysis'!N:N)</f>
        <v>98.7</v>
      </c>
      <c r="K333" s="12">
        <f>_xlfn.XLOOKUP(Input_Table[[#This Row],[INVOICE ID]],'SuperMarket Analysis'!A:A,'SuperMarket Analysis'!J:J)</f>
        <v>103.63500000000001</v>
      </c>
      <c r="L333" s="6">
        <f>DAY(Input_Table[[#This Row],[DATE]])</f>
        <v>24</v>
      </c>
      <c r="M333" s="6" t="str">
        <f>TEXT(Input_Table[[#This Row],[DATE]],"mmmm")</f>
        <v>March</v>
      </c>
      <c r="N333" s="6">
        <f>YEAR(Input_Table[[#This Row],[DATE]])</f>
        <v>2019</v>
      </c>
    </row>
    <row r="334" spans="1:14" x14ac:dyDescent="0.3">
      <c r="A334" s="2">
        <f>_xlfn.XLOOKUP(B334,SuperMarket_Analysis[Invoice ID],SuperMarket_Analysis[Date])</f>
        <v>43488</v>
      </c>
      <c r="B334" s="6" t="s">
        <v>365</v>
      </c>
      <c r="C334" s="7">
        <f>_xlfn.XLOOKUP(B334,SuperMarket_Analysis[Invoice ID],SuperMarket_Analysis[Quantity])</f>
        <v>5</v>
      </c>
      <c r="D334" s="6" t="str">
        <f>_xlfn.XLOOKUP('Input data'!B334,'SuperMarket Analysis'!A:A,'SuperMarket Analysis'!F:F)</f>
        <v>Fashion accessories</v>
      </c>
      <c r="E334" s="6" t="str">
        <f>_xlfn.XLOOKUP(B334,'SuperMarket Analysis'!A:A,'SuperMarket Analysis'!M:M)</f>
        <v>Cash</v>
      </c>
      <c r="F334" s="6">
        <f>0.05*Input_Table[[#This Row],[TOTAL C.O.G.S]]</f>
        <v>19.255000000000003</v>
      </c>
      <c r="G334" s="6" t="str">
        <f>_xlfn.XLOOKUP(Input_Table[[#This Row],[INVOICE ID]],'SuperMarket Analysis'!A:A,'SuperMarket Analysis'!B:B)</f>
        <v>Alex</v>
      </c>
      <c r="H334" s="6" t="str">
        <f>_xlfn.XLOOKUP(Input_Table[[#This Row],[INVOICE ID]],'SuperMarket Analysis'!A:A,'SuperMarket Analysis'!F:F)</f>
        <v>Fashion accessories</v>
      </c>
      <c r="I334" s="12">
        <f>_xlfn.XLOOKUP(Input_Table[[#This Row],[INVOICE ID]],'SuperMarket Analysis'!A:A,'SuperMarket Analysis'!G:G)</f>
        <v>77.02</v>
      </c>
      <c r="J334" s="12">
        <f>_xlfn.XLOOKUP(Input_Table[[#This Row],[INVOICE ID]],'SuperMarket Analysis'!A:A,'SuperMarket Analysis'!N:N)</f>
        <v>385.1</v>
      </c>
      <c r="K334" s="12">
        <f>_xlfn.XLOOKUP(Input_Table[[#This Row],[INVOICE ID]],'SuperMarket Analysis'!A:A,'SuperMarket Analysis'!J:J)</f>
        <v>404.35500000000002</v>
      </c>
      <c r="L334" s="6">
        <f>DAY(Input_Table[[#This Row],[DATE]])</f>
        <v>23</v>
      </c>
      <c r="M334" s="6" t="str">
        <f>TEXT(Input_Table[[#This Row],[DATE]],"mmmm")</f>
        <v>January</v>
      </c>
      <c r="N334" s="6">
        <f>YEAR(Input_Table[[#This Row],[DATE]])</f>
        <v>2019</v>
      </c>
    </row>
    <row r="335" spans="1:14" x14ac:dyDescent="0.3">
      <c r="A335" s="2">
        <f>_xlfn.XLOOKUP(B335,SuperMarket_Analysis[Invoice ID],SuperMarket_Analysis[Date])</f>
        <v>43491</v>
      </c>
      <c r="B335" s="6" t="s">
        <v>366</v>
      </c>
      <c r="C335" s="7">
        <f>_xlfn.XLOOKUP(B335,SuperMarket_Analysis[Invoice ID],SuperMarket_Analysis[Quantity])</f>
        <v>2</v>
      </c>
      <c r="D335" s="6" t="str">
        <f>_xlfn.XLOOKUP('Input data'!B335,'SuperMarket Analysis'!A:A,'SuperMarket Analysis'!F:F)</f>
        <v>Food and beverages</v>
      </c>
      <c r="E335" s="6" t="str">
        <f>_xlfn.XLOOKUP(B335,'SuperMarket Analysis'!A:A,'SuperMarket Analysis'!M:M)</f>
        <v>Credit card</v>
      </c>
      <c r="F335" s="6">
        <f>0.05*Input_Table[[#This Row],[TOTAL C.O.G.S]]</f>
        <v>2.3480000000000003</v>
      </c>
      <c r="G335" s="6" t="str">
        <f>_xlfn.XLOOKUP(Input_Table[[#This Row],[INVOICE ID]],'SuperMarket Analysis'!A:A,'SuperMarket Analysis'!B:B)</f>
        <v>Alex</v>
      </c>
      <c r="H335" s="6" t="str">
        <f>_xlfn.XLOOKUP(Input_Table[[#This Row],[INVOICE ID]],'SuperMarket Analysis'!A:A,'SuperMarket Analysis'!F:F)</f>
        <v>Food and beverages</v>
      </c>
      <c r="I335" s="12">
        <f>_xlfn.XLOOKUP(Input_Table[[#This Row],[INVOICE ID]],'SuperMarket Analysis'!A:A,'SuperMarket Analysis'!G:G)</f>
        <v>23.48</v>
      </c>
      <c r="J335" s="12">
        <f>_xlfn.XLOOKUP(Input_Table[[#This Row],[INVOICE ID]],'SuperMarket Analysis'!A:A,'SuperMarket Analysis'!N:N)</f>
        <v>46.96</v>
      </c>
      <c r="K335" s="12">
        <f>_xlfn.XLOOKUP(Input_Table[[#This Row],[INVOICE ID]],'SuperMarket Analysis'!A:A,'SuperMarket Analysis'!J:J)</f>
        <v>49.308</v>
      </c>
      <c r="L335" s="6">
        <f>DAY(Input_Table[[#This Row],[DATE]])</f>
        <v>26</v>
      </c>
      <c r="M335" s="6" t="str">
        <f>TEXT(Input_Table[[#This Row],[DATE]],"mmmm")</f>
        <v>January</v>
      </c>
      <c r="N335" s="6">
        <f>YEAR(Input_Table[[#This Row],[DATE]])</f>
        <v>2019</v>
      </c>
    </row>
    <row r="336" spans="1:14" x14ac:dyDescent="0.3">
      <c r="A336" s="2">
        <f>_xlfn.XLOOKUP(B336,SuperMarket_Analysis[Invoice ID],SuperMarket_Analysis[Date])</f>
        <v>43538</v>
      </c>
      <c r="B336" s="6" t="s">
        <v>367</v>
      </c>
      <c r="C336" s="7">
        <f>_xlfn.XLOOKUP(B336,SuperMarket_Analysis[Invoice ID],SuperMarket_Analysis[Quantity])</f>
        <v>5</v>
      </c>
      <c r="D336" s="6" t="str">
        <f>_xlfn.XLOOKUP('Input data'!B336,'SuperMarket Analysis'!A:A,'SuperMarket Analysis'!F:F)</f>
        <v>Sports and travel</v>
      </c>
      <c r="E336" s="6" t="str">
        <f>_xlfn.XLOOKUP(B336,'SuperMarket Analysis'!A:A,'SuperMarket Analysis'!M:M)</f>
        <v>Ewallet</v>
      </c>
      <c r="F336" s="6">
        <f>0.05*Input_Table[[#This Row],[TOTAL C.O.G.S]]</f>
        <v>3.6750000000000003</v>
      </c>
      <c r="G336" s="6" t="str">
        <f>_xlfn.XLOOKUP(Input_Table[[#This Row],[INVOICE ID]],'SuperMarket Analysis'!A:A,'SuperMarket Analysis'!B:B)</f>
        <v>Giza</v>
      </c>
      <c r="H336" s="6" t="str">
        <f>_xlfn.XLOOKUP(Input_Table[[#This Row],[INVOICE ID]],'SuperMarket Analysis'!A:A,'SuperMarket Analysis'!F:F)</f>
        <v>Sports and travel</v>
      </c>
      <c r="I336" s="12">
        <f>_xlfn.XLOOKUP(Input_Table[[#This Row],[INVOICE ID]],'SuperMarket Analysis'!A:A,'SuperMarket Analysis'!G:G)</f>
        <v>14.7</v>
      </c>
      <c r="J336" s="12">
        <f>_xlfn.XLOOKUP(Input_Table[[#This Row],[INVOICE ID]],'SuperMarket Analysis'!A:A,'SuperMarket Analysis'!N:N)</f>
        <v>73.5</v>
      </c>
      <c r="K336" s="12">
        <f>_xlfn.XLOOKUP(Input_Table[[#This Row],[INVOICE ID]],'SuperMarket Analysis'!A:A,'SuperMarket Analysis'!J:J)</f>
        <v>77.174999999999997</v>
      </c>
      <c r="L336" s="6">
        <f>DAY(Input_Table[[#This Row],[DATE]])</f>
        <v>14</v>
      </c>
      <c r="M336" s="6" t="str">
        <f>TEXT(Input_Table[[#This Row],[DATE]],"mmmm")</f>
        <v>March</v>
      </c>
      <c r="N336" s="6">
        <f>YEAR(Input_Table[[#This Row],[DATE]])</f>
        <v>2019</v>
      </c>
    </row>
    <row r="337" spans="1:14" x14ac:dyDescent="0.3">
      <c r="A337" s="2">
        <f>_xlfn.XLOOKUP(B337,SuperMarket_Analysis[Invoice ID],SuperMarket_Analysis[Date])</f>
        <v>43541</v>
      </c>
      <c r="B337" s="6" t="s">
        <v>368</v>
      </c>
      <c r="C337" s="7">
        <f>_xlfn.XLOOKUP(B337,SuperMarket_Analysis[Invoice ID],SuperMarket_Analysis[Quantity])</f>
        <v>5</v>
      </c>
      <c r="D337" s="6" t="str">
        <f>_xlfn.XLOOKUP('Input data'!B337,'SuperMarket Analysis'!A:A,'SuperMarket Analysis'!F:F)</f>
        <v>Electronic accessories</v>
      </c>
      <c r="E337" s="6" t="str">
        <f>_xlfn.XLOOKUP(B337,'SuperMarket Analysis'!A:A,'SuperMarket Analysis'!M:M)</f>
        <v>Credit card</v>
      </c>
      <c r="F337" s="6">
        <f>0.05*Input_Table[[#This Row],[TOTAL C.O.G.S]]</f>
        <v>7.1125000000000007</v>
      </c>
      <c r="G337" s="6" t="str">
        <f>_xlfn.XLOOKUP(Input_Table[[#This Row],[INVOICE ID]],'SuperMarket Analysis'!A:A,'SuperMarket Analysis'!B:B)</f>
        <v>Alex</v>
      </c>
      <c r="H337" s="6" t="str">
        <f>_xlfn.XLOOKUP(Input_Table[[#This Row],[INVOICE ID]],'SuperMarket Analysis'!A:A,'SuperMarket Analysis'!F:F)</f>
        <v>Electronic accessories</v>
      </c>
      <c r="I337" s="12">
        <f>_xlfn.XLOOKUP(Input_Table[[#This Row],[INVOICE ID]],'SuperMarket Analysis'!A:A,'SuperMarket Analysis'!G:G)</f>
        <v>28.45</v>
      </c>
      <c r="J337" s="12">
        <f>_xlfn.XLOOKUP(Input_Table[[#This Row],[INVOICE ID]],'SuperMarket Analysis'!A:A,'SuperMarket Analysis'!N:N)</f>
        <v>142.25</v>
      </c>
      <c r="K337" s="12">
        <f>_xlfn.XLOOKUP(Input_Table[[#This Row],[INVOICE ID]],'SuperMarket Analysis'!A:A,'SuperMarket Analysis'!J:J)</f>
        <v>149.36250000000001</v>
      </c>
      <c r="L337" s="6">
        <f>DAY(Input_Table[[#This Row],[DATE]])</f>
        <v>17</v>
      </c>
      <c r="M337" s="6" t="str">
        <f>TEXT(Input_Table[[#This Row],[DATE]],"mmmm")</f>
        <v>March</v>
      </c>
      <c r="N337" s="6">
        <f>YEAR(Input_Table[[#This Row],[DATE]])</f>
        <v>2019</v>
      </c>
    </row>
    <row r="338" spans="1:14" x14ac:dyDescent="0.3">
      <c r="A338" s="2">
        <f>_xlfn.XLOOKUP(B338,SuperMarket_Analysis[Invoice ID],SuperMarket_Analysis[Date])</f>
        <v>43552</v>
      </c>
      <c r="B338" s="6" t="s">
        <v>369</v>
      </c>
      <c r="C338" s="7">
        <f>_xlfn.XLOOKUP(B338,SuperMarket_Analysis[Invoice ID],SuperMarket_Analysis[Quantity])</f>
        <v>9</v>
      </c>
      <c r="D338" s="6" t="str">
        <f>_xlfn.XLOOKUP('Input data'!B338,'SuperMarket Analysis'!A:A,'SuperMarket Analysis'!F:F)</f>
        <v>Fashion accessories</v>
      </c>
      <c r="E338" s="6" t="str">
        <f>_xlfn.XLOOKUP(B338,'SuperMarket Analysis'!A:A,'SuperMarket Analysis'!M:M)</f>
        <v>Ewallet</v>
      </c>
      <c r="F338" s="6">
        <f>0.05*Input_Table[[#This Row],[TOTAL C.O.G.S]]</f>
        <v>34.380000000000003</v>
      </c>
      <c r="G338" s="6" t="str">
        <f>_xlfn.XLOOKUP(Input_Table[[#This Row],[INVOICE ID]],'SuperMarket Analysis'!A:A,'SuperMarket Analysis'!B:B)</f>
        <v>Alex</v>
      </c>
      <c r="H338" s="6" t="str">
        <f>_xlfn.XLOOKUP(Input_Table[[#This Row],[INVOICE ID]],'SuperMarket Analysis'!A:A,'SuperMarket Analysis'!F:F)</f>
        <v>Fashion accessories</v>
      </c>
      <c r="I338" s="12">
        <f>_xlfn.XLOOKUP(Input_Table[[#This Row],[INVOICE ID]],'SuperMarket Analysis'!A:A,'SuperMarket Analysis'!G:G)</f>
        <v>76.400000000000006</v>
      </c>
      <c r="J338" s="12">
        <f>_xlfn.XLOOKUP(Input_Table[[#This Row],[INVOICE ID]],'SuperMarket Analysis'!A:A,'SuperMarket Analysis'!N:N)</f>
        <v>687.6</v>
      </c>
      <c r="K338" s="12">
        <f>_xlfn.XLOOKUP(Input_Table[[#This Row],[INVOICE ID]],'SuperMarket Analysis'!A:A,'SuperMarket Analysis'!J:J)</f>
        <v>721.98</v>
      </c>
      <c r="L338" s="6">
        <f>DAY(Input_Table[[#This Row],[DATE]])</f>
        <v>28</v>
      </c>
      <c r="M338" s="6" t="str">
        <f>TEXT(Input_Table[[#This Row],[DATE]],"mmmm")</f>
        <v>March</v>
      </c>
      <c r="N338" s="6">
        <f>YEAR(Input_Table[[#This Row],[DATE]])</f>
        <v>2019</v>
      </c>
    </row>
    <row r="339" spans="1:14" x14ac:dyDescent="0.3">
      <c r="A339" s="2">
        <f>_xlfn.XLOOKUP(B339,SuperMarket_Analysis[Invoice ID],SuperMarket_Analysis[Date])</f>
        <v>43488</v>
      </c>
      <c r="B339" s="6" t="s">
        <v>370</v>
      </c>
      <c r="C339" s="7">
        <f>_xlfn.XLOOKUP(B339,SuperMarket_Analysis[Invoice ID],SuperMarket_Analysis[Quantity])</f>
        <v>6</v>
      </c>
      <c r="D339" s="6" t="str">
        <f>_xlfn.XLOOKUP('Input data'!B339,'SuperMarket Analysis'!A:A,'SuperMarket Analysis'!F:F)</f>
        <v>Sports and travel</v>
      </c>
      <c r="E339" s="6" t="str">
        <f>_xlfn.XLOOKUP(B339,'SuperMarket Analysis'!A:A,'SuperMarket Analysis'!M:M)</f>
        <v>Cash</v>
      </c>
      <c r="F339" s="6">
        <f>0.05*Input_Table[[#This Row],[TOTAL C.O.G.S]]</f>
        <v>17.385000000000002</v>
      </c>
      <c r="G339" s="6" t="str">
        <f>_xlfn.XLOOKUP(Input_Table[[#This Row],[INVOICE ID]],'SuperMarket Analysis'!A:A,'SuperMarket Analysis'!B:B)</f>
        <v>Cairo</v>
      </c>
      <c r="H339" s="6" t="str">
        <f>_xlfn.XLOOKUP(Input_Table[[#This Row],[INVOICE ID]],'SuperMarket Analysis'!A:A,'SuperMarket Analysis'!F:F)</f>
        <v>Sports and travel</v>
      </c>
      <c r="I339" s="12">
        <f>_xlfn.XLOOKUP(Input_Table[[#This Row],[INVOICE ID]],'SuperMarket Analysis'!A:A,'SuperMarket Analysis'!G:G)</f>
        <v>57.95</v>
      </c>
      <c r="J339" s="12">
        <f>_xlfn.XLOOKUP(Input_Table[[#This Row],[INVOICE ID]],'SuperMarket Analysis'!A:A,'SuperMarket Analysis'!N:N)</f>
        <v>347.7</v>
      </c>
      <c r="K339" s="12">
        <f>_xlfn.XLOOKUP(Input_Table[[#This Row],[INVOICE ID]],'SuperMarket Analysis'!A:A,'SuperMarket Analysis'!J:J)</f>
        <v>365.08499999999998</v>
      </c>
      <c r="L339" s="6">
        <f>DAY(Input_Table[[#This Row],[DATE]])</f>
        <v>23</v>
      </c>
      <c r="M339" s="6" t="str">
        <f>TEXT(Input_Table[[#This Row],[DATE]],"mmmm")</f>
        <v>January</v>
      </c>
      <c r="N339" s="6">
        <f>YEAR(Input_Table[[#This Row],[DATE]])</f>
        <v>2019</v>
      </c>
    </row>
    <row r="340" spans="1:14" x14ac:dyDescent="0.3">
      <c r="A340" s="2">
        <f>_xlfn.XLOOKUP(B340,SuperMarket_Analysis[Invoice ID],SuperMarket_Analysis[Date])</f>
        <v>43482</v>
      </c>
      <c r="B340" s="6" t="s">
        <v>371</v>
      </c>
      <c r="C340" s="7">
        <f>_xlfn.XLOOKUP(B340,SuperMarket_Analysis[Invoice ID],SuperMarket_Analysis[Quantity])</f>
        <v>3</v>
      </c>
      <c r="D340" s="6" t="str">
        <f>_xlfn.XLOOKUP('Input data'!B340,'SuperMarket Analysis'!A:A,'SuperMarket Analysis'!F:F)</f>
        <v>Electronic accessories</v>
      </c>
      <c r="E340" s="6" t="str">
        <f>_xlfn.XLOOKUP(B340,'SuperMarket Analysis'!A:A,'SuperMarket Analysis'!M:M)</f>
        <v>Credit card</v>
      </c>
      <c r="F340" s="6">
        <f>0.05*Input_Table[[#This Row],[TOTAL C.O.G.S]]</f>
        <v>7.1475</v>
      </c>
      <c r="G340" s="6" t="str">
        <f>_xlfn.XLOOKUP(Input_Table[[#This Row],[INVOICE ID]],'SuperMarket Analysis'!A:A,'SuperMarket Analysis'!B:B)</f>
        <v>Giza</v>
      </c>
      <c r="H340" s="6" t="str">
        <f>_xlfn.XLOOKUP(Input_Table[[#This Row],[INVOICE ID]],'SuperMarket Analysis'!A:A,'SuperMarket Analysis'!F:F)</f>
        <v>Electronic accessories</v>
      </c>
      <c r="I340" s="12">
        <f>_xlfn.XLOOKUP(Input_Table[[#This Row],[INVOICE ID]],'SuperMarket Analysis'!A:A,'SuperMarket Analysis'!G:G)</f>
        <v>47.65</v>
      </c>
      <c r="J340" s="12">
        <f>_xlfn.XLOOKUP(Input_Table[[#This Row],[INVOICE ID]],'SuperMarket Analysis'!A:A,'SuperMarket Analysis'!N:N)</f>
        <v>142.94999999999999</v>
      </c>
      <c r="K340" s="12">
        <f>_xlfn.XLOOKUP(Input_Table[[#This Row],[INVOICE ID]],'SuperMarket Analysis'!A:A,'SuperMarket Analysis'!J:J)</f>
        <v>150.0975</v>
      </c>
      <c r="L340" s="6">
        <f>DAY(Input_Table[[#This Row],[DATE]])</f>
        <v>17</v>
      </c>
      <c r="M340" s="6" t="str">
        <f>TEXT(Input_Table[[#This Row],[DATE]],"mmmm")</f>
        <v>January</v>
      </c>
      <c r="N340" s="6">
        <f>YEAR(Input_Table[[#This Row],[DATE]])</f>
        <v>2019</v>
      </c>
    </row>
    <row r="341" spans="1:14" x14ac:dyDescent="0.3">
      <c r="A341" s="2">
        <f>_xlfn.XLOOKUP(B341,SuperMarket_Analysis[Invoice ID],SuperMarket_Analysis[Date])</f>
        <v>43489</v>
      </c>
      <c r="B341" s="6" t="s">
        <v>372</v>
      </c>
      <c r="C341" s="7">
        <f>_xlfn.XLOOKUP(B341,SuperMarket_Analysis[Invoice ID],SuperMarket_Analysis[Quantity])</f>
        <v>9</v>
      </c>
      <c r="D341" s="6" t="str">
        <f>_xlfn.XLOOKUP('Input data'!B341,'SuperMarket Analysis'!A:A,'SuperMarket Analysis'!F:F)</f>
        <v>Food and beverages</v>
      </c>
      <c r="E341" s="6" t="str">
        <f>_xlfn.XLOOKUP(B341,'SuperMarket Analysis'!A:A,'SuperMarket Analysis'!M:M)</f>
        <v>Credit card</v>
      </c>
      <c r="F341" s="6">
        <f>0.05*Input_Table[[#This Row],[TOTAL C.O.G.S]]</f>
        <v>19.269000000000002</v>
      </c>
      <c r="G341" s="6" t="str">
        <f>_xlfn.XLOOKUP(Input_Table[[#This Row],[INVOICE ID]],'SuperMarket Analysis'!A:A,'SuperMarket Analysis'!B:B)</f>
        <v>Cairo</v>
      </c>
      <c r="H341" s="6" t="str">
        <f>_xlfn.XLOOKUP(Input_Table[[#This Row],[INVOICE ID]],'SuperMarket Analysis'!A:A,'SuperMarket Analysis'!F:F)</f>
        <v>Food and beverages</v>
      </c>
      <c r="I341" s="12">
        <f>_xlfn.XLOOKUP(Input_Table[[#This Row],[INVOICE ID]],'SuperMarket Analysis'!A:A,'SuperMarket Analysis'!G:G)</f>
        <v>42.82</v>
      </c>
      <c r="J341" s="12">
        <f>_xlfn.XLOOKUP(Input_Table[[#This Row],[INVOICE ID]],'SuperMarket Analysis'!A:A,'SuperMarket Analysis'!N:N)</f>
        <v>385.38</v>
      </c>
      <c r="K341" s="12">
        <f>_xlfn.XLOOKUP(Input_Table[[#This Row],[INVOICE ID]],'SuperMarket Analysis'!A:A,'SuperMarket Analysis'!J:J)</f>
        <v>404.649</v>
      </c>
      <c r="L341" s="6">
        <f>DAY(Input_Table[[#This Row],[DATE]])</f>
        <v>24</v>
      </c>
      <c r="M341" s="6" t="str">
        <f>TEXT(Input_Table[[#This Row],[DATE]],"mmmm")</f>
        <v>January</v>
      </c>
      <c r="N341" s="6">
        <f>YEAR(Input_Table[[#This Row],[DATE]])</f>
        <v>2019</v>
      </c>
    </row>
    <row r="342" spans="1:14" x14ac:dyDescent="0.3">
      <c r="A342" s="2">
        <f>_xlfn.XLOOKUP(B342,SuperMarket_Analysis[Invoice ID],SuperMarket_Analysis[Date])</f>
        <v>43484</v>
      </c>
      <c r="B342" s="6" t="s">
        <v>373</v>
      </c>
      <c r="C342" s="7">
        <f>_xlfn.XLOOKUP(B342,SuperMarket_Analysis[Invoice ID],SuperMarket_Analysis[Quantity])</f>
        <v>3</v>
      </c>
      <c r="D342" s="6" t="str">
        <f>_xlfn.XLOOKUP('Input data'!B342,'SuperMarket Analysis'!A:A,'SuperMarket Analysis'!F:F)</f>
        <v>Electronic accessories</v>
      </c>
      <c r="E342" s="6" t="str">
        <f>_xlfn.XLOOKUP(B342,'SuperMarket Analysis'!A:A,'SuperMarket Analysis'!M:M)</f>
        <v>Credit card</v>
      </c>
      <c r="F342" s="6">
        <f>0.05*Input_Table[[#This Row],[TOTAL C.O.G.S]]</f>
        <v>7.2135000000000007</v>
      </c>
      <c r="G342" s="6" t="str">
        <f>_xlfn.XLOOKUP(Input_Table[[#This Row],[INVOICE ID]],'SuperMarket Analysis'!A:A,'SuperMarket Analysis'!B:B)</f>
        <v>Cairo</v>
      </c>
      <c r="H342" s="6" t="str">
        <f>_xlfn.XLOOKUP(Input_Table[[#This Row],[INVOICE ID]],'SuperMarket Analysis'!A:A,'SuperMarket Analysis'!F:F)</f>
        <v>Electronic accessories</v>
      </c>
      <c r="I342" s="12">
        <f>_xlfn.XLOOKUP(Input_Table[[#This Row],[INVOICE ID]],'SuperMarket Analysis'!A:A,'SuperMarket Analysis'!G:G)</f>
        <v>48.09</v>
      </c>
      <c r="J342" s="12">
        <f>_xlfn.XLOOKUP(Input_Table[[#This Row],[INVOICE ID]],'SuperMarket Analysis'!A:A,'SuperMarket Analysis'!N:N)</f>
        <v>144.27000000000001</v>
      </c>
      <c r="K342" s="12">
        <f>_xlfn.XLOOKUP(Input_Table[[#This Row],[INVOICE ID]],'SuperMarket Analysis'!A:A,'SuperMarket Analysis'!J:J)</f>
        <v>151.48349999999999</v>
      </c>
      <c r="L342" s="6">
        <f>DAY(Input_Table[[#This Row],[DATE]])</f>
        <v>19</v>
      </c>
      <c r="M342" s="6" t="str">
        <f>TEXT(Input_Table[[#This Row],[DATE]],"mmmm")</f>
        <v>January</v>
      </c>
      <c r="N342" s="6">
        <f>YEAR(Input_Table[[#This Row],[DATE]])</f>
        <v>2019</v>
      </c>
    </row>
    <row r="343" spans="1:14" x14ac:dyDescent="0.3">
      <c r="A343" s="2">
        <f>_xlfn.XLOOKUP(B343,SuperMarket_Analysis[Invoice ID],SuperMarket_Analysis[Date])</f>
        <v>43544</v>
      </c>
      <c r="B343" s="6" t="s">
        <v>374</v>
      </c>
      <c r="C343" s="7">
        <f>_xlfn.XLOOKUP(B343,SuperMarket_Analysis[Invoice ID],SuperMarket_Analysis[Quantity])</f>
        <v>7</v>
      </c>
      <c r="D343" s="6" t="str">
        <f>_xlfn.XLOOKUP('Input data'!B343,'SuperMarket Analysis'!A:A,'SuperMarket Analysis'!F:F)</f>
        <v>Health and beauty</v>
      </c>
      <c r="E343" s="6" t="str">
        <f>_xlfn.XLOOKUP(B343,'SuperMarket Analysis'!A:A,'SuperMarket Analysis'!M:M)</f>
        <v>Ewallet</v>
      </c>
      <c r="F343" s="6">
        <f>0.05*Input_Table[[#This Row],[TOTAL C.O.G.S]]</f>
        <v>19.589500000000001</v>
      </c>
      <c r="G343" s="6" t="str">
        <f>_xlfn.XLOOKUP(Input_Table[[#This Row],[INVOICE ID]],'SuperMarket Analysis'!A:A,'SuperMarket Analysis'!B:B)</f>
        <v>Cairo</v>
      </c>
      <c r="H343" s="6" t="str">
        <f>_xlfn.XLOOKUP(Input_Table[[#This Row],[INVOICE ID]],'SuperMarket Analysis'!A:A,'SuperMarket Analysis'!F:F)</f>
        <v>Health and beauty</v>
      </c>
      <c r="I343" s="12">
        <f>_xlfn.XLOOKUP(Input_Table[[#This Row],[INVOICE ID]],'SuperMarket Analysis'!A:A,'SuperMarket Analysis'!G:G)</f>
        <v>55.97</v>
      </c>
      <c r="J343" s="12">
        <f>_xlfn.XLOOKUP(Input_Table[[#This Row],[INVOICE ID]],'SuperMarket Analysis'!A:A,'SuperMarket Analysis'!N:N)</f>
        <v>391.79</v>
      </c>
      <c r="K343" s="12">
        <f>_xlfn.XLOOKUP(Input_Table[[#This Row],[INVOICE ID]],'SuperMarket Analysis'!A:A,'SuperMarket Analysis'!J:J)</f>
        <v>411.37950000000001</v>
      </c>
      <c r="L343" s="6">
        <f>DAY(Input_Table[[#This Row],[DATE]])</f>
        <v>20</v>
      </c>
      <c r="M343" s="6" t="str">
        <f>TEXT(Input_Table[[#This Row],[DATE]],"mmmm")</f>
        <v>March</v>
      </c>
      <c r="N343" s="6">
        <f>YEAR(Input_Table[[#This Row],[DATE]])</f>
        <v>2019</v>
      </c>
    </row>
    <row r="344" spans="1:14" x14ac:dyDescent="0.3">
      <c r="A344" s="2">
        <f>_xlfn.XLOOKUP(B344,SuperMarket_Analysis[Invoice ID],SuperMarket_Analysis[Date])</f>
        <v>43478</v>
      </c>
      <c r="B344" s="6" t="s">
        <v>375</v>
      </c>
      <c r="C344" s="7">
        <f>_xlfn.XLOOKUP(B344,SuperMarket_Analysis[Invoice ID],SuperMarket_Analysis[Quantity])</f>
        <v>7</v>
      </c>
      <c r="D344" s="6" t="str">
        <f>_xlfn.XLOOKUP('Input data'!B344,'SuperMarket Analysis'!A:A,'SuperMarket Analysis'!F:F)</f>
        <v>Health and beauty</v>
      </c>
      <c r="E344" s="6" t="str">
        <f>_xlfn.XLOOKUP(B344,'SuperMarket Analysis'!A:A,'SuperMarket Analysis'!M:M)</f>
        <v>Cash</v>
      </c>
      <c r="F344" s="6">
        <f>0.05*Input_Table[[#This Row],[TOTAL C.O.G.S]]</f>
        <v>26.914999999999999</v>
      </c>
      <c r="G344" s="6" t="str">
        <f>_xlfn.XLOOKUP(Input_Table[[#This Row],[INVOICE ID]],'SuperMarket Analysis'!A:A,'SuperMarket Analysis'!B:B)</f>
        <v>Cairo</v>
      </c>
      <c r="H344" s="6" t="str">
        <f>_xlfn.XLOOKUP(Input_Table[[#This Row],[INVOICE ID]],'SuperMarket Analysis'!A:A,'SuperMarket Analysis'!F:F)</f>
        <v>Health and beauty</v>
      </c>
      <c r="I344" s="12">
        <f>_xlfn.XLOOKUP(Input_Table[[#This Row],[INVOICE ID]],'SuperMarket Analysis'!A:A,'SuperMarket Analysis'!G:G)</f>
        <v>76.900000000000006</v>
      </c>
      <c r="J344" s="12">
        <f>_xlfn.XLOOKUP(Input_Table[[#This Row],[INVOICE ID]],'SuperMarket Analysis'!A:A,'SuperMarket Analysis'!N:N)</f>
        <v>538.29999999999995</v>
      </c>
      <c r="K344" s="12">
        <f>_xlfn.XLOOKUP(Input_Table[[#This Row],[INVOICE ID]],'SuperMarket Analysis'!A:A,'SuperMarket Analysis'!J:J)</f>
        <v>565.21500000000003</v>
      </c>
      <c r="L344" s="6">
        <f>DAY(Input_Table[[#This Row],[DATE]])</f>
        <v>13</v>
      </c>
      <c r="M344" s="6" t="str">
        <f>TEXT(Input_Table[[#This Row],[DATE]],"mmmm")</f>
        <v>January</v>
      </c>
      <c r="N344" s="6">
        <f>YEAR(Input_Table[[#This Row],[DATE]])</f>
        <v>2019</v>
      </c>
    </row>
    <row r="345" spans="1:14" x14ac:dyDescent="0.3">
      <c r="A345" s="2">
        <f>_xlfn.XLOOKUP(B345,SuperMarket_Analysis[Invoice ID],SuperMarket_Analysis[Date])</f>
        <v>43538</v>
      </c>
      <c r="B345" s="6" t="s">
        <v>376</v>
      </c>
      <c r="C345" s="7">
        <f>_xlfn.XLOOKUP(B345,SuperMarket_Analysis[Invoice ID],SuperMarket_Analysis[Quantity])</f>
        <v>5</v>
      </c>
      <c r="D345" s="6" t="str">
        <f>_xlfn.XLOOKUP('Input data'!B345,'SuperMarket Analysis'!A:A,'SuperMarket Analysis'!F:F)</f>
        <v>Food and beverages</v>
      </c>
      <c r="E345" s="6" t="str">
        <f>_xlfn.XLOOKUP(B345,'SuperMarket Analysis'!A:A,'SuperMarket Analysis'!M:M)</f>
        <v>Ewallet</v>
      </c>
      <c r="F345" s="6">
        <f>0.05*Input_Table[[#This Row],[TOTAL C.O.G.S]]</f>
        <v>24.2575</v>
      </c>
      <c r="G345" s="6" t="str">
        <f>_xlfn.XLOOKUP(Input_Table[[#This Row],[INVOICE ID]],'SuperMarket Analysis'!A:A,'SuperMarket Analysis'!B:B)</f>
        <v>Giza</v>
      </c>
      <c r="H345" s="6" t="str">
        <f>_xlfn.XLOOKUP(Input_Table[[#This Row],[INVOICE ID]],'SuperMarket Analysis'!A:A,'SuperMarket Analysis'!F:F)</f>
        <v>Food and beverages</v>
      </c>
      <c r="I345" s="12">
        <f>_xlfn.XLOOKUP(Input_Table[[#This Row],[INVOICE ID]],'SuperMarket Analysis'!A:A,'SuperMarket Analysis'!G:G)</f>
        <v>97.03</v>
      </c>
      <c r="J345" s="12">
        <f>_xlfn.XLOOKUP(Input_Table[[#This Row],[INVOICE ID]],'SuperMarket Analysis'!A:A,'SuperMarket Analysis'!N:N)</f>
        <v>485.15</v>
      </c>
      <c r="K345" s="12">
        <f>_xlfn.XLOOKUP(Input_Table[[#This Row],[INVOICE ID]],'SuperMarket Analysis'!A:A,'SuperMarket Analysis'!J:J)</f>
        <v>509.40750000000003</v>
      </c>
      <c r="L345" s="6">
        <f>DAY(Input_Table[[#This Row],[DATE]])</f>
        <v>14</v>
      </c>
      <c r="M345" s="6" t="str">
        <f>TEXT(Input_Table[[#This Row],[DATE]],"mmmm")</f>
        <v>March</v>
      </c>
      <c r="N345" s="6">
        <f>YEAR(Input_Table[[#This Row],[DATE]])</f>
        <v>2019</v>
      </c>
    </row>
    <row r="346" spans="1:14" x14ac:dyDescent="0.3">
      <c r="A346" s="2">
        <f>_xlfn.XLOOKUP(B346,SuperMarket_Analysis[Invoice ID],SuperMarket_Analysis[Date])</f>
        <v>43488</v>
      </c>
      <c r="B346" s="6" t="s">
        <v>377</v>
      </c>
      <c r="C346" s="7">
        <f>_xlfn.XLOOKUP(B346,SuperMarket_Analysis[Invoice ID],SuperMarket_Analysis[Quantity])</f>
        <v>3</v>
      </c>
      <c r="D346" s="6" t="str">
        <f>_xlfn.XLOOKUP('Input data'!B346,'SuperMarket Analysis'!A:A,'SuperMarket Analysis'!F:F)</f>
        <v>Sports and travel</v>
      </c>
      <c r="E346" s="6" t="str">
        <f>_xlfn.XLOOKUP(B346,'SuperMarket Analysis'!A:A,'SuperMarket Analysis'!M:M)</f>
        <v>Cash</v>
      </c>
      <c r="F346" s="6">
        <f>0.05*Input_Table[[#This Row],[TOTAL C.O.G.S]]</f>
        <v>6.6974999999999998</v>
      </c>
      <c r="G346" s="6" t="str">
        <f>_xlfn.XLOOKUP(Input_Table[[#This Row],[INVOICE ID]],'SuperMarket Analysis'!A:A,'SuperMarket Analysis'!B:B)</f>
        <v>Alex</v>
      </c>
      <c r="H346" s="6" t="str">
        <f>_xlfn.XLOOKUP(Input_Table[[#This Row],[INVOICE ID]],'SuperMarket Analysis'!A:A,'SuperMarket Analysis'!F:F)</f>
        <v>Sports and travel</v>
      </c>
      <c r="I346" s="12">
        <f>_xlfn.XLOOKUP(Input_Table[[#This Row],[INVOICE ID]],'SuperMarket Analysis'!A:A,'SuperMarket Analysis'!G:G)</f>
        <v>44.65</v>
      </c>
      <c r="J346" s="12">
        <f>_xlfn.XLOOKUP(Input_Table[[#This Row],[INVOICE ID]],'SuperMarket Analysis'!A:A,'SuperMarket Analysis'!N:N)</f>
        <v>133.94999999999999</v>
      </c>
      <c r="K346" s="12">
        <f>_xlfn.XLOOKUP(Input_Table[[#This Row],[INVOICE ID]],'SuperMarket Analysis'!A:A,'SuperMarket Analysis'!J:J)</f>
        <v>140.64750000000001</v>
      </c>
      <c r="L346" s="6">
        <f>DAY(Input_Table[[#This Row],[DATE]])</f>
        <v>23</v>
      </c>
      <c r="M346" s="6" t="str">
        <f>TEXT(Input_Table[[#This Row],[DATE]],"mmmm")</f>
        <v>January</v>
      </c>
      <c r="N346" s="6">
        <f>YEAR(Input_Table[[#This Row],[DATE]])</f>
        <v>2019</v>
      </c>
    </row>
    <row r="347" spans="1:14" x14ac:dyDescent="0.3">
      <c r="A347" s="2">
        <f>_xlfn.XLOOKUP(B347,SuperMarket_Analysis[Invoice ID],SuperMarket_Analysis[Date])</f>
        <v>43552</v>
      </c>
      <c r="B347" s="6" t="s">
        <v>378</v>
      </c>
      <c r="C347" s="7">
        <f>_xlfn.XLOOKUP(B347,SuperMarket_Analysis[Invoice ID],SuperMarket_Analysis[Quantity])</f>
        <v>9</v>
      </c>
      <c r="D347" s="6" t="str">
        <f>_xlfn.XLOOKUP('Input data'!B347,'SuperMarket Analysis'!A:A,'SuperMarket Analysis'!F:F)</f>
        <v>Fashion accessories</v>
      </c>
      <c r="E347" s="6" t="str">
        <f>_xlfn.XLOOKUP(B347,'SuperMarket Analysis'!A:A,'SuperMarket Analysis'!M:M)</f>
        <v>Ewallet</v>
      </c>
      <c r="F347" s="6">
        <f>0.05*Input_Table[[#This Row],[TOTAL C.O.G.S]]</f>
        <v>35.0685</v>
      </c>
      <c r="G347" s="6" t="str">
        <f>_xlfn.XLOOKUP(Input_Table[[#This Row],[INVOICE ID]],'SuperMarket Analysis'!A:A,'SuperMarket Analysis'!B:B)</f>
        <v>Alex</v>
      </c>
      <c r="H347" s="6" t="str">
        <f>_xlfn.XLOOKUP(Input_Table[[#This Row],[INVOICE ID]],'SuperMarket Analysis'!A:A,'SuperMarket Analysis'!F:F)</f>
        <v>Fashion accessories</v>
      </c>
      <c r="I347" s="12">
        <f>_xlfn.XLOOKUP(Input_Table[[#This Row],[INVOICE ID]],'SuperMarket Analysis'!A:A,'SuperMarket Analysis'!G:G)</f>
        <v>77.930000000000007</v>
      </c>
      <c r="J347" s="12">
        <f>_xlfn.XLOOKUP(Input_Table[[#This Row],[INVOICE ID]],'SuperMarket Analysis'!A:A,'SuperMarket Analysis'!N:N)</f>
        <v>701.37</v>
      </c>
      <c r="K347" s="12">
        <f>_xlfn.XLOOKUP(Input_Table[[#This Row],[INVOICE ID]],'SuperMarket Analysis'!A:A,'SuperMarket Analysis'!J:J)</f>
        <v>736.43849999999998</v>
      </c>
      <c r="L347" s="6">
        <f>DAY(Input_Table[[#This Row],[DATE]])</f>
        <v>28</v>
      </c>
      <c r="M347" s="6" t="str">
        <f>TEXT(Input_Table[[#This Row],[DATE]],"mmmm")</f>
        <v>March</v>
      </c>
      <c r="N347" s="6">
        <f>YEAR(Input_Table[[#This Row],[DATE]])</f>
        <v>2019</v>
      </c>
    </row>
    <row r="348" spans="1:14" x14ac:dyDescent="0.3">
      <c r="A348" s="2">
        <f>_xlfn.XLOOKUP(B348,SuperMarket_Analysis[Invoice ID],SuperMarket_Analysis[Date])</f>
        <v>43544</v>
      </c>
      <c r="B348" s="6" t="s">
        <v>379</v>
      </c>
      <c r="C348" s="7">
        <f>_xlfn.XLOOKUP(B348,SuperMarket_Analysis[Invoice ID],SuperMarket_Analysis[Quantity])</f>
        <v>1</v>
      </c>
      <c r="D348" s="6" t="str">
        <f>_xlfn.XLOOKUP('Input data'!B348,'SuperMarket Analysis'!A:A,'SuperMarket Analysis'!F:F)</f>
        <v>Electronic accessories</v>
      </c>
      <c r="E348" s="6" t="str">
        <f>_xlfn.XLOOKUP(B348,'SuperMarket Analysis'!A:A,'SuperMarket Analysis'!M:M)</f>
        <v>Cash</v>
      </c>
      <c r="F348" s="6">
        <f>0.05*Input_Table[[#This Row],[TOTAL C.O.G.S]]</f>
        <v>3.5975000000000001</v>
      </c>
      <c r="G348" s="6" t="str">
        <f>_xlfn.XLOOKUP(Input_Table[[#This Row],[INVOICE ID]],'SuperMarket Analysis'!A:A,'SuperMarket Analysis'!B:B)</f>
        <v>Alex</v>
      </c>
      <c r="H348" s="6" t="str">
        <f>_xlfn.XLOOKUP(Input_Table[[#This Row],[INVOICE ID]],'SuperMarket Analysis'!A:A,'SuperMarket Analysis'!F:F)</f>
        <v>Electronic accessories</v>
      </c>
      <c r="I348" s="12">
        <f>_xlfn.XLOOKUP(Input_Table[[#This Row],[INVOICE ID]],'SuperMarket Analysis'!A:A,'SuperMarket Analysis'!G:G)</f>
        <v>71.95</v>
      </c>
      <c r="J348" s="12">
        <f>_xlfn.XLOOKUP(Input_Table[[#This Row],[INVOICE ID]],'SuperMarket Analysis'!A:A,'SuperMarket Analysis'!N:N)</f>
        <v>71.95</v>
      </c>
      <c r="K348" s="12">
        <f>_xlfn.XLOOKUP(Input_Table[[#This Row],[INVOICE ID]],'SuperMarket Analysis'!A:A,'SuperMarket Analysis'!J:J)</f>
        <v>75.547499999999999</v>
      </c>
      <c r="L348" s="6">
        <f>DAY(Input_Table[[#This Row],[DATE]])</f>
        <v>20</v>
      </c>
      <c r="M348" s="6" t="str">
        <f>TEXT(Input_Table[[#This Row],[DATE]],"mmmm")</f>
        <v>March</v>
      </c>
      <c r="N348" s="6">
        <f>YEAR(Input_Table[[#This Row],[DATE]])</f>
        <v>2019</v>
      </c>
    </row>
    <row r="349" spans="1:14" x14ac:dyDescent="0.3">
      <c r="A349" s="2">
        <f>_xlfn.XLOOKUP(B349,SuperMarket_Analysis[Invoice ID],SuperMarket_Analysis[Date])</f>
        <v>43482</v>
      </c>
      <c r="B349" s="6" t="s">
        <v>380</v>
      </c>
      <c r="C349" s="7">
        <f>_xlfn.XLOOKUP(B349,SuperMarket_Analysis[Invoice ID],SuperMarket_Analysis[Quantity])</f>
        <v>8</v>
      </c>
      <c r="D349" s="6" t="str">
        <f>_xlfn.XLOOKUP('Input data'!B349,'SuperMarket Analysis'!A:A,'SuperMarket Analysis'!F:F)</f>
        <v>Home and lifestyle</v>
      </c>
      <c r="E349" s="6" t="str">
        <f>_xlfn.XLOOKUP(B349,'SuperMarket Analysis'!A:A,'SuperMarket Analysis'!M:M)</f>
        <v>Cash</v>
      </c>
      <c r="F349" s="6">
        <f>0.05*Input_Table[[#This Row],[TOTAL C.O.G.S]]</f>
        <v>35.700000000000003</v>
      </c>
      <c r="G349" s="6" t="str">
        <f>_xlfn.XLOOKUP(Input_Table[[#This Row],[INVOICE ID]],'SuperMarket Analysis'!A:A,'SuperMarket Analysis'!B:B)</f>
        <v>Giza</v>
      </c>
      <c r="H349" s="6" t="str">
        <f>_xlfn.XLOOKUP(Input_Table[[#This Row],[INVOICE ID]],'SuperMarket Analysis'!A:A,'SuperMarket Analysis'!F:F)</f>
        <v>Home and lifestyle</v>
      </c>
      <c r="I349" s="12">
        <f>_xlfn.XLOOKUP(Input_Table[[#This Row],[INVOICE ID]],'SuperMarket Analysis'!A:A,'SuperMarket Analysis'!G:G)</f>
        <v>89.25</v>
      </c>
      <c r="J349" s="12">
        <f>_xlfn.XLOOKUP(Input_Table[[#This Row],[INVOICE ID]],'SuperMarket Analysis'!A:A,'SuperMarket Analysis'!N:N)</f>
        <v>714</v>
      </c>
      <c r="K349" s="12">
        <f>_xlfn.XLOOKUP(Input_Table[[#This Row],[INVOICE ID]],'SuperMarket Analysis'!A:A,'SuperMarket Analysis'!J:J)</f>
        <v>749.7</v>
      </c>
      <c r="L349" s="6">
        <f>DAY(Input_Table[[#This Row],[DATE]])</f>
        <v>17</v>
      </c>
      <c r="M349" s="6" t="str">
        <f>TEXT(Input_Table[[#This Row],[DATE]],"mmmm")</f>
        <v>January</v>
      </c>
      <c r="N349" s="6">
        <f>YEAR(Input_Table[[#This Row],[DATE]])</f>
        <v>2019</v>
      </c>
    </row>
    <row r="350" spans="1:14" x14ac:dyDescent="0.3">
      <c r="A350" s="2">
        <f>_xlfn.XLOOKUP(B350,SuperMarket_Analysis[Invoice ID],SuperMarket_Analysis[Date])</f>
        <v>43512</v>
      </c>
      <c r="B350" s="6" t="s">
        <v>381</v>
      </c>
      <c r="C350" s="7">
        <f>_xlfn.XLOOKUP(B350,SuperMarket_Analysis[Invoice ID],SuperMarket_Analysis[Quantity])</f>
        <v>7</v>
      </c>
      <c r="D350" s="6" t="str">
        <f>_xlfn.XLOOKUP('Input data'!B350,'SuperMarket Analysis'!A:A,'SuperMarket Analysis'!F:F)</f>
        <v>Electronic accessories</v>
      </c>
      <c r="E350" s="6" t="str">
        <f>_xlfn.XLOOKUP(B350,'SuperMarket Analysis'!A:A,'SuperMarket Analysis'!M:M)</f>
        <v>Cash</v>
      </c>
      <c r="F350" s="6">
        <f>0.05*Input_Table[[#This Row],[TOTAL C.O.G.S]]</f>
        <v>9.1069999999999993</v>
      </c>
      <c r="G350" s="6" t="str">
        <f>_xlfn.XLOOKUP(Input_Table[[#This Row],[INVOICE ID]],'SuperMarket Analysis'!A:A,'SuperMarket Analysis'!B:B)</f>
        <v>Alex</v>
      </c>
      <c r="H350" s="6" t="str">
        <f>_xlfn.XLOOKUP(Input_Table[[#This Row],[INVOICE ID]],'SuperMarket Analysis'!A:A,'SuperMarket Analysis'!F:F)</f>
        <v>Electronic accessories</v>
      </c>
      <c r="I350" s="12">
        <f>_xlfn.XLOOKUP(Input_Table[[#This Row],[INVOICE ID]],'SuperMarket Analysis'!A:A,'SuperMarket Analysis'!G:G)</f>
        <v>26.02</v>
      </c>
      <c r="J350" s="12">
        <f>_xlfn.XLOOKUP(Input_Table[[#This Row],[INVOICE ID]],'SuperMarket Analysis'!A:A,'SuperMarket Analysis'!N:N)</f>
        <v>182.14</v>
      </c>
      <c r="K350" s="12">
        <f>_xlfn.XLOOKUP(Input_Table[[#This Row],[INVOICE ID]],'SuperMarket Analysis'!A:A,'SuperMarket Analysis'!J:J)</f>
        <v>191.24700000000001</v>
      </c>
      <c r="L350" s="6">
        <f>DAY(Input_Table[[#This Row],[DATE]])</f>
        <v>16</v>
      </c>
      <c r="M350" s="6" t="str">
        <f>TEXT(Input_Table[[#This Row],[DATE]],"mmmm")</f>
        <v>February</v>
      </c>
      <c r="N350" s="6">
        <f>YEAR(Input_Table[[#This Row],[DATE]])</f>
        <v>2019</v>
      </c>
    </row>
    <row r="351" spans="1:14" x14ac:dyDescent="0.3">
      <c r="A351" s="2">
        <f>_xlfn.XLOOKUP(B351,SuperMarket_Analysis[Invoice ID],SuperMarket_Analysis[Date])</f>
        <v>43491</v>
      </c>
      <c r="B351" s="6" t="s">
        <v>382</v>
      </c>
      <c r="C351" s="7">
        <f>_xlfn.XLOOKUP(B351,SuperMarket_Analysis[Invoice ID],SuperMarket_Analysis[Quantity])</f>
        <v>10</v>
      </c>
      <c r="D351" s="6" t="str">
        <f>_xlfn.XLOOKUP('Input data'!B351,'SuperMarket Analysis'!A:A,'SuperMarket Analysis'!F:F)</f>
        <v>Health and beauty</v>
      </c>
      <c r="E351" s="6" t="str">
        <f>_xlfn.XLOOKUP(B351,'SuperMarket Analysis'!A:A,'SuperMarket Analysis'!M:M)</f>
        <v>Credit card</v>
      </c>
      <c r="F351" s="6">
        <f>0.05*Input_Table[[#This Row],[TOTAL C.O.G.S]]</f>
        <v>6.75</v>
      </c>
      <c r="G351" s="6" t="str">
        <f>_xlfn.XLOOKUP(Input_Table[[#This Row],[INVOICE ID]],'SuperMarket Analysis'!A:A,'SuperMarket Analysis'!B:B)</f>
        <v>Cairo</v>
      </c>
      <c r="H351" s="6" t="str">
        <f>_xlfn.XLOOKUP(Input_Table[[#This Row],[INVOICE ID]],'SuperMarket Analysis'!A:A,'SuperMarket Analysis'!F:F)</f>
        <v>Health and beauty</v>
      </c>
      <c r="I351" s="12">
        <f>_xlfn.XLOOKUP(Input_Table[[#This Row],[INVOICE ID]],'SuperMarket Analysis'!A:A,'SuperMarket Analysis'!G:G)</f>
        <v>13.5</v>
      </c>
      <c r="J351" s="12">
        <f>_xlfn.XLOOKUP(Input_Table[[#This Row],[INVOICE ID]],'SuperMarket Analysis'!A:A,'SuperMarket Analysis'!N:N)</f>
        <v>135</v>
      </c>
      <c r="K351" s="12">
        <f>_xlfn.XLOOKUP(Input_Table[[#This Row],[INVOICE ID]],'SuperMarket Analysis'!A:A,'SuperMarket Analysis'!J:J)</f>
        <v>141.75</v>
      </c>
      <c r="L351" s="6">
        <f>DAY(Input_Table[[#This Row],[DATE]])</f>
        <v>26</v>
      </c>
      <c r="M351" s="6" t="str">
        <f>TEXT(Input_Table[[#This Row],[DATE]],"mmmm")</f>
        <v>January</v>
      </c>
      <c r="N351" s="6">
        <f>YEAR(Input_Table[[#This Row],[DATE]])</f>
        <v>2019</v>
      </c>
    </row>
    <row r="352" spans="1:14" x14ac:dyDescent="0.3">
      <c r="A352" s="2">
        <f>_xlfn.XLOOKUP(B352,SuperMarket_Analysis[Invoice ID],SuperMarket_Analysis[Date])</f>
        <v>43538</v>
      </c>
      <c r="B352" s="6" t="s">
        <v>383</v>
      </c>
      <c r="C352" s="7">
        <f>_xlfn.XLOOKUP(B352,SuperMarket_Analysis[Invoice ID],SuperMarket_Analysis[Quantity])</f>
        <v>10</v>
      </c>
      <c r="D352" s="6" t="str">
        <f>_xlfn.XLOOKUP('Input data'!B352,'SuperMarket Analysis'!A:A,'SuperMarket Analysis'!F:F)</f>
        <v>Fashion accessories</v>
      </c>
      <c r="E352" s="6" t="str">
        <f>_xlfn.XLOOKUP(B352,'SuperMarket Analysis'!A:A,'SuperMarket Analysis'!M:M)</f>
        <v>Credit card</v>
      </c>
      <c r="F352" s="6">
        <f>0.05*Input_Table[[#This Row],[TOTAL C.O.G.S]]</f>
        <v>49.650000000000006</v>
      </c>
      <c r="G352" s="6" t="str">
        <f>_xlfn.XLOOKUP(Input_Table[[#This Row],[INVOICE ID]],'SuperMarket Analysis'!A:A,'SuperMarket Analysis'!B:B)</f>
        <v>Giza</v>
      </c>
      <c r="H352" s="6" t="str">
        <f>_xlfn.XLOOKUP(Input_Table[[#This Row],[INVOICE ID]],'SuperMarket Analysis'!A:A,'SuperMarket Analysis'!F:F)</f>
        <v>Fashion accessories</v>
      </c>
      <c r="I352" s="12">
        <f>_xlfn.XLOOKUP(Input_Table[[#This Row],[INVOICE ID]],'SuperMarket Analysis'!A:A,'SuperMarket Analysis'!G:G)</f>
        <v>99.3</v>
      </c>
      <c r="J352" s="12">
        <f>_xlfn.XLOOKUP(Input_Table[[#This Row],[INVOICE ID]],'SuperMarket Analysis'!A:A,'SuperMarket Analysis'!N:N)</f>
        <v>993</v>
      </c>
      <c r="K352" s="12">
        <f>_xlfn.XLOOKUP(Input_Table[[#This Row],[INVOICE ID]],'SuperMarket Analysis'!A:A,'SuperMarket Analysis'!J:J)</f>
        <v>1042.6500000000001</v>
      </c>
      <c r="L352" s="6">
        <f>DAY(Input_Table[[#This Row],[DATE]])</f>
        <v>14</v>
      </c>
      <c r="M352" s="6" t="str">
        <f>TEXT(Input_Table[[#This Row],[DATE]],"mmmm")</f>
        <v>March</v>
      </c>
      <c r="N352" s="6">
        <f>YEAR(Input_Table[[#This Row],[DATE]])</f>
        <v>2019</v>
      </c>
    </row>
    <row r="353" spans="1:14" x14ac:dyDescent="0.3">
      <c r="A353" s="2">
        <f>_xlfn.XLOOKUP(B353,SuperMarket_Analysis[Invoice ID],SuperMarket_Analysis[Date])</f>
        <v>43490</v>
      </c>
      <c r="B353" s="6" t="s">
        <v>384</v>
      </c>
      <c r="C353" s="7">
        <f>_xlfn.XLOOKUP(B353,SuperMarket_Analysis[Invoice ID],SuperMarket_Analysis[Quantity])</f>
        <v>7</v>
      </c>
      <c r="D353" s="6" t="str">
        <f>_xlfn.XLOOKUP('Input data'!B353,'SuperMarket Analysis'!A:A,'SuperMarket Analysis'!F:F)</f>
        <v>Electronic accessories</v>
      </c>
      <c r="E353" s="6" t="str">
        <f>_xlfn.XLOOKUP(B353,'SuperMarket Analysis'!A:A,'SuperMarket Analysis'!M:M)</f>
        <v>Cash</v>
      </c>
      <c r="F353" s="6">
        <f>0.05*Input_Table[[#This Row],[TOTAL C.O.G.S]]</f>
        <v>18.0915</v>
      </c>
      <c r="G353" s="6" t="str">
        <f>_xlfn.XLOOKUP(Input_Table[[#This Row],[INVOICE ID]],'SuperMarket Analysis'!A:A,'SuperMarket Analysis'!B:B)</f>
        <v>Alex</v>
      </c>
      <c r="H353" s="6" t="str">
        <f>_xlfn.XLOOKUP(Input_Table[[#This Row],[INVOICE ID]],'SuperMarket Analysis'!A:A,'SuperMarket Analysis'!F:F)</f>
        <v>Electronic accessories</v>
      </c>
      <c r="I353" s="12">
        <f>_xlfn.XLOOKUP(Input_Table[[#This Row],[INVOICE ID]],'SuperMarket Analysis'!A:A,'SuperMarket Analysis'!G:G)</f>
        <v>51.69</v>
      </c>
      <c r="J353" s="12">
        <f>_xlfn.XLOOKUP(Input_Table[[#This Row],[INVOICE ID]],'SuperMarket Analysis'!A:A,'SuperMarket Analysis'!N:N)</f>
        <v>361.83</v>
      </c>
      <c r="K353" s="12">
        <f>_xlfn.XLOOKUP(Input_Table[[#This Row],[INVOICE ID]],'SuperMarket Analysis'!A:A,'SuperMarket Analysis'!J:J)</f>
        <v>379.92149999999998</v>
      </c>
      <c r="L353" s="6">
        <f>DAY(Input_Table[[#This Row],[DATE]])</f>
        <v>25</v>
      </c>
      <c r="M353" s="6" t="str">
        <f>TEXT(Input_Table[[#This Row],[DATE]],"mmmm")</f>
        <v>January</v>
      </c>
      <c r="N353" s="6">
        <f>YEAR(Input_Table[[#This Row],[DATE]])</f>
        <v>2019</v>
      </c>
    </row>
    <row r="354" spans="1:14" x14ac:dyDescent="0.3">
      <c r="A354" s="2">
        <f>_xlfn.XLOOKUP(B354,SuperMarket_Analysis[Invoice ID],SuperMarket_Analysis[Date])</f>
        <v>43491</v>
      </c>
      <c r="B354" s="6" t="s">
        <v>385</v>
      </c>
      <c r="C354" s="7">
        <f>_xlfn.XLOOKUP(B354,SuperMarket_Analysis[Invoice ID],SuperMarket_Analysis[Quantity])</f>
        <v>7</v>
      </c>
      <c r="D354" s="6" t="str">
        <f>_xlfn.XLOOKUP('Input data'!B354,'SuperMarket Analysis'!A:A,'SuperMarket Analysis'!F:F)</f>
        <v>Fashion accessories</v>
      </c>
      <c r="E354" s="6" t="str">
        <f>_xlfn.XLOOKUP(B354,'SuperMarket Analysis'!A:A,'SuperMarket Analysis'!M:M)</f>
        <v>Credit card</v>
      </c>
      <c r="F354" s="6">
        <f>0.05*Input_Table[[#This Row],[TOTAL C.O.G.S]]</f>
        <v>19.1555</v>
      </c>
      <c r="G354" s="6" t="str">
        <f>_xlfn.XLOOKUP(Input_Table[[#This Row],[INVOICE ID]],'SuperMarket Analysis'!A:A,'SuperMarket Analysis'!B:B)</f>
        <v>Cairo</v>
      </c>
      <c r="H354" s="6" t="str">
        <f>_xlfn.XLOOKUP(Input_Table[[#This Row],[INVOICE ID]],'SuperMarket Analysis'!A:A,'SuperMarket Analysis'!F:F)</f>
        <v>Fashion accessories</v>
      </c>
      <c r="I354" s="12">
        <f>_xlfn.XLOOKUP(Input_Table[[#This Row],[INVOICE ID]],'SuperMarket Analysis'!A:A,'SuperMarket Analysis'!G:G)</f>
        <v>54.73</v>
      </c>
      <c r="J354" s="12">
        <f>_xlfn.XLOOKUP(Input_Table[[#This Row],[INVOICE ID]],'SuperMarket Analysis'!A:A,'SuperMarket Analysis'!N:N)</f>
        <v>383.11</v>
      </c>
      <c r="K354" s="12">
        <f>_xlfn.XLOOKUP(Input_Table[[#This Row],[INVOICE ID]],'SuperMarket Analysis'!A:A,'SuperMarket Analysis'!J:J)</f>
        <v>402.26549999999997</v>
      </c>
      <c r="L354" s="6">
        <f>DAY(Input_Table[[#This Row],[DATE]])</f>
        <v>26</v>
      </c>
      <c r="M354" s="6" t="str">
        <f>TEXT(Input_Table[[#This Row],[DATE]],"mmmm")</f>
        <v>January</v>
      </c>
      <c r="N354" s="6">
        <f>YEAR(Input_Table[[#This Row],[DATE]])</f>
        <v>2019</v>
      </c>
    </row>
    <row r="355" spans="1:14" x14ac:dyDescent="0.3">
      <c r="A355" s="2">
        <f>_xlfn.XLOOKUP(B355,SuperMarket_Analysis[Invoice ID],SuperMarket_Analysis[Date])</f>
        <v>43484</v>
      </c>
      <c r="B355" s="6" t="s">
        <v>386</v>
      </c>
      <c r="C355" s="7">
        <f>_xlfn.XLOOKUP(B355,SuperMarket_Analysis[Invoice ID],SuperMarket_Analysis[Quantity])</f>
        <v>9</v>
      </c>
      <c r="D355" s="6" t="str">
        <f>_xlfn.XLOOKUP('Input data'!B355,'SuperMarket Analysis'!A:A,'SuperMarket Analysis'!F:F)</f>
        <v>Home and lifestyle</v>
      </c>
      <c r="E355" s="6" t="str">
        <f>_xlfn.XLOOKUP(B355,'SuperMarket Analysis'!A:A,'SuperMarket Analysis'!M:M)</f>
        <v>Cash</v>
      </c>
      <c r="F355" s="6">
        <f>0.05*Input_Table[[#This Row],[TOTAL C.O.G.S]]</f>
        <v>12.15</v>
      </c>
      <c r="G355" s="6" t="str">
        <f>_xlfn.XLOOKUP(Input_Table[[#This Row],[INVOICE ID]],'SuperMarket Analysis'!A:A,'SuperMarket Analysis'!B:B)</f>
        <v>Cairo</v>
      </c>
      <c r="H355" s="6" t="str">
        <f>_xlfn.XLOOKUP(Input_Table[[#This Row],[INVOICE ID]],'SuperMarket Analysis'!A:A,'SuperMarket Analysis'!F:F)</f>
        <v>Home and lifestyle</v>
      </c>
      <c r="I355" s="12">
        <f>_xlfn.XLOOKUP(Input_Table[[#This Row],[INVOICE ID]],'SuperMarket Analysis'!A:A,'SuperMarket Analysis'!G:G)</f>
        <v>27</v>
      </c>
      <c r="J355" s="12">
        <f>_xlfn.XLOOKUP(Input_Table[[#This Row],[INVOICE ID]],'SuperMarket Analysis'!A:A,'SuperMarket Analysis'!N:N)</f>
        <v>243</v>
      </c>
      <c r="K355" s="12">
        <f>_xlfn.XLOOKUP(Input_Table[[#This Row],[INVOICE ID]],'SuperMarket Analysis'!A:A,'SuperMarket Analysis'!J:J)</f>
        <v>255.15</v>
      </c>
      <c r="L355" s="6">
        <f>DAY(Input_Table[[#This Row],[DATE]])</f>
        <v>19</v>
      </c>
      <c r="M355" s="6" t="str">
        <f>TEXT(Input_Table[[#This Row],[DATE]],"mmmm")</f>
        <v>January</v>
      </c>
      <c r="N355" s="6">
        <f>YEAR(Input_Table[[#This Row],[DATE]])</f>
        <v>2019</v>
      </c>
    </row>
    <row r="356" spans="1:14" x14ac:dyDescent="0.3">
      <c r="A356" s="2">
        <f>_xlfn.XLOOKUP(B356,SuperMarket_Analysis[Invoice ID],SuperMarket_Analysis[Date])</f>
        <v>43480</v>
      </c>
      <c r="B356" s="6" t="s">
        <v>387</v>
      </c>
      <c r="C356" s="7">
        <f>_xlfn.XLOOKUP(B356,SuperMarket_Analysis[Invoice ID],SuperMarket_Analysis[Quantity])</f>
        <v>1</v>
      </c>
      <c r="D356" s="6" t="str">
        <f>_xlfn.XLOOKUP('Input data'!B356,'SuperMarket Analysis'!A:A,'SuperMarket Analysis'!F:F)</f>
        <v>Electronic accessories</v>
      </c>
      <c r="E356" s="6" t="str">
        <f>_xlfn.XLOOKUP(B356,'SuperMarket Analysis'!A:A,'SuperMarket Analysis'!M:M)</f>
        <v>Cash</v>
      </c>
      <c r="F356" s="6">
        <f>0.05*Input_Table[[#This Row],[TOTAL C.O.G.S]]</f>
        <v>1.512</v>
      </c>
      <c r="G356" s="6" t="str">
        <f>_xlfn.XLOOKUP(Input_Table[[#This Row],[INVOICE ID]],'SuperMarket Analysis'!A:A,'SuperMarket Analysis'!B:B)</f>
        <v>Giza</v>
      </c>
      <c r="H356" s="6" t="str">
        <f>_xlfn.XLOOKUP(Input_Table[[#This Row],[INVOICE ID]],'SuperMarket Analysis'!A:A,'SuperMarket Analysis'!F:F)</f>
        <v>Electronic accessories</v>
      </c>
      <c r="I356" s="12">
        <f>_xlfn.XLOOKUP(Input_Table[[#This Row],[INVOICE ID]],'SuperMarket Analysis'!A:A,'SuperMarket Analysis'!G:G)</f>
        <v>30.24</v>
      </c>
      <c r="J356" s="12">
        <f>_xlfn.XLOOKUP(Input_Table[[#This Row],[INVOICE ID]],'SuperMarket Analysis'!A:A,'SuperMarket Analysis'!N:N)</f>
        <v>30.24</v>
      </c>
      <c r="K356" s="12">
        <f>_xlfn.XLOOKUP(Input_Table[[#This Row],[INVOICE ID]],'SuperMarket Analysis'!A:A,'SuperMarket Analysis'!J:J)</f>
        <v>31.751999999999999</v>
      </c>
      <c r="L356" s="6">
        <f>DAY(Input_Table[[#This Row],[DATE]])</f>
        <v>15</v>
      </c>
      <c r="M356" s="6" t="str">
        <f>TEXT(Input_Table[[#This Row],[DATE]],"mmmm")</f>
        <v>January</v>
      </c>
      <c r="N356" s="6">
        <f>YEAR(Input_Table[[#This Row],[DATE]])</f>
        <v>2019</v>
      </c>
    </row>
    <row r="357" spans="1:14" x14ac:dyDescent="0.3">
      <c r="A357" s="2">
        <f>_xlfn.XLOOKUP(B357,SuperMarket_Analysis[Invoice ID],SuperMarket_Analysis[Date])</f>
        <v>43542</v>
      </c>
      <c r="B357" s="6" t="s">
        <v>388</v>
      </c>
      <c r="C357" s="7">
        <f>_xlfn.XLOOKUP(B357,SuperMarket_Analysis[Invoice ID],SuperMarket_Analysis[Quantity])</f>
        <v>4</v>
      </c>
      <c r="D357" s="6" t="str">
        <f>_xlfn.XLOOKUP('Input data'!B357,'SuperMarket Analysis'!A:A,'SuperMarket Analysis'!F:F)</f>
        <v>Food and beverages</v>
      </c>
      <c r="E357" s="6" t="str">
        <f>_xlfn.XLOOKUP(B357,'SuperMarket Analysis'!A:A,'SuperMarket Analysis'!M:M)</f>
        <v>Credit card</v>
      </c>
      <c r="F357" s="6">
        <f>0.05*Input_Table[[#This Row],[TOTAL C.O.G.S]]</f>
        <v>17.827999999999999</v>
      </c>
      <c r="G357" s="6" t="str">
        <f>_xlfn.XLOOKUP(Input_Table[[#This Row],[INVOICE ID]],'SuperMarket Analysis'!A:A,'SuperMarket Analysis'!B:B)</f>
        <v>Cairo</v>
      </c>
      <c r="H357" s="6" t="str">
        <f>_xlfn.XLOOKUP(Input_Table[[#This Row],[INVOICE ID]],'SuperMarket Analysis'!A:A,'SuperMarket Analysis'!F:F)</f>
        <v>Food and beverages</v>
      </c>
      <c r="I357" s="12">
        <f>_xlfn.XLOOKUP(Input_Table[[#This Row],[INVOICE ID]],'SuperMarket Analysis'!A:A,'SuperMarket Analysis'!G:G)</f>
        <v>89.14</v>
      </c>
      <c r="J357" s="12">
        <f>_xlfn.XLOOKUP(Input_Table[[#This Row],[INVOICE ID]],'SuperMarket Analysis'!A:A,'SuperMarket Analysis'!N:N)</f>
        <v>356.56</v>
      </c>
      <c r="K357" s="12">
        <f>_xlfn.XLOOKUP(Input_Table[[#This Row],[INVOICE ID]],'SuperMarket Analysis'!A:A,'SuperMarket Analysis'!J:J)</f>
        <v>374.38799999999998</v>
      </c>
      <c r="L357" s="6">
        <f>DAY(Input_Table[[#This Row],[DATE]])</f>
        <v>18</v>
      </c>
      <c r="M357" s="6" t="str">
        <f>TEXT(Input_Table[[#This Row],[DATE]],"mmmm")</f>
        <v>March</v>
      </c>
      <c r="N357" s="6">
        <f>YEAR(Input_Table[[#This Row],[DATE]])</f>
        <v>2019</v>
      </c>
    </row>
    <row r="358" spans="1:14" x14ac:dyDescent="0.3">
      <c r="A358" s="2">
        <f>_xlfn.XLOOKUP(B358,SuperMarket_Analysis[Invoice ID],SuperMarket_Analysis[Date])</f>
        <v>43544</v>
      </c>
      <c r="B358" s="6" t="s">
        <v>389</v>
      </c>
      <c r="C358" s="7">
        <f>_xlfn.XLOOKUP(B358,SuperMarket_Analysis[Invoice ID],SuperMarket_Analysis[Quantity])</f>
        <v>10</v>
      </c>
      <c r="D358" s="6" t="str">
        <f>_xlfn.XLOOKUP('Input data'!B358,'SuperMarket Analysis'!A:A,'SuperMarket Analysis'!F:F)</f>
        <v>Fashion accessories</v>
      </c>
      <c r="E358" s="6" t="str">
        <f>_xlfn.XLOOKUP(B358,'SuperMarket Analysis'!A:A,'SuperMarket Analysis'!M:M)</f>
        <v>Credit card</v>
      </c>
      <c r="F358" s="6">
        <f>0.05*Input_Table[[#This Row],[TOTAL C.O.G.S]]</f>
        <v>18.775000000000002</v>
      </c>
      <c r="G358" s="6" t="str">
        <f>_xlfn.XLOOKUP(Input_Table[[#This Row],[INVOICE ID]],'SuperMarket Analysis'!A:A,'SuperMarket Analysis'!B:B)</f>
        <v>Giza</v>
      </c>
      <c r="H358" s="6" t="str">
        <f>_xlfn.XLOOKUP(Input_Table[[#This Row],[INVOICE ID]],'SuperMarket Analysis'!A:A,'SuperMarket Analysis'!F:F)</f>
        <v>Fashion accessories</v>
      </c>
      <c r="I358" s="12">
        <f>_xlfn.XLOOKUP(Input_Table[[#This Row],[INVOICE ID]],'SuperMarket Analysis'!A:A,'SuperMarket Analysis'!G:G)</f>
        <v>37.549999999999997</v>
      </c>
      <c r="J358" s="12">
        <f>_xlfn.XLOOKUP(Input_Table[[#This Row],[INVOICE ID]],'SuperMarket Analysis'!A:A,'SuperMarket Analysis'!N:N)</f>
        <v>375.5</v>
      </c>
      <c r="K358" s="12">
        <f>_xlfn.XLOOKUP(Input_Table[[#This Row],[INVOICE ID]],'SuperMarket Analysis'!A:A,'SuperMarket Analysis'!J:J)</f>
        <v>394.27499999999998</v>
      </c>
      <c r="L358" s="6">
        <f>DAY(Input_Table[[#This Row],[DATE]])</f>
        <v>20</v>
      </c>
      <c r="M358" s="6" t="str">
        <f>TEXT(Input_Table[[#This Row],[DATE]],"mmmm")</f>
        <v>March</v>
      </c>
      <c r="N358" s="6">
        <f>YEAR(Input_Table[[#This Row],[DATE]])</f>
        <v>2019</v>
      </c>
    </row>
    <row r="359" spans="1:14" x14ac:dyDescent="0.3">
      <c r="A359" s="2">
        <f>_xlfn.XLOOKUP(B359,SuperMarket_Analysis[Invoice ID],SuperMarket_Analysis[Date])</f>
        <v>43480</v>
      </c>
      <c r="B359" s="6" t="s">
        <v>390</v>
      </c>
      <c r="C359" s="7">
        <f>_xlfn.XLOOKUP(B359,SuperMarket_Analysis[Invoice ID],SuperMarket_Analysis[Quantity])</f>
        <v>10</v>
      </c>
      <c r="D359" s="6" t="str">
        <f>_xlfn.XLOOKUP('Input data'!B359,'SuperMarket Analysis'!A:A,'SuperMarket Analysis'!F:F)</f>
        <v>Sports and travel</v>
      </c>
      <c r="E359" s="6" t="str">
        <f>_xlfn.XLOOKUP(B359,'SuperMarket Analysis'!A:A,'SuperMarket Analysis'!M:M)</f>
        <v>Cash</v>
      </c>
      <c r="F359" s="6">
        <f>0.05*Input_Table[[#This Row],[TOTAL C.O.G.S]]</f>
        <v>47.72</v>
      </c>
      <c r="G359" s="6" t="str">
        <f>_xlfn.XLOOKUP(Input_Table[[#This Row],[INVOICE ID]],'SuperMarket Analysis'!A:A,'SuperMarket Analysis'!B:B)</f>
        <v>Giza</v>
      </c>
      <c r="H359" s="6" t="str">
        <f>_xlfn.XLOOKUP(Input_Table[[#This Row],[INVOICE ID]],'SuperMarket Analysis'!A:A,'SuperMarket Analysis'!F:F)</f>
        <v>Sports and travel</v>
      </c>
      <c r="I359" s="12">
        <f>_xlfn.XLOOKUP(Input_Table[[#This Row],[INVOICE ID]],'SuperMarket Analysis'!A:A,'SuperMarket Analysis'!G:G)</f>
        <v>95.44</v>
      </c>
      <c r="J359" s="12">
        <f>_xlfn.XLOOKUP(Input_Table[[#This Row],[INVOICE ID]],'SuperMarket Analysis'!A:A,'SuperMarket Analysis'!N:N)</f>
        <v>954.4</v>
      </c>
      <c r="K359" s="12">
        <f>_xlfn.XLOOKUP(Input_Table[[#This Row],[INVOICE ID]],'SuperMarket Analysis'!A:A,'SuperMarket Analysis'!J:J)</f>
        <v>1002.12</v>
      </c>
      <c r="L359" s="6">
        <f>DAY(Input_Table[[#This Row],[DATE]])</f>
        <v>15</v>
      </c>
      <c r="M359" s="6" t="str">
        <f>TEXT(Input_Table[[#This Row],[DATE]],"mmmm")</f>
        <v>January</v>
      </c>
      <c r="N359" s="6">
        <f>YEAR(Input_Table[[#This Row],[DATE]])</f>
        <v>2019</v>
      </c>
    </row>
    <row r="360" spans="1:14" x14ac:dyDescent="0.3">
      <c r="A360" s="2">
        <f>_xlfn.XLOOKUP(B360,SuperMarket_Analysis[Invoice ID],SuperMarket_Analysis[Date])</f>
        <v>43543</v>
      </c>
      <c r="B360" s="6" t="s">
        <v>391</v>
      </c>
      <c r="C360" s="7">
        <f>_xlfn.XLOOKUP(B360,SuperMarket_Analysis[Invoice ID],SuperMarket_Analysis[Quantity])</f>
        <v>3</v>
      </c>
      <c r="D360" s="6" t="str">
        <f>_xlfn.XLOOKUP('Input data'!B360,'SuperMarket Analysis'!A:A,'SuperMarket Analysis'!F:F)</f>
        <v>Electronic accessories</v>
      </c>
      <c r="E360" s="6" t="str">
        <f>_xlfn.XLOOKUP(B360,'SuperMarket Analysis'!A:A,'SuperMarket Analysis'!M:M)</f>
        <v>Ewallet</v>
      </c>
      <c r="F360" s="6">
        <f>0.05*Input_Table[[#This Row],[TOTAL C.O.G.S]]</f>
        <v>4.125</v>
      </c>
      <c r="G360" s="6" t="str">
        <f>_xlfn.XLOOKUP(Input_Table[[#This Row],[INVOICE ID]],'SuperMarket Analysis'!A:A,'SuperMarket Analysis'!B:B)</f>
        <v>Cairo</v>
      </c>
      <c r="H360" s="6" t="str">
        <f>_xlfn.XLOOKUP(Input_Table[[#This Row],[INVOICE ID]],'SuperMarket Analysis'!A:A,'SuperMarket Analysis'!F:F)</f>
        <v>Electronic accessories</v>
      </c>
      <c r="I360" s="12">
        <f>_xlfn.XLOOKUP(Input_Table[[#This Row],[INVOICE ID]],'SuperMarket Analysis'!A:A,'SuperMarket Analysis'!G:G)</f>
        <v>27.5</v>
      </c>
      <c r="J360" s="12">
        <f>_xlfn.XLOOKUP(Input_Table[[#This Row],[INVOICE ID]],'SuperMarket Analysis'!A:A,'SuperMarket Analysis'!N:N)</f>
        <v>82.5</v>
      </c>
      <c r="K360" s="12">
        <f>_xlfn.XLOOKUP(Input_Table[[#This Row],[INVOICE ID]],'SuperMarket Analysis'!A:A,'SuperMarket Analysis'!J:J)</f>
        <v>86.625</v>
      </c>
      <c r="L360" s="6">
        <f>DAY(Input_Table[[#This Row],[DATE]])</f>
        <v>19</v>
      </c>
      <c r="M360" s="6" t="str">
        <f>TEXT(Input_Table[[#This Row],[DATE]],"mmmm")</f>
        <v>March</v>
      </c>
      <c r="N360" s="6">
        <f>YEAR(Input_Table[[#This Row],[DATE]])</f>
        <v>2019</v>
      </c>
    </row>
    <row r="361" spans="1:14" x14ac:dyDescent="0.3">
      <c r="A361" s="2">
        <f>_xlfn.XLOOKUP(B361,SuperMarket_Analysis[Invoice ID],SuperMarket_Analysis[Date])</f>
        <v>43523</v>
      </c>
      <c r="B361" s="6" t="s">
        <v>392</v>
      </c>
      <c r="C361" s="7">
        <f>_xlfn.XLOOKUP(B361,SuperMarket_Analysis[Invoice ID],SuperMarket_Analysis[Quantity])</f>
        <v>1</v>
      </c>
      <c r="D361" s="6" t="str">
        <f>_xlfn.XLOOKUP('Input data'!B361,'SuperMarket Analysis'!A:A,'SuperMarket Analysis'!F:F)</f>
        <v>Sports and travel</v>
      </c>
      <c r="E361" s="6" t="str">
        <f>_xlfn.XLOOKUP(B361,'SuperMarket Analysis'!A:A,'SuperMarket Analysis'!M:M)</f>
        <v>Cash</v>
      </c>
      <c r="F361" s="6">
        <f>0.05*Input_Table[[#This Row],[TOTAL C.O.G.S]]</f>
        <v>3.7484999999999999</v>
      </c>
      <c r="G361" s="6" t="str">
        <f>_xlfn.XLOOKUP(Input_Table[[#This Row],[INVOICE ID]],'SuperMarket Analysis'!A:A,'SuperMarket Analysis'!B:B)</f>
        <v>Cairo</v>
      </c>
      <c r="H361" s="6" t="str">
        <f>_xlfn.XLOOKUP(Input_Table[[#This Row],[INVOICE ID]],'SuperMarket Analysis'!A:A,'SuperMarket Analysis'!F:F)</f>
        <v>Sports and travel</v>
      </c>
      <c r="I361" s="12">
        <f>_xlfn.XLOOKUP(Input_Table[[#This Row],[INVOICE ID]],'SuperMarket Analysis'!A:A,'SuperMarket Analysis'!G:G)</f>
        <v>74.97</v>
      </c>
      <c r="J361" s="12">
        <f>_xlfn.XLOOKUP(Input_Table[[#This Row],[INVOICE ID]],'SuperMarket Analysis'!A:A,'SuperMarket Analysis'!N:N)</f>
        <v>74.97</v>
      </c>
      <c r="K361" s="12">
        <f>_xlfn.XLOOKUP(Input_Table[[#This Row],[INVOICE ID]],'SuperMarket Analysis'!A:A,'SuperMarket Analysis'!J:J)</f>
        <v>78.718500000000006</v>
      </c>
      <c r="L361" s="6">
        <f>DAY(Input_Table[[#This Row],[DATE]])</f>
        <v>27</v>
      </c>
      <c r="M361" s="6" t="str">
        <f>TEXT(Input_Table[[#This Row],[DATE]],"mmmm")</f>
        <v>February</v>
      </c>
      <c r="N361" s="6">
        <f>YEAR(Input_Table[[#This Row],[DATE]])</f>
        <v>2019</v>
      </c>
    </row>
    <row r="362" spans="1:14" x14ac:dyDescent="0.3">
      <c r="A362" s="2">
        <f>_xlfn.XLOOKUP(B362,SuperMarket_Analysis[Invoice ID],SuperMarket_Analysis[Date])</f>
        <v>43519</v>
      </c>
      <c r="B362" s="6" t="s">
        <v>393</v>
      </c>
      <c r="C362" s="7">
        <f>_xlfn.XLOOKUP(B362,SuperMarket_Analysis[Invoice ID],SuperMarket_Analysis[Quantity])</f>
        <v>8</v>
      </c>
      <c r="D362" s="6" t="str">
        <f>_xlfn.XLOOKUP('Input data'!B362,'SuperMarket Analysis'!A:A,'SuperMarket Analysis'!F:F)</f>
        <v>Food and beverages</v>
      </c>
      <c r="E362" s="6" t="str">
        <f>_xlfn.XLOOKUP(B362,'SuperMarket Analysis'!A:A,'SuperMarket Analysis'!M:M)</f>
        <v>Credit card</v>
      </c>
      <c r="F362" s="6">
        <f>0.05*Input_Table[[#This Row],[TOTAL C.O.G.S]]</f>
        <v>32.384</v>
      </c>
      <c r="G362" s="6" t="str">
        <f>_xlfn.XLOOKUP(Input_Table[[#This Row],[INVOICE ID]],'SuperMarket Analysis'!A:A,'SuperMarket Analysis'!B:B)</f>
        <v>Alex</v>
      </c>
      <c r="H362" s="6" t="str">
        <f>_xlfn.XLOOKUP(Input_Table[[#This Row],[INVOICE ID]],'SuperMarket Analysis'!A:A,'SuperMarket Analysis'!F:F)</f>
        <v>Food and beverages</v>
      </c>
      <c r="I362" s="12">
        <f>_xlfn.XLOOKUP(Input_Table[[#This Row],[INVOICE ID]],'SuperMarket Analysis'!A:A,'SuperMarket Analysis'!G:G)</f>
        <v>80.959999999999994</v>
      </c>
      <c r="J362" s="12">
        <f>_xlfn.XLOOKUP(Input_Table[[#This Row],[INVOICE ID]],'SuperMarket Analysis'!A:A,'SuperMarket Analysis'!N:N)</f>
        <v>647.67999999999995</v>
      </c>
      <c r="K362" s="12">
        <f>_xlfn.XLOOKUP(Input_Table[[#This Row],[INVOICE ID]],'SuperMarket Analysis'!A:A,'SuperMarket Analysis'!J:J)</f>
        <v>680.06399999999996</v>
      </c>
      <c r="L362" s="6">
        <f>DAY(Input_Table[[#This Row],[DATE]])</f>
        <v>23</v>
      </c>
      <c r="M362" s="6" t="str">
        <f>TEXT(Input_Table[[#This Row],[DATE]],"mmmm")</f>
        <v>February</v>
      </c>
      <c r="N362" s="6">
        <f>YEAR(Input_Table[[#This Row],[DATE]])</f>
        <v>2019</v>
      </c>
    </row>
    <row r="363" spans="1:14" x14ac:dyDescent="0.3">
      <c r="A363" s="2">
        <f>_xlfn.XLOOKUP(B363,SuperMarket_Analysis[Invoice ID],SuperMarket_Analysis[Date])</f>
        <v>43543</v>
      </c>
      <c r="B363" s="6" t="s">
        <v>394</v>
      </c>
      <c r="C363" s="7">
        <f>_xlfn.XLOOKUP(B363,SuperMarket_Analysis[Invoice ID],SuperMarket_Analysis[Quantity])</f>
        <v>8</v>
      </c>
      <c r="D363" s="6" t="str">
        <f>_xlfn.XLOOKUP('Input data'!B363,'SuperMarket Analysis'!A:A,'SuperMarket Analysis'!F:F)</f>
        <v>Food and beverages</v>
      </c>
      <c r="E363" s="6" t="str">
        <f>_xlfn.XLOOKUP(B363,'SuperMarket Analysis'!A:A,'SuperMarket Analysis'!M:M)</f>
        <v>Cash</v>
      </c>
      <c r="F363" s="6">
        <f>0.05*Input_Table[[#This Row],[TOTAL C.O.G.S]]</f>
        <v>37.788000000000004</v>
      </c>
      <c r="G363" s="6" t="str">
        <f>_xlfn.XLOOKUP(Input_Table[[#This Row],[INVOICE ID]],'SuperMarket Analysis'!A:A,'SuperMarket Analysis'!B:B)</f>
        <v>Giza</v>
      </c>
      <c r="H363" s="6" t="str">
        <f>_xlfn.XLOOKUP(Input_Table[[#This Row],[INVOICE ID]],'SuperMarket Analysis'!A:A,'SuperMarket Analysis'!F:F)</f>
        <v>Food and beverages</v>
      </c>
      <c r="I363" s="12">
        <f>_xlfn.XLOOKUP(Input_Table[[#This Row],[INVOICE ID]],'SuperMarket Analysis'!A:A,'SuperMarket Analysis'!G:G)</f>
        <v>94.47</v>
      </c>
      <c r="J363" s="12">
        <f>_xlfn.XLOOKUP(Input_Table[[#This Row],[INVOICE ID]],'SuperMarket Analysis'!A:A,'SuperMarket Analysis'!N:N)</f>
        <v>755.76</v>
      </c>
      <c r="K363" s="12">
        <f>_xlfn.XLOOKUP(Input_Table[[#This Row],[INVOICE ID]],'SuperMarket Analysis'!A:A,'SuperMarket Analysis'!J:J)</f>
        <v>793.548</v>
      </c>
      <c r="L363" s="6">
        <f>DAY(Input_Table[[#This Row],[DATE]])</f>
        <v>19</v>
      </c>
      <c r="M363" s="6" t="str">
        <f>TEXT(Input_Table[[#This Row],[DATE]],"mmmm")</f>
        <v>March</v>
      </c>
      <c r="N363" s="6">
        <f>YEAR(Input_Table[[#This Row],[DATE]])</f>
        <v>2019</v>
      </c>
    </row>
    <row r="364" spans="1:14" x14ac:dyDescent="0.3">
      <c r="A364" s="2">
        <f>_xlfn.XLOOKUP(B364,SuperMarket_Analysis[Invoice ID],SuperMarket_Analysis[Date])</f>
        <v>43551</v>
      </c>
      <c r="B364" s="6" t="s">
        <v>395</v>
      </c>
      <c r="C364" s="7">
        <f>_xlfn.XLOOKUP(B364,SuperMarket_Analysis[Invoice ID],SuperMarket_Analysis[Quantity])</f>
        <v>2</v>
      </c>
      <c r="D364" s="6" t="str">
        <f>_xlfn.XLOOKUP('Input data'!B364,'SuperMarket Analysis'!A:A,'SuperMarket Analysis'!F:F)</f>
        <v>Food and beverages</v>
      </c>
      <c r="E364" s="6" t="str">
        <f>_xlfn.XLOOKUP(B364,'SuperMarket Analysis'!A:A,'SuperMarket Analysis'!M:M)</f>
        <v>Ewallet</v>
      </c>
      <c r="F364" s="6">
        <f>0.05*Input_Table[[#This Row],[TOTAL C.O.G.S]]</f>
        <v>9.979000000000001</v>
      </c>
      <c r="G364" s="6" t="str">
        <f>_xlfn.XLOOKUP(Input_Table[[#This Row],[INVOICE ID]],'SuperMarket Analysis'!A:A,'SuperMarket Analysis'!B:B)</f>
        <v>Giza</v>
      </c>
      <c r="H364" s="6" t="str">
        <f>_xlfn.XLOOKUP(Input_Table[[#This Row],[INVOICE ID]],'SuperMarket Analysis'!A:A,'SuperMarket Analysis'!F:F)</f>
        <v>Food and beverages</v>
      </c>
      <c r="I364" s="12">
        <f>_xlfn.XLOOKUP(Input_Table[[#This Row],[INVOICE ID]],'SuperMarket Analysis'!A:A,'SuperMarket Analysis'!G:G)</f>
        <v>99.79</v>
      </c>
      <c r="J364" s="12">
        <f>_xlfn.XLOOKUP(Input_Table[[#This Row],[INVOICE ID]],'SuperMarket Analysis'!A:A,'SuperMarket Analysis'!N:N)</f>
        <v>199.58</v>
      </c>
      <c r="K364" s="12">
        <f>_xlfn.XLOOKUP(Input_Table[[#This Row],[INVOICE ID]],'SuperMarket Analysis'!A:A,'SuperMarket Analysis'!J:J)</f>
        <v>209.559</v>
      </c>
      <c r="L364" s="6">
        <f>DAY(Input_Table[[#This Row],[DATE]])</f>
        <v>27</v>
      </c>
      <c r="M364" s="6" t="str">
        <f>TEXT(Input_Table[[#This Row],[DATE]],"mmmm")</f>
        <v>March</v>
      </c>
      <c r="N364" s="6">
        <f>YEAR(Input_Table[[#This Row],[DATE]])</f>
        <v>2019</v>
      </c>
    </row>
    <row r="365" spans="1:14" x14ac:dyDescent="0.3">
      <c r="A365" s="2">
        <f>_xlfn.XLOOKUP(B365,SuperMarket_Analysis[Invoice ID],SuperMarket_Analysis[Date])</f>
        <v>43554</v>
      </c>
      <c r="B365" s="6" t="s">
        <v>396</v>
      </c>
      <c r="C365" s="7">
        <f>_xlfn.XLOOKUP(B365,SuperMarket_Analysis[Invoice ID],SuperMarket_Analysis[Quantity])</f>
        <v>6</v>
      </c>
      <c r="D365" s="6" t="str">
        <f>_xlfn.XLOOKUP('Input data'!B365,'SuperMarket Analysis'!A:A,'SuperMarket Analysis'!F:F)</f>
        <v>Home and lifestyle</v>
      </c>
      <c r="E365" s="6" t="str">
        <f>_xlfn.XLOOKUP(B365,'SuperMarket Analysis'!A:A,'SuperMarket Analysis'!M:M)</f>
        <v>Cash</v>
      </c>
      <c r="F365" s="6">
        <f>0.05*Input_Table[[#This Row],[TOTAL C.O.G.S]]</f>
        <v>21.966000000000001</v>
      </c>
      <c r="G365" s="6" t="str">
        <f>_xlfn.XLOOKUP(Input_Table[[#This Row],[INVOICE ID]],'SuperMarket Analysis'!A:A,'SuperMarket Analysis'!B:B)</f>
        <v>Alex</v>
      </c>
      <c r="H365" s="6" t="str">
        <f>_xlfn.XLOOKUP(Input_Table[[#This Row],[INVOICE ID]],'SuperMarket Analysis'!A:A,'SuperMarket Analysis'!F:F)</f>
        <v>Home and lifestyle</v>
      </c>
      <c r="I365" s="12">
        <f>_xlfn.XLOOKUP(Input_Table[[#This Row],[INVOICE ID]],'SuperMarket Analysis'!A:A,'SuperMarket Analysis'!G:G)</f>
        <v>73.22</v>
      </c>
      <c r="J365" s="12">
        <f>_xlfn.XLOOKUP(Input_Table[[#This Row],[INVOICE ID]],'SuperMarket Analysis'!A:A,'SuperMarket Analysis'!N:N)</f>
        <v>439.32</v>
      </c>
      <c r="K365" s="12">
        <f>_xlfn.XLOOKUP(Input_Table[[#This Row],[INVOICE ID]],'SuperMarket Analysis'!A:A,'SuperMarket Analysis'!J:J)</f>
        <v>461.286</v>
      </c>
      <c r="L365" s="6">
        <f>DAY(Input_Table[[#This Row],[DATE]])</f>
        <v>30</v>
      </c>
      <c r="M365" s="6" t="str">
        <f>TEXT(Input_Table[[#This Row],[DATE]],"mmmm")</f>
        <v>March</v>
      </c>
      <c r="N365" s="6">
        <f>YEAR(Input_Table[[#This Row],[DATE]])</f>
        <v>2019</v>
      </c>
    </row>
    <row r="366" spans="1:14" x14ac:dyDescent="0.3">
      <c r="A366" s="2">
        <f>_xlfn.XLOOKUP(B366,SuperMarket_Analysis[Invoice ID],SuperMarket_Analysis[Date])</f>
        <v>43512</v>
      </c>
      <c r="B366" s="6" t="s">
        <v>397</v>
      </c>
      <c r="C366" s="7">
        <f>_xlfn.XLOOKUP(B366,SuperMarket_Analysis[Invoice ID],SuperMarket_Analysis[Quantity])</f>
        <v>4</v>
      </c>
      <c r="D366" s="6" t="str">
        <f>_xlfn.XLOOKUP('Input data'!B366,'SuperMarket Analysis'!A:A,'SuperMarket Analysis'!F:F)</f>
        <v>Food and beverages</v>
      </c>
      <c r="E366" s="6" t="str">
        <f>_xlfn.XLOOKUP(B366,'SuperMarket Analysis'!A:A,'SuperMarket Analysis'!M:M)</f>
        <v>Cash</v>
      </c>
      <c r="F366" s="6">
        <f>0.05*Input_Table[[#This Row],[TOTAL C.O.G.S]]</f>
        <v>8.2480000000000011</v>
      </c>
      <c r="G366" s="6" t="str">
        <f>_xlfn.XLOOKUP(Input_Table[[#This Row],[INVOICE ID]],'SuperMarket Analysis'!A:A,'SuperMarket Analysis'!B:B)</f>
        <v>Giza</v>
      </c>
      <c r="H366" s="6" t="str">
        <f>_xlfn.XLOOKUP(Input_Table[[#This Row],[INVOICE ID]],'SuperMarket Analysis'!A:A,'SuperMarket Analysis'!F:F)</f>
        <v>Food and beverages</v>
      </c>
      <c r="I366" s="12">
        <f>_xlfn.XLOOKUP(Input_Table[[#This Row],[INVOICE ID]],'SuperMarket Analysis'!A:A,'SuperMarket Analysis'!G:G)</f>
        <v>41.24</v>
      </c>
      <c r="J366" s="12">
        <f>_xlfn.XLOOKUP(Input_Table[[#This Row],[INVOICE ID]],'SuperMarket Analysis'!A:A,'SuperMarket Analysis'!N:N)</f>
        <v>164.96</v>
      </c>
      <c r="K366" s="12">
        <f>_xlfn.XLOOKUP(Input_Table[[#This Row],[INVOICE ID]],'SuperMarket Analysis'!A:A,'SuperMarket Analysis'!J:J)</f>
        <v>173.208</v>
      </c>
      <c r="L366" s="6">
        <f>DAY(Input_Table[[#This Row],[DATE]])</f>
        <v>16</v>
      </c>
      <c r="M366" s="6" t="str">
        <f>TEXT(Input_Table[[#This Row],[DATE]],"mmmm")</f>
        <v>February</v>
      </c>
      <c r="N366" s="6">
        <f>YEAR(Input_Table[[#This Row],[DATE]])</f>
        <v>2019</v>
      </c>
    </row>
    <row r="367" spans="1:14" x14ac:dyDescent="0.3">
      <c r="A367" s="2">
        <f>_xlfn.XLOOKUP(B367,SuperMarket_Analysis[Invoice ID],SuperMarket_Analysis[Date])</f>
        <v>43483</v>
      </c>
      <c r="B367" s="6" t="s">
        <v>398</v>
      </c>
      <c r="C367" s="7">
        <f>_xlfn.XLOOKUP(B367,SuperMarket_Analysis[Invoice ID],SuperMarket_Analysis[Quantity])</f>
        <v>4</v>
      </c>
      <c r="D367" s="6" t="str">
        <f>_xlfn.XLOOKUP('Input data'!B367,'SuperMarket Analysis'!A:A,'SuperMarket Analysis'!F:F)</f>
        <v>Fashion accessories</v>
      </c>
      <c r="E367" s="6" t="str">
        <f>_xlfn.XLOOKUP(B367,'SuperMarket Analysis'!A:A,'SuperMarket Analysis'!M:M)</f>
        <v>Cash</v>
      </c>
      <c r="F367" s="6">
        <f>0.05*Input_Table[[#This Row],[TOTAL C.O.G.S]]</f>
        <v>16.336000000000002</v>
      </c>
      <c r="G367" s="6" t="str">
        <f>_xlfn.XLOOKUP(Input_Table[[#This Row],[INVOICE ID]],'SuperMarket Analysis'!A:A,'SuperMarket Analysis'!B:B)</f>
        <v>Giza</v>
      </c>
      <c r="H367" s="6" t="str">
        <f>_xlfn.XLOOKUP(Input_Table[[#This Row],[INVOICE ID]],'SuperMarket Analysis'!A:A,'SuperMarket Analysis'!F:F)</f>
        <v>Fashion accessories</v>
      </c>
      <c r="I367" s="12">
        <f>_xlfn.XLOOKUP(Input_Table[[#This Row],[INVOICE ID]],'SuperMarket Analysis'!A:A,'SuperMarket Analysis'!G:G)</f>
        <v>81.680000000000007</v>
      </c>
      <c r="J367" s="12">
        <f>_xlfn.XLOOKUP(Input_Table[[#This Row],[INVOICE ID]],'SuperMarket Analysis'!A:A,'SuperMarket Analysis'!N:N)</f>
        <v>326.72000000000003</v>
      </c>
      <c r="K367" s="12">
        <f>_xlfn.XLOOKUP(Input_Table[[#This Row],[INVOICE ID]],'SuperMarket Analysis'!A:A,'SuperMarket Analysis'!J:J)</f>
        <v>343.05599999999998</v>
      </c>
      <c r="L367" s="6">
        <f>DAY(Input_Table[[#This Row],[DATE]])</f>
        <v>18</v>
      </c>
      <c r="M367" s="6" t="str">
        <f>TEXT(Input_Table[[#This Row],[DATE]],"mmmm")</f>
        <v>January</v>
      </c>
      <c r="N367" s="6">
        <f>YEAR(Input_Table[[#This Row],[DATE]])</f>
        <v>2019</v>
      </c>
    </row>
    <row r="368" spans="1:14" x14ac:dyDescent="0.3">
      <c r="A368" s="2">
        <f>_xlfn.XLOOKUP(B368,SuperMarket_Analysis[Invoice ID],SuperMarket_Analysis[Date])</f>
        <v>43554</v>
      </c>
      <c r="B368" s="6" t="s">
        <v>399</v>
      </c>
      <c r="C368" s="7">
        <f>_xlfn.XLOOKUP(B368,SuperMarket_Analysis[Invoice ID],SuperMarket_Analysis[Quantity])</f>
        <v>9</v>
      </c>
      <c r="D368" s="6" t="str">
        <f>_xlfn.XLOOKUP('Input data'!B368,'SuperMarket Analysis'!A:A,'SuperMarket Analysis'!F:F)</f>
        <v>Electronic accessories</v>
      </c>
      <c r="E368" s="6" t="str">
        <f>_xlfn.XLOOKUP(B368,'SuperMarket Analysis'!A:A,'SuperMarket Analysis'!M:M)</f>
        <v>Cash</v>
      </c>
      <c r="F368" s="6">
        <f>0.05*Input_Table[[#This Row],[TOTAL C.O.G.S]]</f>
        <v>23.094000000000001</v>
      </c>
      <c r="G368" s="6" t="str">
        <f>_xlfn.XLOOKUP(Input_Table[[#This Row],[INVOICE ID]],'SuperMarket Analysis'!A:A,'SuperMarket Analysis'!B:B)</f>
        <v>Giza</v>
      </c>
      <c r="H368" s="6" t="str">
        <f>_xlfn.XLOOKUP(Input_Table[[#This Row],[INVOICE ID]],'SuperMarket Analysis'!A:A,'SuperMarket Analysis'!F:F)</f>
        <v>Electronic accessories</v>
      </c>
      <c r="I368" s="12">
        <f>_xlfn.XLOOKUP(Input_Table[[#This Row],[INVOICE ID]],'SuperMarket Analysis'!A:A,'SuperMarket Analysis'!G:G)</f>
        <v>51.32</v>
      </c>
      <c r="J368" s="12">
        <f>_xlfn.XLOOKUP(Input_Table[[#This Row],[INVOICE ID]],'SuperMarket Analysis'!A:A,'SuperMarket Analysis'!N:N)</f>
        <v>461.88</v>
      </c>
      <c r="K368" s="12">
        <f>_xlfn.XLOOKUP(Input_Table[[#This Row],[INVOICE ID]],'SuperMarket Analysis'!A:A,'SuperMarket Analysis'!J:J)</f>
        <v>484.97399999999999</v>
      </c>
      <c r="L368" s="6">
        <f>DAY(Input_Table[[#This Row],[DATE]])</f>
        <v>30</v>
      </c>
      <c r="M368" s="6" t="str">
        <f>TEXT(Input_Table[[#This Row],[DATE]],"mmmm")</f>
        <v>March</v>
      </c>
      <c r="N368" s="6">
        <f>YEAR(Input_Table[[#This Row],[DATE]])</f>
        <v>2019</v>
      </c>
    </row>
    <row r="369" spans="1:14" x14ac:dyDescent="0.3">
      <c r="A369" s="2">
        <f>_xlfn.XLOOKUP(B369,SuperMarket_Analysis[Invoice ID],SuperMarket_Analysis[Date])</f>
        <v>43544</v>
      </c>
      <c r="B369" s="6" t="s">
        <v>400</v>
      </c>
      <c r="C369" s="7">
        <f>_xlfn.XLOOKUP(B369,SuperMarket_Analysis[Invoice ID],SuperMarket_Analysis[Quantity])</f>
        <v>4</v>
      </c>
      <c r="D369" s="6" t="str">
        <f>_xlfn.XLOOKUP('Input data'!B369,'SuperMarket Analysis'!A:A,'SuperMarket Analysis'!F:F)</f>
        <v>Home and lifestyle</v>
      </c>
      <c r="E369" s="6" t="str">
        <f>_xlfn.XLOOKUP(B369,'SuperMarket Analysis'!A:A,'SuperMarket Analysis'!M:M)</f>
        <v>Cash</v>
      </c>
      <c r="F369" s="6">
        <f>0.05*Input_Table[[#This Row],[TOTAL C.O.G.S]]</f>
        <v>13.188000000000001</v>
      </c>
      <c r="G369" s="6" t="str">
        <f>_xlfn.XLOOKUP(Input_Table[[#This Row],[INVOICE ID]],'SuperMarket Analysis'!A:A,'SuperMarket Analysis'!B:B)</f>
        <v>Alex</v>
      </c>
      <c r="H369" s="6" t="str">
        <f>_xlfn.XLOOKUP(Input_Table[[#This Row],[INVOICE ID]],'SuperMarket Analysis'!A:A,'SuperMarket Analysis'!F:F)</f>
        <v>Home and lifestyle</v>
      </c>
      <c r="I369" s="12">
        <f>_xlfn.XLOOKUP(Input_Table[[#This Row],[INVOICE ID]],'SuperMarket Analysis'!A:A,'SuperMarket Analysis'!G:G)</f>
        <v>65.94</v>
      </c>
      <c r="J369" s="12">
        <f>_xlfn.XLOOKUP(Input_Table[[#This Row],[INVOICE ID]],'SuperMarket Analysis'!A:A,'SuperMarket Analysis'!N:N)</f>
        <v>263.76</v>
      </c>
      <c r="K369" s="12">
        <f>_xlfn.XLOOKUP(Input_Table[[#This Row],[INVOICE ID]],'SuperMarket Analysis'!A:A,'SuperMarket Analysis'!J:J)</f>
        <v>276.94799999999998</v>
      </c>
      <c r="L369" s="6">
        <f>DAY(Input_Table[[#This Row],[DATE]])</f>
        <v>20</v>
      </c>
      <c r="M369" s="6" t="str">
        <f>TEXT(Input_Table[[#This Row],[DATE]],"mmmm")</f>
        <v>March</v>
      </c>
      <c r="N369" s="6">
        <f>YEAR(Input_Table[[#This Row],[DATE]])</f>
        <v>2019</v>
      </c>
    </row>
    <row r="370" spans="1:14" x14ac:dyDescent="0.3">
      <c r="A370" s="2">
        <f>_xlfn.XLOOKUP(B370,SuperMarket_Analysis[Invoice ID],SuperMarket_Analysis[Date])</f>
        <v>43481</v>
      </c>
      <c r="B370" s="6" t="s">
        <v>401</v>
      </c>
      <c r="C370" s="7">
        <f>_xlfn.XLOOKUP(B370,SuperMarket_Analysis[Invoice ID],SuperMarket_Analysis[Quantity])</f>
        <v>10</v>
      </c>
      <c r="D370" s="6" t="str">
        <f>_xlfn.XLOOKUP('Input data'!B370,'SuperMarket Analysis'!A:A,'SuperMarket Analysis'!F:F)</f>
        <v>Sports and travel</v>
      </c>
      <c r="E370" s="6" t="str">
        <f>_xlfn.XLOOKUP(B370,'SuperMarket Analysis'!A:A,'SuperMarket Analysis'!M:M)</f>
        <v>Cash</v>
      </c>
      <c r="F370" s="6">
        <f>0.05*Input_Table[[#This Row],[TOTAL C.O.G.S]]</f>
        <v>7.18</v>
      </c>
      <c r="G370" s="6" t="str">
        <f>_xlfn.XLOOKUP(Input_Table[[#This Row],[INVOICE ID]],'SuperMarket Analysis'!A:A,'SuperMarket Analysis'!B:B)</f>
        <v>Giza</v>
      </c>
      <c r="H370" s="6" t="str">
        <f>_xlfn.XLOOKUP(Input_Table[[#This Row],[INVOICE ID]],'SuperMarket Analysis'!A:A,'SuperMarket Analysis'!F:F)</f>
        <v>Sports and travel</v>
      </c>
      <c r="I370" s="12">
        <f>_xlfn.XLOOKUP(Input_Table[[#This Row],[INVOICE ID]],'SuperMarket Analysis'!A:A,'SuperMarket Analysis'!G:G)</f>
        <v>14.36</v>
      </c>
      <c r="J370" s="12">
        <f>_xlfn.XLOOKUP(Input_Table[[#This Row],[INVOICE ID]],'SuperMarket Analysis'!A:A,'SuperMarket Analysis'!N:N)</f>
        <v>143.6</v>
      </c>
      <c r="K370" s="12">
        <f>_xlfn.XLOOKUP(Input_Table[[#This Row],[INVOICE ID]],'SuperMarket Analysis'!A:A,'SuperMarket Analysis'!J:J)</f>
        <v>150.78</v>
      </c>
      <c r="L370" s="6">
        <f>DAY(Input_Table[[#This Row],[DATE]])</f>
        <v>16</v>
      </c>
      <c r="M370" s="6" t="str">
        <f>TEXT(Input_Table[[#This Row],[DATE]],"mmmm")</f>
        <v>January</v>
      </c>
      <c r="N370" s="6">
        <f>YEAR(Input_Table[[#This Row],[DATE]])</f>
        <v>2019</v>
      </c>
    </row>
    <row r="371" spans="1:14" x14ac:dyDescent="0.3">
      <c r="A371" s="2">
        <f>_xlfn.XLOOKUP(B371,SuperMarket_Analysis[Invoice ID],SuperMarket_Analysis[Date])</f>
        <v>43520</v>
      </c>
      <c r="B371" s="6" t="s">
        <v>402</v>
      </c>
      <c r="C371" s="7">
        <f>_xlfn.XLOOKUP(B371,SuperMarket_Analysis[Invoice ID],SuperMarket_Analysis[Quantity])</f>
        <v>9</v>
      </c>
      <c r="D371" s="6" t="str">
        <f>_xlfn.XLOOKUP('Input data'!B371,'SuperMarket Analysis'!A:A,'SuperMarket Analysis'!F:F)</f>
        <v>Electronic accessories</v>
      </c>
      <c r="E371" s="6" t="str">
        <f>_xlfn.XLOOKUP(B371,'SuperMarket Analysis'!A:A,'SuperMarket Analysis'!M:M)</f>
        <v>Credit card</v>
      </c>
      <c r="F371" s="6">
        <f>0.05*Input_Table[[#This Row],[TOTAL C.O.G.S]]</f>
        <v>9.6750000000000007</v>
      </c>
      <c r="G371" s="6" t="str">
        <f>_xlfn.XLOOKUP(Input_Table[[#This Row],[INVOICE ID]],'SuperMarket Analysis'!A:A,'SuperMarket Analysis'!B:B)</f>
        <v>Alex</v>
      </c>
      <c r="H371" s="6" t="str">
        <f>_xlfn.XLOOKUP(Input_Table[[#This Row],[INVOICE ID]],'SuperMarket Analysis'!A:A,'SuperMarket Analysis'!F:F)</f>
        <v>Electronic accessories</v>
      </c>
      <c r="I371" s="12">
        <f>_xlfn.XLOOKUP(Input_Table[[#This Row],[INVOICE ID]],'SuperMarket Analysis'!A:A,'SuperMarket Analysis'!G:G)</f>
        <v>21.5</v>
      </c>
      <c r="J371" s="12">
        <f>_xlfn.XLOOKUP(Input_Table[[#This Row],[INVOICE ID]],'SuperMarket Analysis'!A:A,'SuperMarket Analysis'!N:N)</f>
        <v>193.5</v>
      </c>
      <c r="K371" s="12">
        <f>_xlfn.XLOOKUP(Input_Table[[#This Row],[INVOICE ID]],'SuperMarket Analysis'!A:A,'SuperMarket Analysis'!J:J)</f>
        <v>203.17500000000001</v>
      </c>
      <c r="L371" s="6">
        <f>DAY(Input_Table[[#This Row],[DATE]])</f>
        <v>24</v>
      </c>
      <c r="M371" s="6" t="str">
        <f>TEXT(Input_Table[[#This Row],[DATE]],"mmmm")</f>
        <v>February</v>
      </c>
      <c r="N371" s="6">
        <f>YEAR(Input_Table[[#This Row],[DATE]])</f>
        <v>2019</v>
      </c>
    </row>
    <row r="372" spans="1:14" x14ac:dyDescent="0.3">
      <c r="A372" s="2">
        <f>_xlfn.XLOOKUP(B372,SuperMarket_Analysis[Invoice ID],SuperMarket_Analysis[Date])</f>
        <v>43480</v>
      </c>
      <c r="B372" s="6" t="s">
        <v>403</v>
      </c>
      <c r="C372" s="7">
        <f>_xlfn.XLOOKUP(B372,SuperMarket_Analysis[Invoice ID],SuperMarket_Analysis[Quantity])</f>
        <v>7</v>
      </c>
      <c r="D372" s="6" t="str">
        <f>_xlfn.XLOOKUP('Input data'!B372,'SuperMarket Analysis'!A:A,'SuperMarket Analysis'!F:F)</f>
        <v>Electronic accessories</v>
      </c>
      <c r="E372" s="6" t="str">
        <f>_xlfn.XLOOKUP(B372,'SuperMarket Analysis'!A:A,'SuperMarket Analysis'!M:M)</f>
        <v>Cash</v>
      </c>
      <c r="F372" s="6">
        <f>0.05*Input_Table[[#This Row],[TOTAL C.O.G.S]]</f>
        <v>9.1910000000000007</v>
      </c>
      <c r="G372" s="6" t="str">
        <f>_xlfn.XLOOKUP(Input_Table[[#This Row],[INVOICE ID]],'SuperMarket Analysis'!A:A,'SuperMarket Analysis'!B:B)</f>
        <v>Cairo</v>
      </c>
      <c r="H372" s="6" t="str">
        <f>_xlfn.XLOOKUP(Input_Table[[#This Row],[INVOICE ID]],'SuperMarket Analysis'!A:A,'SuperMarket Analysis'!F:F)</f>
        <v>Electronic accessories</v>
      </c>
      <c r="I372" s="12">
        <f>_xlfn.XLOOKUP(Input_Table[[#This Row],[INVOICE ID]],'SuperMarket Analysis'!A:A,'SuperMarket Analysis'!G:G)</f>
        <v>26.26</v>
      </c>
      <c r="J372" s="12">
        <f>_xlfn.XLOOKUP(Input_Table[[#This Row],[INVOICE ID]],'SuperMarket Analysis'!A:A,'SuperMarket Analysis'!N:N)</f>
        <v>183.82</v>
      </c>
      <c r="K372" s="12">
        <f>_xlfn.XLOOKUP(Input_Table[[#This Row],[INVOICE ID]],'SuperMarket Analysis'!A:A,'SuperMarket Analysis'!J:J)</f>
        <v>193.011</v>
      </c>
      <c r="L372" s="6">
        <f>DAY(Input_Table[[#This Row],[DATE]])</f>
        <v>15</v>
      </c>
      <c r="M372" s="6" t="str">
        <f>TEXT(Input_Table[[#This Row],[DATE]],"mmmm")</f>
        <v>January</v>
      </c>
      <c r="N372" s="6">
        <f>YEAR(Input_Table[[#This Row],[DATE]])</f>
        <v>2019</v>
      </c>
    </row>
    <row r="373" spans="1:14" x14ac:dyDescent="0.3">
      <c r="A373" s="2">
        <f>_xlfn.XLOOKUP(B373,SuperMarket_Analysis[Invoice ID],SuperMarket_Analysis[Date])</f>
        <v>43487</v>
      </c>
      <c r="B373" s="6" t="s">
        <v>404</v>
      </c>
      <c r="C373" s="7">
        <f>_xlfn.XLOOKUP(B373,SuperMarket_Analysis[Invoice ID],SuperMarket_Analysis[Quantity])</f>
        <v>2</v>
      </c>
      <c r="D373" s="6" t="str">
        <f>_xlfn.XLOOKUP('Input data'!B373,'SuperMarket Analysis'!A:A,'SuperMarket Analysis'!F:F)</f>
        <v>Fashion accessories</v>
      </c>
      <c r="E373" s="6" t="str">
        <f>_xlfn.XLOOKUP(B373,'SuperMarket Analysis'!A:A,'SuperMarket Analysis'!M:M)</f>
        <v>Credit card</v>
      </c>
      <c r="F373" s="6">
        <f>0.05*Input_Table[[#This Row],[TOTAL C.O.G.S]]</f>
        <v>6.0960000000000001</v>
      </c>
      <c r="G373" s="6" t="str">
        <f>_xlfn.XLOOKUP(Input_Table[[#This Row],[INVOICE ID]],'SuperMarket Analysis'!A:A,'SuperMarket Analysis'!B:B)</f>
        <v>Cairo</v>
      </c>
      <c r="H373" s="6" t="str">
        <f>_xlfn.XLOOKUP(Input_Table[[#This Row],[INVOICE ID]],'SuperMarket Analysis'!A:A,'SuperMarket Analysis'!F:F)</f>
        <v>Fashion accessories</v>
      </c>
      <c r="I373" s="12">
        <f>_xlfn.XLOOKUP(Input_Table[[#This Row],[INVOICE ID]],'SuperMarket Analysis'!A:A,'SuperMarket Analysis'!G:G)</f>
        <v>60.96</v>
      </c>
      <c r="J373" s="12">
        <f>_xlfn.XLOOKUP(Input_Table[[#This Row],[INVOICE ID]],'SuperMarket Analysis'!A:A,'SuperMarket Analysis'!N:N)</f>
        <v>121.92</v>
      </c>
      <c r="K373" s="12">
        <f>_xlfn.XLOOKUP(Input_Table[[#This Row],[INVOICE ID]],'SuperMarket Analysis'!A:A,'SuperMarket Analysis'!J:J)</f>
        <v>128.01599999999999</v>
      </c>
      <c r="L373" s="6">
        <f>DAY(Input_Table[[#This Row],[DATE]])</f>
        <v>22</v>
      </c>
      <c r="M373" s="6" t="str">
        <f>TEXT(Input_Table[[#This Row],[DATE]],"mmmm")</f>
        <v>January</v>
      </c>
      <c r="N373" s="6">
        <f>YEAR(Input_Table[[#This Row],[DATE]])</f>
        <v>2019</v>
      </c>
    </row>
    <row r="374" spans="1:14" x14ac:dyDescent="0.3">
      <c r="A374" s="2">
        <f>_xlfn.XLOOKUP(B374,SuperMarket_Analysis[Invoice ID],SuperMarket_Analysis[Date])</f>
        <v>43512</v>
      </c>
      <c r="B374" s="6" t="s">
        <v>405</v>
      </c>
      <c r="C374" s="7">
        <f>_xlfn.XLOOKUP(B374,SuperMarket_Analysis[Invoice ID],SuperMarket_Analysis[Quantity])</f>
        <v>6</v>
      </c>
      <c r="D374" s="6" t="str">
        <f>_xlfn.XLOOKUP('Input data'!B374,'SuperMarket Analysis'!A:A,'SuperMarket Analysis'!F:F)</f>
        <v>Home and lifestyle</v>
      </c>
      <c r="E374" s="6" t="str">
        <f>_xlfn.XLOOKUP(B374,'SuperMarket Analysis'!A:A,'SuperMarket Analysis'!M:M)</f>
        <v>Ewallet</v>
      </c>
      <c r="F374" s="6">
        <f>0.05*Input_Table[[#This Row],[TOTAL C.O.G.S]]</f>
        <v>21.033000000000001</v>
      </c>
      <c r="G374" s="6" t="str">
        <f>_xlfn.XLOOKUP(Input_Table[[#This Row],[INVOICE ID]],'SuperMarket Analysis'!A:A,'SuperMarket Analysis'!B:B)</f>
        <v>Giza</v>
      </c>
      <c r="H374" s="6" t="str">
        <f>_xlfn.XLOOKUP(Input_Table[[#This Row],[INVOICE ID]],'SuperMarket Analysis'!A:A,'SuperMarket Analysis'!F:F)</f>
        <v>Home and lifestyle</v>
      </c>
      <c r="I374" s="12">
        <f>_xlfn.XLOOKUP(Input_Table[[#This Row],[INVOICE ID]],'SuperMarket Analysis'!A:A,'SuperMarket Analysis'!G:G)</f>
        <v>70.11</v>
      </c>
      <c r="J374" s="12">
        <f>_xlfn.XLOOKUP(Input_Table[[#This Row],[INVOICE ID]],'SuperMarket Analysis'!A:A,'SuperMarket Analysis'!N:N)</f>
        <v>420.66</v>
      </c>
      <c r="K374" s="12">
        <f>_xlfn.XLOOKUP(Input_Table[[#This Row],[INVOICE ID]],'SuperMarket Analysis'!A:A,'SuperMarket Analysis'!J:J)</f>
        <v>441.69299999999998</v>
      </c>
      <c r="L374" s="6">
        <f>DAY(Input_Table[[#This Row],[DATE]])</f>
        <v>16</v>
      </c>
      <c r="M374" s="6" t="str">
        <f>TEXT(Input_Table[[#This Row],[DATE]],"mmmm")</f>
        <v>February</v>
      </c>
      <c r="N374" s="6">
        <f>YEAR(Input_Table[[#This Row],[DATE]])</f>
        <v>2019</v>
      </c>
    </row>
    <row r="375" spans="1:14" x14ac:dyDescent="0.3">
      <c r="A375" s="2">
        <f>_xlfn.XLOOKUP(B375,SuperMarket_Analysis[Invoice ID],SuperMarket_Analysis[Date])</f>
        <v>43538</v>
      </c>
      <c r="B375" s="6" t="s">
        <v>406</v>
      </c>
      <c r="C375" s="7">
        <f>_xlfn.XLOOKUP(B375,SuperMarket_Analysis[Invoice ID],SuperMarket_Analysis[Quantity])</f>
        <v>6</v>
      </c>
      <c r="D375" s="6" t="str">
        <f>_xlfn.XLOOKUP('Input data'!B375,'SuperMarket Analysis'!A:A,'SuperMarket Analysis'!F:F)</f>
        <v>Fashion accessories</v>
      </c>
      <c r="E375" s="6" t="str">
        <f>_xlfn.XLOOKUP(B375,'SuperMarket Analysis'!A:A,'SuperMarket Analysis'!M:M)</f>
        <v>Cash</v>
      </c>
      <c r="F375" s="6">
        <f>0.05*Input_Table[[#This Row],[TOTAL C.O.G.S]]</f>
        <v>12.624000000000001</v>
      </c>
      <c r="G375" s="6" t="str">
        <f>_xlfn.XLOOKUP(Input_Table[[#This Row],[INVOICE ID]],'SuperMarket Analysis'!A:A,'SuperMarket Analysis'!B:B)</f>
        <v>Giza</v>
      </c>
      <c r="H375" s="6" t="str">
        <f>_xlfn.XLOOKUP(Input_Table[[#This Row],[INVOICE ID]],'SuperMarket Analysis'!A:A,'SuperMarket Analysis'!F:F)</f>
        <v>Fashion accessories</v>
      </c>
      <c r="I375" s="12">
        <f>_xlfn.XLOOKUP(Input_Table[[#This Row],[INVOICE ID]],'SuperMarket Analysis'!A:A,'SuperMarket Analysis'!G:G)</f>
        <v>42.08</v>
      </c>
      <c r="J375" s="12">
        <f>_xlfn.XLOOKUP(Input_Table[[#This Row],[INVOICE ID]],'SuperMarket Analysis'!A:A,'SuperMarket Analysis'!N:N)</f>
        <v>252.48</v>
      </c>
      <c r="K375" s="12">
        <f>_xlfn.XLOOKUP(Input_Table[[#This Row],[INVOICE ID]],'SuperMarket Analysis'!A:A,'SuperMarket Analysis'!J:J)</f>
        <v>265.10399999999998</v>
      </c>
      <c r="L375" s="6">
        <f>DAY(Input_Table[[#This Row],[DATE]])</f>
        <v>14</v>
      </c>
      <c r="M375" s="6" t="str">
        <f>TEXT(Input_Table[[#This Row],[DATE]],"mmmm")</f>
        <v>March</v>
      </c>
      <c r="N375" s="6">
        <f>YEAR(Input_Table[[#This Row],[DATE]])</f>
        <v>2019</v>
      </c>
    </row>
    <row r="376" spans="1:14" x14ac:dyDescent="0.3">
      <c r="A376" s="2">
        <f>_xlfn.XLOOKUP(B376,SuperMarket_Analysis[Invoice ID],SuperMarket_Analysis[Date])</f>
        <v>43523</v>
      </c>
      <c r="B376" s="6" t="s">
        <v>407</v>
      </c>
      <c r="C376" s="7">
        <f>_xlfn.XLOOKUP(B376,SuperMarket_Analysis[Invoice ID],SuperMarket_Analysis[Quantity])</f>
        <v>5</v>
      </c>
      <c r="D376" s="6" t="str">
        <f>_xlfn.XLOOKUP('Input data'!B376,'SuperMarket Analysis'!A:A,'SuperMarket Analysis'!F:F)</f>
        <v>Home and lifestyle</v>
      </c>
      <c r="E376" s="6" t="str">
        <f>_xlfn.XLOOKUP(B376,'SuperMarket Analysis'!A:A,'SuperMarket Analysis'!M:M)</f>
        <v>Credit card</v>
      </c>
      <c r="F376" s="6">
        <f>0.05*Input_Table[[#This Row],[TOTAL C.O.G.S]]</f>
        <v>16.772500000000001</v>
      </c>
      <c r="G376" s="6" t="str">
        <f>_xlfn.XLOOKUP(Input_Table[[#This Row],[INVOICE ID]],'SuperMarket Analysis'!A:A,'SuperMarket Analysis'!B:B)</f>
        <v>Alex</v>
      </c>
      <c r="H376" s="6" t="str">
        <f>_xlfn.XLOOKUP(Input_Table[[#This Row],[INVOICE ID]],'SuperMarket Analysis'!A:A,'SuperMarket Analysis'!F:F)</f>
        <v>Home and lifestyle</v>
      </c>
      <c r="I376" s="12">
        <f>_xlfn.XLOOKUP(Input_Table[[#This Row],[INVOICE ID]],'SuperMarket Analysis'!A:A,'SuperMarket Analysis'!G:G)</f>
        <v>67.09</v>
      </c>
      <c r="J376" s="12">
        <f>_xlfn.XLOOKUP(Input_Table[[#This Row],[INVOICE ID]],'SuperMarket Analysis'!A:A,'SuperMarket Analysis'!N:N)</f>
        <v>335.45</v>
      </c>
      <c r="K376" s="12">
        <f>_xlfn.XLOOKUP(Input_Table[[#This Row],[INVOICE ID]],'SuperMarket Analysis'!A:A,'SuperMarket Analysis'!J:J)</f>
        <v>352.22250000000003</v>
      </c>
      <c r="L376" s="6">
        <f>DAY(Input_Table[[#This Row],[DATE]])</f>
        <v>27</v>
      </c>
      <c r="M376" s="6" t="str">
        <f>TEXT(Input_Table[[#This Row],[DATE]],"mmmm")</f>
        <v>February</v>
      </c>
      <c r="N376" s="6">
        <f>YEAR(Input_Table[[#This Row],[DATE]])</f>
        <v>2019</v>
      </c>
    </row>
    <row r="377" spans="1:14" x14ac:dyDescent="0.3">
      <c r="A377" s="2">
        <f>_xlfn.XLOOKUP(B377,SuperMarket_Analysis[Invoice ID],SuperMarket_Analysis[Date])</f>
        <v>43483</v>
      </c>
      <c r="B377" s="6" t="s">
        <v>408</v>
      </c>
      <c r="C377" s="7">
        <f>_xlfn.XLOOKUP(B377,SuperMarket_Analysis[Invoice ID],SuperMarket_Analysis[Quantity])</f>
        <v>5</v>
      </c>
      <c r="D377" s="6" t="str">
        <f>_xlfn.XLOOKUP('Input data'!B377,'SuperMarket Analysis'!A:A,'SuperMarket Analysis'!F:F)</f>
        <v>Fashion accessories</v>
      </c>
      <c r="E377" s="6" t="str">
        <f>_xlfn.XLOOKUP(B377,'SuperMarket Analysis'!A:A,'SuperMarket Analysis'!M:M)</f>
        <v>Ewallet</v>
      </c>
      <c r="F377" s="6">
        <f>0.05*Input_Table[[#This Row],[TOTAL C.O.G.S]]</f>
        <v>24.175000000000001</v>
      </c>
      <c r="G377" s="6" t="str">
        <f>_xlfn.XLOOKUP(Input_Table[[#This Row],[INVOICE ID]],'SuperMarket Analysis'!A:A,'SuperMarket Analysis'!B:B)</f>
        <v>Alex</v>
      </c>
      <c r="H377" s="6" t="str">
        <f>_xlfn.XLOOKUP(Input_Table[[#This Row],[INVOICE ID]],'SuperMarket Analysis'!A:A,'SuperMarket Analysis'!F:F)</f>
        <v>Fashion accessories</v>
      </c>
      <c r="I377" s="12">
        <f>_xlfn.XLOOKUP(Input_Table[[#This Row],[INVOICE ID]],'SuperMarket Analysis'!A:A,'SuperMarket Analysis'!G:G)</f>
        <v>96.7</v>
      </c>
      <c r="J377" s="12">
        <f>_xlfn.XLOOKUP(Input_Table[[#This Row],[INVOICE ID]],'SuperMarket Analysis'!A:A,'SuperMarket Analysis'!N:N)</f>
        <v>483.5</v>
      </c>
      <c r="K377" s="12">
        <f>_xlfn.XLOOKUP(Input_Table[[#This Row],[INVOICE ID]],'SuperMarket Analysis'!A:A,'SuperMarket Analysis'!J:J)</f>
        <v>507.67500000000001</v>
      </c>
      <c r="L377" s="6">
        <f>DAY(Input_Table[[#This Row],[DATE]])</f>
        <v>18</v>
      </c>
      <c r="M377" s="6" t="str">
        <f>TEXT(Input_Table[[#This Row],[DATE]],"mmmm")</f>
        <v>January</v>
      </c>
      <c r="N377" s="6">
        <f>YEAR(Input_Table[[#This Row],[DATE]])</f>
        <v>2019</v>
      </c>
    </row>
    <row r="378" spans="1:14" x14ac:dyDescent="0.3">
      <c r="A378" s="2">
        <f>_xlfn.XLOOKUP(B378,SuperMarket_Analysis[Invoice ID],SuperMarket_Analysis[Date])</f>
        <v>43494</v>
      </c>
      <c r="B378" s="6" t="s">
        <v>409</v>
      </c>
      <c r="C378" s="7">
        <f>_xlfn.XLOOKUP(B378,SuperMarket_Analysis[Invoice ID],SuperMarket_Analysis[Quantity])</f>
        <v>9</v>
      </c>
      <c r="D378" s="6" t="str">
        <f>_xlfn.XLOOKUP('Input data'!B378,'SuperMarket Analysis'!A:A,'SuperMarket Analysis'!F:F)</f>
        <v>Home and lifestyle</v>
      </c>
      <c r="E378" s="6" t="str">
        <f>_xlfn.XLOOKUP(B378,'SuperMarket Analysis'!A:A,'SuperMarket Analysis'!M:M)</f>
        <v>Credit card</v>
      </c>
      <c r="F378" s="6">
        <f>0.05*Input_Table[[#This Row],[TOTAL C.O.G.S]]</f>
        <v>15.921000000000001</v>
      </c>
      <c r="G378" s="6" t="str">
        <f>_xlfn.XLOOKUP(Input_Table[[#This Row],[INVOICE ID]],'SuperMarket Analysis'!A:A,'SuperMarket Analysis'!B:B)</f>
        <v>Cairo</v>
      </c>
      <c r="H378" s="6" t="str">
        <f>_xlfn.XLOOKUP(Input_Table[[#This Row],[INVOICE ID]],'SuperMarket Analysis'!A:A,'SuperMarket Analysis'!F:F)</f>
        <v>Home and lifestyle</v>
      </c>
      <c r="I378" s="12">
        <f>_xlfn.XLOOKUP(Input_Table[[#This Row],[INVOICE ID]],'SuperMarket Analysis'!A:A,'SuperMarket Analysis'!G:G)</f>
        <v>35.380000000000003</v>
      </c>
      <c r="J378" s="12">
        <f>_xlfn.XLOOKUP(Input_Table[[#This Row],[INVOICE ID]],'SuperMarket Analysis'!A:A,'SuperMarket Analysis'!N:N)</f>
        <v>318.42</v>
      </c>
      <c r="K378" s="12">
        <f>_xlfn.XLOOKUP(Input_Table[[#This Row],[INVOICE ID]],'SuperMarket Analysis'!A:A,'SuperMarket Analysis'!J:J)</f>
        <v>334.34100000000001</v>
      </c>
      <c r="L378" s="6">
        <f>DAY(Input_Table[[#This Row],[DATE]])</f>
        <v>29</v>
      </c>
      <c r="M378" s="6" t="str">
        <f>TEXT(Input_Table[[#This Row],[DATE]],"mmmm")</f>
        <v>January</v>
      </c>
      <c r="N378" s="6">
        <f>YEAR(Input_Table[[#This Row],[DATE]])</f>
        <v>2019</v>
      </c>
    </row>
    <row r="379" spans="1:14" x14ac:dyDescent="0.3">
      <c r="A379" s="2">
        <f>_xlfn.XLOOKUP(B379,SuperMarket_Analysis[Invoice ID],SuperMarket_Analysis[Date])</f>
        <v>43522</v>
      </c>
      <c r="B379" s="6" t="s">
        <v>410</v>
      </c>
      <c r="C379" s="7">
        <f>_xlfn.XLOOKUP(B379,SuperMarket_Analysis[Invoice ID],SuperMarket_Analysis[Quantity])</f>
        <v>7</v>
      </c>
      <c r="D379" s="6" t="str">
        <f>_xlfn.XLOOKUP('Input data'!B379,'SuperMarket Analysis'!A:A,'SuperMarket Analysis'!F:F)</f>
        <v>Sports and travel</v>
      </c>
      <c r="E379" s="6" t="str">
        <f>_xlfn.XLOOKUP(B379,'SuperMarket Analysis'!A:A,'SuperMarket Analysis'!M:M)</f>
        <v>Ewallet</v>
      </c>
      <c r="F379" s="6">
        <f>0.05*Input_Table[[#This Row],[TOTAL C.O.G.S]]</f>
        <v>33.421500000000002</v>
      </c>
      <c r="G379" s="6" t="str">
        <f>_xlfn.XLOOKUP(Input_Table[[#This Row],[INVOICE ID]],'SuperMarket Analysis'!A:A,'SuperMarket Analysis'!B:B)</f>
        <v>Giza</v>
      </c>
      <c r="H379" s="6" t="str">
        <f>_xlfn.XLOOKUP(Input_Table[[#This Row],[INVOICE ID]],'SuperMarket Analysis'!A:A,'SuperMarket Analysis'!F:F)</f>
        <v>Sports and travel</v>
      </c>
      <c r="I379" s="12">
        <f>_xlfn.XLOOKUP(Input_Table[[#This Row],[INVOICE ID]],'SuperMarket Analysis'!A:A,'SuperMarket Analysis'!G:G)</f>
        <v>95.49</v>
      </c>
      <c r="J379" s="12">
        <f>_xlfn.XLOOKUP(Input_Table[[#This Row],[INVOICE ID]],'SuperMarket Analysis'!A:A,'SuperMarket Analysis'!N:N)</f>
        <v>668.43</v>
      </c>
      <c r="K379" s="12">
        <f>_xlfn.XLOOKUP(Input_Table[[#This Row],[INVOICE ID]],'SuperMarket Analysis'!A:A,'SuperMarket Analysis'!J:J)</f>
        <v>701.85149999999999</v>
      </c>
      <c r="L379" s="6">
        <f>DAY(Input_Table[[#This Row],[DATE]])</f>
        <v>26</v>
      </c>
      <c r="M379" s="6" t="str">
        <f>TEXT(Input_Table[[#This Row],[DATE]],"mmmm")</f>
        <v>February</v>
      </c>
      <c r="N379" s="6">
        <f>YEAR(Input_Table[[#This Row],[DATE]])</f>
        <v>2019</v>
      </c>
    </row>
    <row r="380" spans="1:14" x14ac:dyDescent="0.3">
      <c r="A380" s="2">
        <f>_xlfn.XLOOKUP(B380,SuperMarket_Analysis[Invoice ID],SuperMarket_Analysis[Date])</f>
        <v>43481</v>
      </c>
      <c r="B380" s="6" t="s">
        <v>411</v>
      </c>
      <c r="C380" s="7">
        <f>_xlfn.XLOOKUP(B380,SuperMarket_Analysis[Invoice ID],SuperMarket_Analysis[Quantity])</f>
        <v>4</v>
      </c>
      <c r="D380" s="6" t="str">
        <f>_xlfn.XLOOKUP('Input data'!B380,'SuperMarket Analysis'!A:A,'SuperMarket Analysis'!F:F)</f>
        <v>Fashion accessories</v>
      </c>
      <c r="E380" s="6" t="str">
        <f>_xlfn.XLOOKUP(B380,'SuperMarket Analysis'!A:A,'SuperMarket Analysis'!M:M)</f>
        <v>Ewallet</v>
      </c>
      <c r="F380" s="6">
        <f>0.05*Input_Table[[#This Row],[TOTAL C.O.G.S]]</f>
        <v>19.396000000000001</v>
      </c>
      <c r="G380" s="6" t="str">
        <f>_xlfn.XLOOKUP(Input_Table[[#This Row],[INVOICE ID]],'SuperMarket Analysis'!A:A,'SuperMarket Analysis'!B:B)</f>
        <v>Giza</v>
      </c>
      <c r="H380" s="6" t="str">
        <f>_xlfn.XLOOKUP(Input_Table[[#This Row],[INVOICE ID]],'SuperMarket Analysis'!A:A,'SuperMarket Analysis'!F:F)</f>
        <v>Fashion accessories</v>
      </c>
      <c r="I380" s="12">
        <f>_xlfn.XLOOKUP(Input_Table[[#This Row],[INVOICE ID]],'SuperMarket Analysis'!A:A,'SuperMarket Analysis'!G:G)</f>
        <v>96.98</v>
      </c>
      <c r="J380" s="12">
        <f>_xlfn.XLOOKUP(Input_Table[[#This Row],[INVOICE ID]],'SuperMarket Analysis'!A:A,'SuperMarket Analysis'!N:N)</f>
        <v>387.92</v>
      </c>
      <c r="K380" s="12">
        <f>_xlfn.XLOOKUP(Input_Table[[#This Row],[INVOICE ID]],'SuperMarket Analysis'!A:A,'SuperMarket Analysis'!J:J)</f>
        <v>407.31599999999997</v>
      </c>
      <c r="L380" s="6">
        <f>DAY(Input_Table[[#This Row],[DATE]])</f>
        <v>16</v>
      </c>
      <c r="M380" s="6" t="str">
        <f>TEXT(Input_Table[[#This Row],[DATE]],"mmmm")</f>
        <v>January</v>
      </c>
      <c r="N380" s="6">
        <f>YEAR(Input_Table[[#This Row],[DATE]])</f>
        <v>2019</v>
      </c>
    </row>
    <row r="381" spans="1:14" x14ac:dyDescent="0.3">
      <c r="A381" s="2">
        <f>_xlfn.XLOOKUP(B381,SuperMarket_Analysis[Invoice ID],SuperMarket_Analysis[Date])</f>
        <v>43548</v>
      </c>
      <c r="B381" s="6" t="s">
        <v>412</v>
      </c>
      <c r="C381" s="7">
        <f>_xlfn.XLOOKUP(B381,SuperMarket_Analysis[Invoice ID],SuperMarket_Analysis[Quantity])</f>
        <v>4</v>
      </c>
      <c r="D381" s="6" t="str">
        <f>_xlfn.XLOOKUP('Input data'!B381,'SuperMarket Analysis'!A:A,'SuperMarket Analysis'!F:F)</f>
        <v>Electronic accessories</v>
      </c>
      <c r="E381" s="6" t="str">
        <f>_xlfn.XLOOKUP(B381,'SuperMarket Analysis'!A:A,'SuperMarket Analysis'!M:M)</f>
        <v>Credit card</v>
      </c>
      <c r="F381" s="6">
        <f>0.05*Input_Table[[#This Row],[TOTAL C.O.G.S]]</f>
        <v>4.7299999999999995</v>
      </c>
      <c r="G381" s="6" t="str">
        <f>_xlfn.XLOOKUP(Input_Table[[#This Row],[INVOICE ID]],'SuperMarket Analysis'!A:A,'SuperMarket Analysis'!B:B)</f>
        <v>Cairo</v>
      </c>
      <c r="H381" s="6" t="str">
        <f>_xlfn.XLOOKUP(Input_Table[[#This Row],[INVOICE ID]],'SuperMarket Analysis'!A:A,'SuperMarket Analysis'!F:F)</f>
        <v>Electronic accessories</v>
      </c>
      <c r="I381" s="12">
        <f>_xlfn.XLOOKUP(Input_Table[[#This Row],[INVOICE ID]],'SuperMarket Analysis'!A:A,'SuperMarket Analysis'!G:G)</f>
        <v>23.65</v>
      </c>
      <c r="J381" s="12">
        <f>_xlfn.XLOOKUP(Input_Table[[#This Row],[INVOICE ID]],'SuperMarket Analysis'!A:A,'SuperMarket Analysis'!N:N)</f>
        <v>94.6</v>
      </c>
      <c r="K381" s="12">
        <f>_xlfn.XLOOKUP(Input_Table[[#This Row],[INVOICE ID]],'SuperMarket Analysis'!A:A,'SuperMarket Analysis'!J:J)</f>
        <v>99.33</v>
      </c>
      <c r="L381" s="6">
        <f>DAY(Input_Table[[#This Row],[DATE]])</f>
        <v>24</v>
      </c>
      <c r="M381" s="6" t="str">
        <f>TEXT(Input_Table[[#This Row],[DATE]],"mmmm")</f>
        <v>March</v>
      </c>
      <c r="N381" s="6">
        <f>YEAR(Input_Table[[#This Row],[DATE]])</f>
        <v>2019</v>
      </c>
    </row>
    <row r="382" spans="1:14" x14ac:dyDescent="0.3">
      <c r="A382" s="2">
        <f>_xlfn.XLOOKUP(B382,SuperMarket_Analysis[Invoice ID],SuperMarket_Analysis[Date])</f>
        <v>43517</v>
      </c>
      <c r="B382" s="6" t="s">
        <v>413</v>
      </c>
      <c r="C382" s="7">
        <f>_xlfn.XLOOKUP(B382,SuperMarket_Analysis[Invoice ID],SuperMarket_Analysis[Quantity])</f>
        <v>4</v>
      </c>
      <c r="D382" s="6" t="str">
        <f>_xlfn.XLOOKUP('Input data'!B382,'SuperMarket Analysis'!A:A,'SuperMarket Analysis'!F:F)</f>
        <v>Sports and travel</v>
      </c>
      <c r="E382" s="6" t="str">
        <f>_xlfn.XLOOKUP(B382,'SuperMarket Analysis'!A:A,'SuperMarket Analysis'!M:M)</f>
        <v>Credit card</v>
      </c>
      <c r="F382" s="6">
        <f>0.05*Input_Table[[#This Row],[TOTAL C.O.G.S]]</f>
        <v>16.466000000000001</v>
      </c>
      <c r="G382" s="6" t="str">
        <f>_xlfn.XLOOKUP(Input_Table[[#This Row],[INVOICE ID]],'SuperMarket Analysis'!A:A,'SuperMarket Analysis'!B:B)</f>
        <v>Alex</v>
      </c>
      <c r="H382" s="6" t="str">
        <f>_xlfn.XLOOKUP(Input_Table[[#This Row],[INVOICE ID]],'SuperMarket Analysis'!A:A,'SuperMarket Analysis'!F:F)</f>
        <v>Sports and travel</v>
      </c>
      <c r="I382" s="12">
        <f>_xlfn.XLOOKUP(Input_Table[[#This Row],[INVOICE ID]],'SuperMarket Analysis'!A:A,'SuperMarket Analysis'!G:G)</f>
        <v>82.33</v>
      </c>
      <c r="J382" s="12">
        <f>_xlfn.XLOOKUP(Input_Table[[#This Row],[INVOICE ID]],'SuperMarket Analysis'!A:A,'SuperMarket Analysis'!N:N)</f>
        <v>329.32</v>
      </c>
      <c r="K382" s="12">
        <f>_xlfn.XLOOKUP(Input_Table[[#This Row],[INVOICE ID]],'SuperMarket Analysis'!A:A,'SuperMarket Analysis'!J:J)</f>
        <v>345.786</v>
      </c>
      <c r="L382" s="6">
        <f>DAY(Input_Table[[#This Row],[DATE]])</f>
        <v>21</v>
      </c>
      <c r="M382" s="6" t="str">
        <f>TEXT(Input_Table[[#This Row],[DATE]],"mmmm")</f>
        <v>February</v>
      </c>
      <c r="N382" s="6">
        <f>YEAR(Input_Table[[#This Row],[DATE]])</f>
        <v>2019</v>
      </c>
    </row>
    <row r="383" spans="1:14" x14ac:dyDescent="0.3">
      <c r="A383" s="2">
        <f>_xlfn.XLOOKUP(B383,SuperMarket_Analysis[Invoice ID],SuperMarket_Analysis[Date])</f>
        <v>43516</v>
      </c>
      <c r="B383" s="6" t="s">
        <v>414</v>
      </c>
      <c r="C383" s="7">
        <f>_xlfn.XLOOKUP(B383,SuperMarket_Analysis[Invoice ID],SuperMarket_Analysis[Quantity])</f>
        <v>2</v>
      </c>
      <c r="D383" s="6" t="str">
        <f>_xlfn.XLOOKUP('Input data'!B383,'SuperMarket Analysis'!A:A,'SuperMarket Analysis'!F:F)</f>
        <v>Electronic accessories</v>
      </c>
      <c r="E383" s="6" t="str">
        <f>_xlfn.XLOOKUP(B383,'SuperMarket Analysis'!A:A,'SuperMarket Analysis'!M:M)</f>
        <v>Cash</v>
      </c>
      <c r="F383" s="6">
        <f>0.05*Input_Table[[#This Row],[TOTAL C.O.G.S]]</f>
        <v>2.661</v>
      </c>
      <c r="G383" s="6" t="str">
        <f>_xlfn.XLOOKUP(Input_Table[[#This Row],[INVOICE ID]],'SuperMarket Analysis'!A:A,'SuperMarket Analysis'!B:B)</f>
        <v>Giza</v>
      </c>
      <c r="H383" s="6" t="str">
        <f>_xlfn.XLOOKUP(Input_Table[[#This Row],[INVOICE ID]],'SuperMarket Analysis'!A:A,'SuperMarket Analysis'!F:F)</f>
        <v>Electronic accessories</v>
      </c>
      <c r="I383" s="12">
        <f>_xlfn.XLOOKUP(Input_Table[[#This Row],[INVOICE ID]],'SuperMarket Analysis'!A:A,'SuperMarket Analysis'!G:G)</f>
        <v>26.61</v>
      </c>
      <c r="J383" s="12">
        <f>_xlfn.XLOOKUP(Input_Table[[#This Row],[INVOICE ID]],'SuperMarket Analysis'!A:A,'SuperMarket Analysis'!N:N)</f>
        <v>53.22</v>
      </c>
      <c r="K383" s="12">
        <f>_xlfn.XLOOKUP(Input_Table[[#This Row],[INVOICE ID]],'SuperMarket Analysis'!A:A,'SuperMarket Analysis'!J:J)</f>
        <v>55.881</v>
      </c>
      <c r="L383" s="6">
        <f>DAY(Input_Table[[#This Row],[DATE]])</f>
        <v>20</v>
      </c>
      <c r="M383" s="6" t="str">
        <f>TEXT(Input_Table[[#This Row],[DATE]],"mmmm")</f>
        <v>February</v>
      </c>
      <c r="N383" s="6">
        <f>YEAR(Input_Table[[#This Row],[DATE]])</f>
        <v>2019</v>
      </c>
    </row>
    <row r="384" spans="1:14" x14ac:dyDescent="0.3">
      <c r="A384" s="2">
        <f>_xlfn.XLOOKUP(B384,SuperMarket_Analysis[Invoice ID],SuperMarket_Analysis[Date])</f>
        <v>43519</v>
      </c>
      <c r="B384" s="6" t="s">
        <v>415</v>
      </c>
      <c r="C384" s="7">
        <f>_xlfn.XLOOKUP(B384,SuperMarket_Analysis[Invoice ID],SuperMarket_Analysis[Quantity])</f>
        <v>5</v>
      </c>
      <c r="D384" s="6" t="str">
        <f>_xlfn.XLOOKUP('Input data'!B384,'SuperMarket Analysis'!A:A,'SuperMarket Analysis'!F:F)</f>
        <v>Food and beverages</v>
      </c>
      <c r="E384" s="6" t="str">
        <f>_xlfn.XLOOKUP(B384,'SuperMarket Analysis'!A:A,'SuperMarket Analysis'!M:M)</f>
        <v>Cash</v>
      </c>
      <c r="F384" s="6">
        <f>0.05*Input_Table[[#This Row],[TOTAL C.O.G.S]]</f>
        <v>24.922499999999999</v>
      </c>
      <c r="G384" s="6" t="str">
        <f>_xlfn.XLOOKUP(Input_Table[[#This Row],[INVOICE ID]],'SuperMarket Analysis'!A:A,'SuperMarket Analysis'!B:B)</f>
        <v>Cairo</v>
      </c>
      <c r="H384" s="6" t="str">
        <f>_xlfn.XLOOKUP(Input_Table[[#This Row],[INVOICE ID]],'SuperMarket Analysis'!A:A,'SuperMarket Analysis'!F:F)</f>
        <v>Food and beverages</v>
      </c>
      <c r="I384" s="12">
        <f>_xlfn.XLOOKUP(Input_Table[[#This Row],[INVOICE ID]],'SuperMarket Analysis'!A:A,'SuperMarket Analysis'!G:G)</f>
        <v>99.69</v>
      </c>
      <c r="J384" s="12">
        <f>_xlfn.XLOOKUP(Input_Table[[#This Row],[INVOICE ID]],'SuperMarket Analysis'!A:A,'SuperMarket Analysis'!N:N)</f>
        <v>498.45</v>
      </c>
      <c r="K384" s="12">
        <f>_xlfn.XLOOKUP(Input_Table[[#This Row],[INVOICE ID]],'SuperMarket Analysis'!A:A,'SuperMarket Analysis'!J:J)</f>
        <v>523.37249999999995</v>
      </c>
      <c r="L384" s="6">
        <f>DAY(Input_Table[[#This Row],[DATE]])</f>
        <v>23</v>
      </c>
      <c r="M384" s="6" t="str">
        <f>TEXT(Input_Table[[#This Row],[DATE]],"mmmm")</f>
        <v>February</v>
      </c>
      <c r="N384" s="6">
        <f>YEAR(Input_Table[[#This Row],[DATE]])</f>
        <v>2019</v>
      </c>
    </row>
    <row r="385" spans="1:14" x14ac:dyDescent="0.3">
      <c r="A385" s="2">
        <f>_xlfn.XLOOKUP(B385,SuperMarket_Analysis[Invoice ID],SuperMarket_Analysis[Date])</f>
        <v>43512</v>
      </c>
      <c r="B385" s="6" t="s">
        <v>416</v>
      </c>
      <c r="C385" s="7">
        <f>_xlfn.XLOOKUP(B385,SuperMarket_Analysis[Invoice ID],SuperMarket_Analysis[Quantity])</f>
        <v>4</v>
      </c>
      <c r="D385" s="6" t="str">
        <f>_xlfn.XLOOKUP('Input data'!B385,'SuperMarket Analysis'!A:A,'SuperMarket Analysis'!F:F)</f>
        <v>Food and beverages</v>
      </c>
      <c r="E385" s="6" t="str">
        <f>_xlfn.XLOOKUP(B385,'SuperMarket Analysis'!A:A,'SuperMarket Analysis'!M:M)</f>
        <v>Ewallet</v>
      </c>
      <c r="F385" s="6">
        <f>0.05*Input_Table[[#This Row],[TOTAL C.O.G.S]]</f>
        <v>14.978000000000002</v>
      </c>
      <c r="G385" s="6" t="str">
        <f>_xlfn.XLOOKUP(Input_Table[[#This Row],[INVOICE ID]],'SuperMarket Analysis'!A:A,'SuperMarket Analysis'!B:B)</f>
        <v>Giza</v>
      </c>
      <c r="H385" s="6" t="str">
        <f>_xlfn.XLOOKUP(Input_Table[[#This Row],[INVOICE ID]],'SuperMarket Analysis'!A:A,'SuperMarket Analysis'!F:F)</f>
        <v>Food and beverages</v>
      </c>
      <c r="I385" s="12">
        <f>_xlfn.XLOOKUP(Input_Table[[#This Row],[INVOICE ID]],'SuperMarket Analysis'!A:A,'SuperMarket Analysis'!G:G)</f>
        <v>74.89</v>
      </c>
      <c r="J385" s="12">
        <f>_xlfn.XLOOKUP(Input_Table[[#This Row],[INVOICE ID]],'SuperMarket Analysis'!A:A,'SuperMarket Analysis'!N:N)</f>
        <v>299.56</v>
      </c>
      <c r="K385" s="12">
        <f>_xlfn.XLOOKUP(Input_Table[[#This Row],[INVOICE ID]],'SuperMarket Analysis'!A:A,'SuperMarket Analysis'!J:J)</f>
        <v>314.53800000000001</v>
      </c>
      <c r="L385" s="6">
        <f>DAY(Input_Table[[#This Row],[DATE]])</f>
        <v>16</v>
      </c>
      <c r="M385" s="6" t="str">
        <f>TEXT(Input_Table[[#This Row],[DATE]],"mmmm")</f>
        <v>February</v>
      </c>
      <c r="N385" s="6">
        <f>YEAR(Input_Table[[#This Row],[DATE]])</f>
        <v>2019</v>
      </c>
    </row>
    <row r="386" spans="1:14" x14ac:dyDescent="0.3">
      <c r="A386" s="2">
        <f>_xlfn.XLOOKUP(B386,SuperMarket_Analysis[Invoice ID],SuperMarket_Analysis[Date])</f>
        <v>43482</v>
      </c>
      <c r="B386" s="6" t="s">
        <v>417</v>
      </c>
      <c r="C386" s="7">
        <f>_xlfn.XLOOKUP(B386,SuperMarket_Analysis[Invoice ID],SuperMarket_Analysis[Quantity])</f>
        <v>5</v>
      </c>
      <c r="D386" s="6" t="str">
        <f>_xlfn.XLOOKUP('Input data'!B386,'SuperMarket Analysis'!A:A,'SuperMarket Analysis'!F:F)</f>
        <v>Food and beverages</v>
      </c>
      <c r="E386" s="6" t="str">
        <f>_xlfn.XLOOKUP(B386,'SuperMarket Analysis'!A:A,'SuperMarket Analysis'!M:M)</f>
        <v>Ewallet</v>
      </c>
      <c r="F386" s="6">
        <f>0.05*Input_Table[[#This Row],[TOTAL C.O.G.S]]</f>
        <v>10.234999999999999</v>
      </c>
      <c r="G386" s="6" t="str">
        <f>_xlfn.XLOOKUP(Input_Table[[#This Row],[INVOICE ID]],'SuperMarket Analysis'!A:A,'SuperMarket Analysis'!B:B)</f>
        <v>Alex</v>
      </c>
      <c r="H386" s="6" t="str">
        <f>_xlfn.XLOOKUP(Input_Table[[#This Row],[INVOICE ID]],'SuperMarket Analysis'!A:A,'SuperMarket Analysis'!F:F)</f>
        <v>Food and beverages</v>
      </c>
      <c r="I386" s="12">
        <f>_xlfn.XLOOKUP(Input_Table[[#This Row],[INVOICE ID]],'SuperMarket Analysis'!A:A,'SuperMarket Analysis'!G:G)</f>
        <v>40.94</v>
      </c>
      <c r="J386" s="12">
        <f>_xlfn.XLOOKUP(Input_Table[[#This Row],[INVOICE ID]],'SuperMarket Analysis'!A:A,'SuperMarket Analysis'!N:N)</f>
        <v>204.7</v>
      </c>
      <c r="K386" s="12">
        <f>_xlfn.XLOOKUP(Input_Table[[#This Row],[INVOICE ID]],'SuperMarket Analysis'!A:A,'SuperMarket Analysis'!J:J)</f>
        <v>214.935</v>
      </c>
      <c r="L386" s="6">
        <f>DAY(Input_Table[[#This Row],[DATE]])</f>
        <v>17</v>
      </c>
      <c r="M386" s="6" t="str">
        <f>TEXT(Input_Table[[#This Row],[DATE]],"mmmm")</f>
        <v>January</v>
      </c>
      <c r="N386" s="6">
        <f>YEAR(Input_Table[[#This Row],[DATE]])</f>
        <v>2019</v>
      </c>
    </row>
    <row r="387" spans="1:14" x14ac:dyDescent="0.3">
      <c r="A387" s="2">
        <f>_xlfn.XLOOKUP(B387,SuperMarket_Analysis[Invoice ID],SuperMarket_Analysis[Date])</f>
        <v>43479</v>
      </c>
      <c r="B387" s="6" t="s">
        <v>418</v>
      </c>
      <c r="C387" s="7">
        <f>_xlfn.XLOOKUP(B387,SuperMarket_Analysis[Invoice ID],SuperMarket_Analysis[Quantity])</f>
        <v>1</v>
      </c>
      <c r="D387" s="6" t="str">
        <f>_xlfn.XLOOKUP('Input data'!B387,'SuperMarket Analysis'!A:A,'SuperMarket Analysis'!F:F)</f>
        <v>Sports and travel</v>
      </c>
      <c r="E387" s="6" t="str">
        <f>_xlfn.XLOOKUP(B387,'SuperMarket Analysis'!A:A,'SuperMarket Analysis'!M:M)</f>
        <v>Cash</v>
      </c>
      <c r="F387" s="6">
        <f>0.05*Input_Table[[#This Row],[TOTAL C.O.G.S]]</f>
        <v>3.7909999999999999</v>
      </c>
      <c r="G387" s="6" t="str">
        <f>_xlfn.XLOOKUP(Input_Table[[#This Row],[INVOICE ID]],'SuperMarket Analysis'!A:A,'SuperMarket Analysis'!B:B)</f>
        <v>Cairo</v>
      </c>
      <c r="H387" s="6" t="str">
        <f>_xlfn.XLOOKUP(Input_Table[[#This Row],[INVOICE ID]],'SuperMarket Analysis'!A:A,'SuperMarket Analysis'!F:F)</f>
        <v>Sports and travel</v>
      </c>
      <c r="I387" s="12">
        <f>_xlfn.XLOOKUP(Input_Table[[#This Row],[INVOICE ID]],'SuperMarket Analysis'!A:A,'SuperMarket Analysis'!G:G)</f>
        <v>75.819999999999993</v>
      </c>
      <c r="J387" s="12">
        <f>_xlfn.XLOOKUP(Input_Table[[#This Row],[INVOICE ID]],'SuperMarket Analysis'!A:A,'SuperMarket Analysis'!N:N)</f>
        <v>75.819999999999993</v>
      </c>
      <c r="K387" s="12">
        <f>_xlfn.XLOOKUP(Input_Table[[#This Row],[INVOICE ID]],'SuperMarket Analysis'!A:A,'SuperMarket Analysis'!J:J)</f>
        <v>79.611000000000004</v>
      </c>
      <c r="L387" s="6">
        <f>DAY(Input_Table[[#This Row],[DATE]])</f>
        <v>14</v>
      </c>
      <c r="M387" s="6" t="str">
        <f>TEXT(Input_Table[[#This Row],[DATE]],"mmmm")</f>
        <v>January</v>
      </c>
      <c r="N387" s="6">
        <f>YEAR(Input_Table[[#This Row],[DATE]])</f>
        <v>2019</v>
      </c>
    </row>
    <row r="388" spans="1:14" x14ac:dyDescent="0.3">
      <c r="A388" s="2">
        <f>_xlfn.XLOOKUP(B388,SuperMarket_Analysis[Invoice ID],SuperMarket_Analysis[Date])</f>
        <v>43554</v>
      </c>
      <c r="B388" s="6" t="s">
        <v>419</v>
      </c>
      <c r="C388" s="7">
        <f>_xlfn.XLOOKUP(B388,SuperMarket_Analysis[Invoice ID],SuperMarket_Analysis[Quantity])</f>
        <v>6</v>
      </c>
      <c r="D388" s="6" t="str">
        <f>_xlfn.XLOOKUP('Input data'!B388,'SuperMarket Analysis'!A:A,'SuperMarket Analysis'!F:F)</f>
        <v>Food and beverages</v>
      </c>
      <c r="E388" s="6" t="str">
        <f>_xlfn.XLOOKUP(B388,'SuperMarket Analysis'!A:A,'SuperMarket Analysis'!M:M)</f>
        <v>Cash</v>
      </c>
      <c r="F388" s="6">
        <f>0.05*Input_Table[[#This Row],[TOTAL C.O.G.S]]</f>
        <v>14.031000000000001</v>
      </c>
      <c r="G388" s="6" t="str">
        <f>_xlfn.XLOOKUP(Input_Table[[#This Row],[INVOICE ID]],'SuperMarket Analysis'!A:A,'SuperMarket Analysis'!B:B)</f>
        <v>Giza</v>
      </c>
      <c r="H388" s="6" t="str">
        <f>_xlfn.XLOOKUP(Input_Table[[#This Row],[INVOICE ID]],'SuperMarket Analysis'!A:A,'SuperMarket Analysis'!F:F)</f>
        <v>Food and beverages</v>
      </c>
      <c r="I388" s="12">
        <f>_xlfn.XLOOKUP(Input_Table[[#This Row],[INVOICE ID]],'SuperMarket Analysis'!A:A,'SuperMarket Analysis'!G:G)</f>
        <v>46.77</v>
      </c>
      <c r="J388" s="12">
        <f>_xlfn.XLOOKUP(Input_Table[[#This Row],[INVOICE ID]],'SuperMarket Analysis'!A:A,'SuperMarket Analysis'!N:N)</f>
        <v>280.62</v>
      </c>
      <c r="K388" s="12">
        <f>_xlfn.XLOOKUP(Input_Table[[#This Row],[INVOICE ID]],'SuperMarket Analysis'!A:A,'SuperMarket Analysis'!J:J)</f>
        <v>294.65100000000001</v>
      </c>
      <c r="L388" s="6">
        <f>DAY(Input_Table[[#This Row],[DATE]])</f>
        <v>30</v>
      </c>
      <c r="M388" s="6" t="str">
        <f>TEXT(Input_Table[[#This Row],[DATE]],"mmmm")</f>
        <v>March</v>
      </c>
      <c r="N388" s="6">
        <f>YEAR(Input_Table[[#This Row],[DATE]])</f>
        <v>2019</v>
      </c>
    </row>
    <row r="389" spans="1:14" x14ac:dyDescent="0.3">
      <c r="A389" s="2">
        <f>_xlfn.XLOOKUP(B389,SuperMarket_Analysis[Invoice ID],SuperMarket_Analysis[Date])</f>
        <v>43511</v>
      </c>
      <c r="B389" s="6" t="s">
        <v>420</v>
      </c>
      <c r="C389" s="7">
        <f>_xlfn.XLOOKUP(B389,SuperMarket_Analysis[Invoice ID],SuperMarket_Analysis[Quantity])</f>
        <v>10</v>
      </c>
      <c r="D389" s="6" t="str">
        <f>_xlfn.XLOOKUP('Input data'!B389,'SuperMarket Analysis'!A:A,'SuperMarket Analysis'!F:F)</f>
        <v>Health and beauty</v>
      </c>
      <c r="E389" s="6" t="str">
        <f>_xlfn.XLOOKUP(B389,'SuperMarket Analysis'!A:A,'SuperMarket Analysis'!M:M)</f>
        <v>Credit card</v>
      </c>
      <c r="F389" s="6">
        <f>0.05*Input_Table[[#This Row],[TOTAL C.O.G.S]]</f>
        <v>16.16</v>
      </c>
      <c r="G389" s="6" t="str">
        <f>_xlfn.XLOOKUP(Input_Table[[#This Row],[INVOICE ID]],'SuperMarket Analysis'!A:A,'SuperMarket Analysis'!B:B)</f>
        <v>Alex</v>
      </c>
      <c r="H389" s="6" t="str">
        <f>_xlfn.XLOOKUP(Input_Table[[#This Row],[INVOICE ID]],'SuperMarket Analysis'!A:A,'SuperMarket Analysis'!F:F)</f>
        <v>Health and beauty</v>
      </c>
      <c r="I389" s="12">
        <f>_xlfn.XLOOKUP(Input_Table[[#This Row],[INVOICE ID]],'SuperMarket Analysis'!A:A,'SuperMarket Analysis'!G:G)</f>
        <v>32.32</v>
      </c>
      <c r="J389" s="12">
        <f>_xlfn.XLOOKUP(Input_Table[[#This Row],[INVOICE ID]],'SuperMarket Analysis'!A:A,'SuperMarket Analysis'!N:N)</f>
        <v>323.2</v>
      </c>
      <c r="K389" s="12">
        <f>_xlfn.XLOOKUP(Input_Table[[#This Row],[INVOICE ID]],'SuperMarket Analysis'!A:A,'SuperMarket Analysis'!J:J)</f>
        <v>339.36</v>
      </c>
      <c r="L389" s="6">
        <f>DAY(Input_Table[[#This Row],[DATE]])</f>
        <v>15</v>
      </c>
      <c r="M389" s="6" t="str">
        <f>TEXT(Input_Table[[#This Row],[DATE]],"mmmm")</f>
        <v>February</v>
      </c>
      <c r="N389" s="6">
        <f>YEAR(Input_Table[[#This Row],[DATE]])</f>
        <v>2019</v>
      </c>
    </row>
    <row r="390" spans="1:14" x14ac:dyDescent="0.3">
      <c r="A390" s="2">
        <f>_xlfn.XLOOKUP(B390,SuperMarket_Analysis[Invoice ID],SuperMarket_Analysis[Date])</f>
        <v>43520</v>
      </c>
      <c r="B390" s="6" t="s">
        <v>421</v>
      </c>
      <c r="C390" s="7">
        <f>_xlfn.XLOOKUP(B390,SuperMarket_Analysis[Invoice ID],SuperMarket_Analysis[Quantity])</f>
        <v>9</v>
      </c>
      <c r="D390" s="6" t="str">
        <f>_xlfn.XLOOKUP('Input data'!B390,'SuperMarket Analysis'!A:A,'SuperMarket Analysis'!F:F)</f>
        <v>Fashion accessories</v>
      </c>
      <c r="E390" s="6" t="str">
        <f>_xlfn.XLOOKUP(B390,'SuperMarket Analysis'!A:A,'SuperMarket Analysis'!M:M)</f>
        <v>Ewallet</v>
      </c>
      <c r="F390" s="6">
        <f>0.05*Input_Table[[#This Row],[TOTAL C.O.G.S]]</f>
        <v>24.331500000000002</v>
      </c>
      <c r="G390" s="6" t="str">
        <f>_xlfn.XLOOKUP(Input_Table[[#This Row],[INVOICE ID]],'SuperMarket Analysis'!A:A,'SuperMarket Analysis'!B:B)</f>
        <v>Giza</v>
      </c>
      <c r="H390" s="6" t="str">
        <f>_xlfn.XLOOKUP(Input_Table[[#This Row],[INVOICE ID]],'SuperMarket Analysis'!A:A,'SuperMarket Analysis'!F:F)</f>
        <v>Fashion accessories</v>
      </c>
      <c r="I390" s="12">
        <f>_xlfn.XLOOKUP(Input_Table[[#This Row],[INVOICE ID]],'SuperMarket Analysis'!A:A,'SuperMarket Analysis'!G:G)</f>
        <v>54.07</v>
      </c>
      <c r="J390" s="12">
        <f>_xlfn.XLOOKUP(Input_Table[[#This Row],[INVOICE ID]],'SuperMarket Analysis'!A:A,'SuperMarket Analysis'!N:N)</f>
        <v>486.63</v>
      </c>
      <c r="K390" s="12">
        <f>_xlfn.XLOOKUP(Input_Table[[#This Row],[INVOICE ID]],'SuperMarket Analysis'!A:A,'SuperMarket Analysis'!J:J)</f>
        <v>510.9615</v>
      </c>
      <c r="L390" s="6">
        <f>DAY(Input_Table[[#This Row],[DATE]])</f>
        <v>24</v>
      </c>
      <c r="M390" s="6" t="str">
        <f>TEXT(Input_Table[[#This Row],[DATE]],"mmmm")</f>
        <v>February</v>
      </c>
      <c r="N390" s="6">
        <f>YEAR(Input_Table[[#This Row],[DATE]])</f>
        <v>2019</v>
      </c>
    </row>
    <row r="391" spans="1:14" x14ac:dyDescent="0.3">
      <c r="A391" s="2">
        <f>_xlfn.XLOOKUP(B391,SuperMarket_Analysis[Invoice ID],SuperMarket_Analysis[Date])</f>
        <v>43515</v>
      </c>
      <c r="B391" s="6" t="s">
        <v>422</v>
      </c>
      <c r="C391" s="7">
        <f>_xlfn.XLOOKUP(B391,SuperMarket_Analysis[Invoice ID],SuperMarket_Analysis[Quantity])</f>
        <v>7</v>
      </c>
      <c r="D391" s="6" t="str">
        <f>_xlfn.XLOOKUP('Input data'!B391,'SuperMarket Analysis'!A:A,'SuperMarket Analysis'!F:F)</f>
        <v>Food and beverages</v>
      </c>
      <c r="E391" s="6" t="str">
        <f>_xlfn.XLOOKUP(B391,'SuperMarket Analysis'!A:A,'SuperMarket Analysis'!M:M)</f>
        <v>Credit card</v>
      </c>
      <c r="F391" s="6">
        <f>0.05*Input_Table[[#This Row],[TOTAL C.O.G.S]]</f>
        <v>6.3770000000000007</v>
      </c>
      <c r="G391" s="6" t="str">
        <f>_xlfn.XLOOKUP(Input_Table[[#This Row],[INVOICE ID]],'SuperMarket Analysis'!A:A,'SuperMarket Analysis'!B:B)</f>
        <v>Cairo</v>
      </c>
      <c r="H391" s="6" t="str">
        <f>_xlfn.XLOOKUP(Input_Table[[#This Row],[INVOICE ID]],'SuperMarket Analysis'!A:A,'SuperMarket Analysis'!F:F)</f>
        <v>Food and beverages</v>
      </c>
      <c r="I391" s="12">
        <f>_xlfn.XLOOKUP(Input_Table[[#This Row],[INVOICE ID]],'SuperMarket Analysis'!A:A,'SuperMarket Analysis'!G:G)</f>
        <v>18.22</v>
      </c>
      <c r="J391" s="12">
        <f>_xlfn.XLOOKUP(Input_Table[[#This Row],[INVOICE ID]],'SuperMarket Analysis'!A:A,'SuperMarket Analysis'!N:N)</f>
        <v>127.54</v>
      </c>
      <c r="K391" s="12">
        <f>_xlfn.XLOOKUP(Input_Table[[#This Row],[INVOICE ID]],'SuperMarket Analysis'!A:A,'SuperMarket Analysis'!J:J)</f>
        <v>133.917</v>
      </c>
      <c r="L391" s="6">
        <f>DAY(Input_Table[[#This Row],[DATE]])</f>
        <v>19</v>
      </c>
      <c r="M391" s="6" t="str">
        <f>TEXT(Input_Table[[#This Row],[DATE]],"mmmm")</f>
        <v>February</v>
      </c>
      <c r="N391" s="6">
        <f>YEAR(Input_Table[[#This Row],[DATE]])</f>
        <v>2019</v>
      </c>
    </row>
    <row r="392" spans="1:14" x14ac:dyDescent="0.3">
      <c r="A392" s="2">
        <f>_xlfn.XLOOKUP(B392,SuperMarket_Analysis[Invoice ID],SuperMarket_Analysis[Date])</f>
        <v>43519</v>
      </c>
      <c r="B392" s="6" t="s">
        <v>423</v>
      </c>
      <c r="C392" s="7">
        <f>_xlfn.XLOOKUP(B392,SuperMarket_Analysis[Invoice ID],SuperMarket_Analysis[Quantity])</f>
        <v>3</v>
      </c>
      <c r="D392" s="6" t="str">
        <f>_xlfn.XLOOKUP('Input data'!B392,'SuperMarket Analysis'!A:A,'SuperMarket Analysis'!F:F)</f>
        <v>Fashion accessories</v>
      </c>
      <c r="E392" s="6" t="str">
        <f>_xlfn.XLOOKUP(B392,'SuperMarket Analysis'!A:A,'SuperMarket Analysis'!M:M)</f>
        <v>Cash</v>
      </c>
      <c r="F392" s="6">
        <f>0.05*Input_Table[[#This Row],[TOTAL C.O.G.S]]</f>
        <v>12.072000000000001</v>
      </c>
      <c r="G392" s="6" t="str">
        <f>_xlfn.XLOOKUP(Input_Table[[#This Row],[INVOICE ID]],'SuperMarket Analysis'!A:A,'SuperMarket Analysis'!B:B)</f>
        <v>Giza</v>
      </c>
      <c r="H392" s="6" t="str">
        <f>_xlfn.XLOOKUP(Input_Table[[#This Row],[INVOICE ID]],'SuperMarket Analysis'!A:A,'SuperMarket Analysis'!F:F)</f>
        <v>Fashion accessories</v>
      </c>
      <c r="I392" s="12">
        <f>_xlfn.XLOOKUP(Input_Table[[#This Row],[INVOICE ID]],'SuperMarket Analysis'!A:A,'SuperMarket Analysis'!G:G)</f>
        <v>80.48</v>
      </c>
      <c r="J392" s="12">
        <f>_xlfn.XLOOKUP(Input_Table[[#This Row],[INVOICE ID]],'SuperMarket Analysis'!A:A,'SuperMarket Analysis'!N:N)</f>
        <v>241.44</v>
      </c>
      <c r="K392" s="12">
        <f>_xlfn.XLOOKUP(Input_Table[[#This Row],[INVOICE ID]],'SuperMarket Analysis'!A:A,'SuperMarket Analysis'!J:J)</f>
        <v>253.512</v>
      </c>
      <c r="L392" s="6">
        <f>DAY(Input_Table[[#This Row],[DATE]])</f>
        <v>23</v>
      </c>
      <c r="M392" s="6" t="str">
        <f>TEXT(Input_Table[[#This Row],[DATE]],"mmmm")</f>
        <v>February</v>
      </c>
      <c r="N392" s="6">
        <f>YEAR(Input_Table[[#This Row],[DATE]])</f>
        <v>2019</v>
      </c>
    </row>
    <row r="393" spans="1:14" x14ac:dyDescent="0.3">
      <c r="A393" s="2">
        <f>_xlfn.XLOOKUP(B393,SuperMarket_Analysis[Invoice ID],SuperMarket_Analysis[Date])</f>
        <v>43479</v>
      </c>
      <c r="B393" s="6" t="s">
        <v>424</v>
      </c>
      <c r="C393" s="7">
        <f>_xlfn.XLOOKUP(B393,SuperMarket_Analysis[Invoice ID],SuperMarket_Analysis[Quantity])</f>
        <v>10</v>
      </c>
      <c r="D393" s="6" t="str">
        <f>_xlfn.XLOOKUP('Input data'!B393,'SuperMarket Analysis'!A:A,'SuperMarket Analysis'!F:F)</f>
        <v>Fashion accessories</v>
      </c>
      <c r="E393" s="6" t="str">
        <f>_xlfn.XLOOKUP(B393,'SuperMarket Analysis'!A:A,'SuperMarket Analysis'!M:M)</f>
        <v>Cash</v>
      </c>
      <c r="F393" s="6">
        <f>0.05*Input_Table[[#This Row],[TOTAL C.O.G.S]]</f>
        <v>18.975000000000001</v>
      </c>
      <c r="G393" s="6" t="str">
        <f>_xlfn.XLOOKUP(Input_Table[[#This Row],[INVOICE ID]],'SuperMarket Analysis'!A:A,'SuperMarket Analysis'!B:B)</f>
        <v>Cairo</v>
      </c>
      <c r="H393" s="6" t="str">
        <f>_xlfn.XLOOKUP(Input_Table[[#This Row],[INVOICE ID]],'SuperMarket Analysis'!A:A,'SuperMarket Analysis'!F:F)</f>
        <v>Fashion accessories</v>
      </c>
      <c r="I393" s="12">
        <f>_xlfn.XLOOKUP(Input_Table[[#This Row],[INVOICE ID]],'SuperMarket Analysis'!A:A,'SuperMarket Analysis'!G:G)</f>
        <v>37.950000000000003</v>
      </c>
      <c r="J393" s="12">
        <f>_xlfn.XLOOKUP(Input_Table[[#This Row],[INVOICE ID]],'SuperMarket Analysis'!A:A,'SuperMarket Analysis'!N:N)</f>
        <v>379.5</v>
      </c>
      <c r="K393" s="12">
        <f>_xlfn.XLOOKUP(Input_Table[[#This Row],[INVOICE ID]],'SuperMarket Analysis'!A:A,'SuperMarket Analysis'!J:J)</f>
        <v>398.47500000000002</v>
      </c>
      <c r="L393" s="6">
        <f>DAY(Input_Table[[#This Row],[DATE]])</f>
        <v>14</v>
      </c>
      <c r="M393" s="6" t="str">
        <f>TEXT(Input_Table[[#This Row],[DATE]],"mmmm")</f>
        <v>January</v>
      </c>
      <c r="N393" s="6">
        <f>YEAR(Input_Table[[#This Row],[DATE]])</f>
        <v>2019</v>
      </c>
    </row>
    <row r="394" spans="1:14" x14ac:dyDescent="0.3">
      <c r="A394" s="2">
        <f>_xlfn.XLOOKUP(B394,SuperMarket_Analysis[Invoice ID],SuperMarket_Analysis[Date])</f>
        <v>43523</v>
      </c>
      <c r="B394" s="6" t="s">
        <v>425</v>
      </c>
      <c r="C394" s="7">
        <f>_xlfn.XLOOKUP(B394,SuperMarket_Analysis[Invoice ID],SuperMarket_Analysis[Quantity])</f>
        <v>1</v>
      </c>
      <c r="D394" s="6" t="str">
        <f>_xlfn.XLOOKUP('Input data'!B394,'SuperMarket Analysis'!A:A,'SuperMarket Analysis'!F:F)</f>
        <v>Electronic accessories</v>
      </c>
      <c r="E394" s="6" t="str">
        <f>_xlfn.XLOOKUP(B394,'SuperMarket Analysis'!A:A,'SuperMarket Analysis'!M:M)</f>
        <v>Ewallet</v>
      </c>
      <c r="F394" s="6">
        <f>0.05*Input_Table[[#This Row],[TOTAL C.O.G.S]]</f>
        <v>3.8409999999999997</v>
      </c>
      <c r="G394" s="6" t="str">
        <f>_xlfn.XLOOKUP(Input_Table[[#This Row],[INVOICE ID]],'SuperMarket Analysis'!A:A,'SuperMarket Analysis'!B:B)</f>
        <v>Alex</v>
      </c>
      <c r="H394" s="6" t="str">
        <f>_xlfn.XLOOKUP(Input_Table[[#This Row],[INVOICE ID]],'SuperMarket Analysis'!A:A,'SuperMarket Analysis'!F:F)</f>
        <v>Electronic accessories</v>
      </c>
      <c r="I394" s="12">
        <f>_xlfn.XLOOKUP(Input_Table[[#This Row],[INVOICE ID]],'SuperMarket Analysis'!A:A,'SuperMarket Analysis'!G:G)</f>
        <v>76.819999999999993</v>
      </c>
      <c r="J394" s="12">
        <f>_xlfn.XLOOKUP(Input_Table[[#This Row],[INVOICE ID]],'SuperMarket Analysis'!A:A,'SuperMarket Analysis'!N:N)</f>
        <v>76.819999999999993</v>
      </c>
      <c r="K394" s="12">
        <f>_xlfn.XLOOKUP(Input_Table[[#This Row],[INVOICE ID]],'SuperMarket Analysis'!A:A,'SuperMarket Analysis'!J:J)</f>
        <v>80.661000000000001</v>
      </c>
      <c r="L394" s="6">
        <f>DAY(Input_Table[[#This Row],[DATE]])</f>
        <v>27</v>
      </c>
      <c r="M394" s="6" t="str">
        <f>TEXT(Input_Table[[#This Row],[DATE]],"mmmm")</f>
        <v>February</v>
      </c>
      <c r="N394" s="6">
        <f>YEAR(Input_Table[[#This Row],[DATE]])</f>
        <v>2019</v>
      </c>
    </row>
    <row r="395" spans="1:14" x14ac:dyDescent="0.3">
      <c r="A395" s="2">
        <f>_xlfn.XLOOKUP(B395,SuperMarket_Analysis[Invoice ID],SuperMarket_Analysis[Date])</f>
        <v>43489</v>
      </c>
      <c r="B395" s="6" t="s">
        <v>426</v>
      </c>
      <c r="C395" s="7">
        <f>_xlfn.XLOOKUP(B395,SuperMarket_Analysis[Invoice ID],SuperMarket_Analysis[Quantity])</f>
        <v>10</v>
      </c>
      <c r="D395" s="6" t="str">
        <f>_xlfn.XLOOKUP('Input data'!B395,'SuperMarket Analysis'!A:A,'SuperMarket Analysis'!F:F)</f>
        <v>Sports and travel</v>
      </c>
      <c r="E395" s="6" t="str">
        <f>_xlfn.XLOOKUP(B395,'SuperMarket Analysis'!A:A,'SuperMarket Analysis'!M:M)</f>
        <v>Credit card</v>
      </c>
      <c r="F395" s="6">
        <f>0.05*Input_Table[[#This Row],[TOTAL C.O.G.S]]</f>
        <v>26.130000000000003</v>
      </c>
      <c r="G395" s="6" t="str">
        <f>_xlfn.XLOOKUP(Input_Table[[#This Row],[INVOICE ID]],'SuperMarket Analysis'!A:A,'SuperMarket Analysis'!B:B)</f>
        <v>Alex</v>
      </c>
      <c r="H395" s="6" t="str">
        <f>_xlfn.XLOOKUP(Input_Table[[#This Row],[INVOICE ID]],'SuperMarket Analysis'!A:A,'SuperMarket Analysis'!F:F)</f>
        <v>Sports and travel</v>
      </c>
      <c r="I395" s="12">
        <f>_xlfn.XLOOKUP(Input_Table[[#This Row],[INVOICE ID]],'SuperMarket Analysis'!A:A,'SuperMarket Analysis'!G:G)</f>
        <v>52.26</v>
      </c>
      <c r="J395" s="12">
        <f>_xlfn.XLOOKUP(Input_Table[[#This Row],[INVOICE ID]],'SuperMarket Analysis'!A:A,'SuperMarket Analysis'!N:N)</f>
        <v>522.6</v>
      </c>
      <c r="K395" s="12">
        <f>_xlfn.XLOOKUP(Input_Table[[#This Row],[INVOICE ID]],'SuperMarket Analysis'!A:A,'SuperMarket Analysis'!J:J)</f>
        <v>548.73</v>
      </c>
      <c r="L395" s="6">
        <f>DAY(Input_Table[[#This Row],[DATE]])</f>
        <v>24</v>
      </c>
      <c r="M395" s="6" t="str">
        <f>TEXT(Input_Table[[#This Row],[DATE]],"mmmm")</f>
        <v>January</v>
      </c>
      <c r="N395" s="6">
        <f>YEAR(Input_Table[[#This Row],[DATE]])</f>
        <v>2019</v>
      </c>
    </row>
    <row r="396" spans="1:14" x14ac:dyDescent="0.3">
      <c r="A396" s="2">
        <f>_xlfn.XLOOKUP(B396,SuperMarket_Analysis[Invoice ID],SuperMarket_Analysis[Date])</f>
        <v>43481</v>
      </c>
      <c r="B396" s="6" t="s">
        <v>427</v>
      </c>
      <c r="C396" s="7">
        <f>_xlfn.XLOOKUP(B396,SuperMarket_Analysis[Invoice ID],SuperMarket_Analysis[Quantity])</f>
        <v>1</v>
      </c>
      <c r="D396" s="6" t="str">
        <f>_xlfn.XLOOKUP('Input data'!B396,'SuperMarket Analysis'!A:A,'SuperMarket Analysis'!F:F)</f>
        <v>Health and beauty</v>
      </c>
      <c r="E396" s="6" t="str">
        <f>_xlfn.XLOOKUP(B396,'SuperMarket Analysis'!A:A,'SuperMarket Analysis'!M:M)</f>
        <v>Ewallet</v>
      </c>
      <c r="F396" s="6">
        <f>0.05*Input_Table[[#This Row],[TOTAL C.O.G.S]]</f>
        <v>3.9870000000000001</v>
      </c>
      <c r="G396" s="6" t="str">
        <f>_xlfn.XLOOKUP(Input_Table[[#This Row],[INVOICE ID]],'SuperMarket Analysis'!A:A,'SuperMarket Analysis'!B:B)</f>
        <v>Alex</v>
      </c>
      <c r="H396" s="6" t="str">
        <f>_xlfn.XLOOKUP(Input_Table[[#This Row],[INVOICE ID]],'SuperMarket Analysis'!A:A,'SuperMarket Analysis'!F:F)</f>
        <v>Health and beauty</v>
      </c>
      <c r="I396" s="12">
        <f>_xlfn.XLOOKUP(Input_Table[[#This Row],[INVOICE ID]],'SuperMarket Analysis'!A:A,'SuperMarket Analysis'!G:G)</f>
        <v>79.739999999999995</v>
      </c>
      <c r="J396" s="12">
        <f>_xlfn.XLOOKUP(Input_Table[[#This Row],[INVOICE ID]],'SuperMarket Analysis'!A:A,'SuperMarket Analysis'!N:N)</f>
        <v>79.739999999999995</v>
      </c>
      <c r="K396" s="12">
        <f>_xlfn.XLOOKUP(Input_Table[[#This Row],[INVOICE ID]],'SuperMarket Analysis'!A:A,'SuperMarket Analysis'!J:J)</f>
        <v>83.727000000000004</v>
      </c>
      <c r="L396" s="6">
        <f>DAY(Input_Table[[#This Row],[DATE]])</f>
        <v>16</v>
      </c>
      <c r="M396" s="6" t="str">
        <f>TEXT(Input_Table[[#This Row],[DATE]],"mmmm")</f>
        <v>January</v>
      </c>
      <c r="N396" s="6">
        <f>YEAR(Input_Table[[#This Row],[DATE]])</f>
        <v>2019</v>
      </c>
    </row>
    <row r="397" spans="1:14" x14ac:dyDescent="0.3">
      <c r="A397" s="2">
        <f>_xlfn.XLOOKUP(B397,SuperMarket_Analysis[Invoice ID],SuperMarket_Analysis[Date])</f>
        <v>43537</v>
      </c>
      <c r="B397" s="6" t="s">
        <v>428</v>
      </c>
      <c r="C397" s="7">
        <f>_xlfn.XLOOKUP(B397,SuperMarket_Analysis[Invoice ID],SuperMarket_Analysis[Quantity])</f>
        <v>5</v>
      </c>
      <c r="D397" s="6" t="str">
        <f>_xlfn.XLOOKUP('Input data'!B397,'SuperMarket Analysis'!A:A,'SuperMarket Analysis'!F:F)</f>
        <v>Health and beauty</v>
      </c>
      <c r="E397" s="6" t="str">
        <f>_xlfn.XLOOKUP(B397,'SuperMarket Analysis'!A:A,'SuperMarket Analysis'!M:M)</f>
        <v>Ewallet</v>
      </c>
      <c r="F397" s="6">
        <f>0.05*Input_Table[[#This Row],[TOTAL C.O.G.S]]</f>
        <v>19.375</v>
      </c>
      <c r="G397" s="6" t="str">
        <f>_xlfn.XLOOKUP(Input_Table[[#This Row],[INVOICE ID]],'SuperMarket Analysis'!A:A,'SuperMarket Analysis'!B:B)</f>
        <v>Alex</v>
      </c>
      <c r="H397" s="6" t="str">
        <f>_xlfn.XLOOKUP(Input_Table[[#This Row],[INVOICE ID]],'SuperMarket Analysis'!A:A,'SuperMarket Analysis'!F:F)</f>
        <v>Health and beauty</v>
      </c>
      <c r="I397" s="12">
        <f>_xlfn.XLOOKUP(Input_Table[[#This Row],[INVOICE ID]],'SuperMarket Analysis'!A:A,'SuperMarket Analysis'!G:G)</f>
        <v>77.5</v>
      </c>
      <c r="J397" s="12">
        <f>_xlfn.XLOOKUP(Input_Table[[#This Row],[INVOICE ID]],'SuperMarket Analysis'!A:A,'SuperMarket Analysis'!N:N)</f>
        <v>387.5</v>
      </c>
      <c r="K397" s="12">
        <f>_xlfn.XLOOKUP(Input_Table[[#This Row],[INVOICE ID]],'SuperMarket Analysis'!A:A,'SuperMarket Analysis'!J:J)</f>
        <v>406.875</v>
      </c>
      <c r="L397" s="6">
        <f>DAY(Input_Table[[#This Row],[DATE]])</f>
        <v>13</v>
      </c>
      <c r="M397" s="6" t="str">
        <f>TEXT(Input_Table[[#This Row],[DATE]],"mmmm")</f>
        <v>March</v>
      </c>
      <c r="N397" s="6">
        <f>YEAR(Input_Table[[#This Row],[DATE]])</f>
        <v>2019</v>
      </c>
    </row>
    <row r="398" spans="1:14" x14ac:dyDescent="0.3">
      <c r="A398" s="2">
        <f>_xlfn.XLOOKUP(B398,SuperMarket_Analysis[Invoice ID],SuperMarket_Analysis[Date])</f>
        <v>43511</v>
      </c>
      <c r="B398" s="6" t="s">
        <v>429</v>
      </c>
      <c r="C398" s="7">
        <f>_xlfn.XLOOKUP(B398,SuperMarket_Analysis[Invoice ID],SuperMarket_Analysis[Quantity])</f>
        <v>5</v>
      </c>
      <c r="D398" s="6" t="str">
        <f>_xlfn.XLOOKUP('Input data'!B398,'SuperMarket Analysis'!A:A,'SuperMarket Analysis'!F:F)</f>
        <v>Food and beverages</v>
      </c>
      <c r="E398" s="6" t="str">
        <f>_xlfn.XLOOKUP(B398,'SuperMarket Analysis'!A:A,'SuperMarket Analysis'!M:M)</f>
        <v>Ewallet</v>
      </c>
      <c r="F398" s="6">
        <f>0.05*Input_Table[[#This Row],[TOTAL C.O.G.S]]</f>
        <v>13.567500000000003</v>
      </c>
      <c r="G398" s="6" t="str">
        <f>_xlfn.XLOOKUP(Input_Table[[#This Row],[INVOICE ID]],'SuperMarket Analysis'!A:A,'SuperMarket Analysis'!B:B)</f>
        <v>Alex</v>
      </c>
      <c r="H398" s="6" t="str">
        <f>_xlfn.XLOOKUP(Input_Table[[#This Row],[INVOICE ID]],'SuperMarket Analysis'!A:A,'SuperMarket Analysis'!F:F)</f>
        <v>Food and beverages</v>
      </c>
      <c r="I398" s="12">
        <f>_xlfn.XLOOKUP(Input_Table[[#This Row],[INVOICE ID]],'SuperMarket Analysis'!A:A,'SuperMarket Analysis'!G:G)</f>
        <v>54.27</v>
      </c>
      <c r="J398" s="12">
        <f>_xlfn.XLOOKUP(Input_Table[[#This Row],[INVOICE ID]],'SuperMarket Analysis'!A:A,'SuperMarket Analysis'!N:N)</f>
        <v>271.35000000000002</v>
      </c>
      <c r="K398" s="12">
        <f>_xlfn.XLOOKUP(Input_Table[[#This Row],[INVOICE ID]],'SuperMarket Analysis'!A:A,'SuperMarket Analysis'!J:J)</f>
        <v>284.91750000000002</v>
      </c>
      <c r="L398" s="6">
        <f>DAY(Input_Table[[#This Row],[DATE]])</f>
        <v>15</v>
      </c>
      <c r="M398" s="6" t="str">
        <f>TEXT(Input_Table[[#This Row],[DATE]],"mmmm")</f>
        <v>February</v>
      </c>
      <c r="N398" s="6">
        <f>YEAR(Input_Table[[#This Row],[DATE]])</f>
        <v>2019</v>
      </c>
    </row>
    <row r="399" spans="1:14" x14ac:dyDescent="0.3">
      <c r="A399" s="2">
        <f>_xlfn.XLOOKUP(B399,SuperMarket_Analysis[Invoice ID],SuperMarket_Analysis[Date])</f>
        <v>43490</v>
      </c>
      <c r="B399" s="6" t="s">
        <v>430</v>
      </c>
      <c r="C399" s="7">
        <f>_xlfn.XLOOKUP(B399,SuperMarket_Analysis[Invoice ID],SuperMarket_Analysis[Quantity])</f>
        <v>9</v>
      </c>
      <c r="D399" s="6" t="str">
        <f>_xlfn.XLOOKUP('Input data'!B399,'SuperMarket Analysis'!A:A,'SuperMarket Analysis'!F:F)</f>
        <v>Home and lifestyle</v>
      </c>
      <c r="E399" s="6" t="str">
        <f>_xlfn.XLOOKUP(B399,'SuperMarket Analysis'!A:A,'SuperMarket Analysis'!M:M)</f>
        <v>Cash</v>
      </c>
      <c r="F399" s="6">
        <f>0.05*Input_Table[[#This Row],[TOTAL C.O.G.S]]</f>
        <v>6.1155000000000008</v>
      </c>
      <c r="G399" s="6" t="str">
        <f>_xlfn.XLOOKUP(Input_Table[[#This Row],[INVOICE ID]],'SuperMarket Analysis'!A:A,'SuperMarket Analysis'!B:B)</f>
        <v>Cairo</v>
      </c>
      <c r="H399" s="6" t="str">
        <f>_xlfn.XLOOKUP(Input_Table[[#This Row],[INVOICE ID]],'SuperMarket Analysis'!A:A,'SuperMarket Analysis'!F:F)</f>
        <v>Home and lifestyle</v>
      </c>
      <c r="I399" s="12">
        <f>_xlfn.XLOOKUP(Input_Table[[#This Row],[INVOICE ID]],'SuperMarket Analysis'!A:A,'SuperMarket Analysis'!G:G)</f>
        <v>13.59</v>
      </c>
      <c r="J399" s="12">
        <f>_xlfn.XLOOKUP(Input_Table[[#This Row],[INVOICE ID]],'SuperMarket Analysis'!A:A,'SuperMarket Analysis'!N:N)</f>
        <v>122.31</v>
      </c>
      <c r="K399" s="12">
        <f>_xlfn.XLOOKUP(Input_Table[[#This Row],[INVOICE ID]],'SuperMarket Analysis'!A:A,'SuperMarket Analysis'!J:J)</f>
        <v>128.4255</v>
      </c>
      <c r="L399" s="6">
        <f>DAY(Input_Table[[#This Row],[DATE]])</f>
        <v>25</v>
      </c>
      <c r="M399" s="6" t="str">
        <f>TEXT(Input_Table[[#This Row],[DATE]],"mmmm")</f>
        <v>January</v>
      </c>
      <c r="N399" s="6">
        <f>YEAR(Input_Table[[#This Row],[DATE]])</f>
        <v>2019</v>
      </c>
    </row>
    <row r="400" spans="1:14" x14ac:dyDescent="0.3">
      <c r="A400" s="2">
        <f>_xlfn.XLOOKUP(B400,SuperMarket_Analysis[Invoice ID],SuperMarket_Analysis[Date])</f>
        <v>43481</v>
      </c>
      <c r="B400" s="6" t="s">
        <v>431</v>
      </c>
      <c r="C400" s="7">
        <f>_xlfn.XLOOKUP(B400,SuperMarket_Analysis[Invoice ID],SuperMarket_Analysis[Quantity])</f>
        <v>6</v>
      </c>
      <c r="D400" s="6" t="str">
        <f>_xlfn.XLOOKUP('Input data'!B400,'SuperMarket Analysis'!A:A,'SuperMarket Analysis'!F:F)</f>
        <v>Health and beauty</v>
      </c>
      <c r="E400" s="6" t="str">
        <f>_xlfn.XLOOKUP(B400,'SuperMarket Analysis'!A:A,'SuperMarket Analysis'!M:M)</f>
        <v>Credit card</v>
      </c>
      <c r="F400" s="6">
        <f>0.05*Input_Table[[#This Row],[TOTAL C.O.G.S]]</f>
        <v>12.318000000000001</v>
      </c>
      <c r="G400" s="6" t="str">
        <f>_xlfn.XLOOKUP(Input_Table[[#This Row],[INVOICE ID]],'SuperMarket Analysis'!A:A,'SuperMarket Analysis'!B:B)</f>
        <v>Cairo</v>
      </c>
      <c r="H400" s="6" t="str">
        <f>_xlfn.XLOOKUP(Input_Table[[#This Row],[INVOICE ID]],'SuperMarket Analysis'!A:A,'SuperMarket Analysis'!F:F)</f>
        <v>Health and beauty</v>
      </c>
      <c r="I400" s="12">
        <f>_xlfn.XLOOKUP(Input_Table[[#This Row],[INVOICE ID]],'SuperMarket Analysis'!A:A,'SuperMarket Analysis'!G:G)</f>
        <v>41.06</v>
      </c>
      <c r="J400" s="12">
        <f>_xlfn.XLOOKUP(Input_Table[[#This Row],[INVOICE ID]],'SuperMarket Analysis'!A:A,'SuperMarket Analysis'!N:N)</f>
        <v>246.36</v>
      </c>
      <c r="K400" s="12">
        <f>_xlfn.XLOOKUP(Input_Table[[#This Row],[INVOICE ID]],'SuperMarket Analysis'!A:A,'SuperMarket Analysis'!J:J)</f>
        <v>258.678</v>
      </c>
      <c r="L400" s="6">
        <f>DAY(Input_Table[[#This Row],[DATE]])</f>
        <v>16</v>
      </c>
      <c r="M400" s="6" t="str">
        <f>TEXT(Input_Table[[#This Row],[DATE]],"mmmm")</f>
        <v>January</v>
      </c>
      <c r="N400" s="6">
        <f>YEAR(Input_Table[[#This Row],[DATE]])</f>
        <v>2019</v>
      </c>
    </row>
    <row r="401" spans="1:14" x14ac:dyDescent="0.3">
      <c r="A401" s="2">
        <f>_xlfn.XLOOKUP(B401,SuperMarket_Analysis[Invoice ID],SuperMarket_Analysis[Date])</f>
        <v>43494</v>
      </c>
      <c r="B401" s="6" t="s">
        <v>432</v>
      </c>
      <c r="C401" s="7">
        <f>_xlfn.XLOOKUP(B401,SuperMarket_Analysis[Invoice ID],SuperMarket_Analysis[Quantity])</f>
        <v>9</v>
      </c>
      <c r="D401" s="6" t="str">
        <f>_xlfn.XLOOKUP('Input data'!B401,'SuperMarket Analysis'!A:A,'SuperMarket Analysis'!F:F)</f>
        <v>Electronic accessories</v>
      </c>
      <c r="E401" s="6" t="str">
        <f>_xlfn.XLOOKUP(B401,'SuperMarket Analysis'!A:A,'SuperMarket Analysis'!M:M)</f>
        <v>Cash</v>
      </c>
      <c r="F401" s="6">
        <f>0.05*Input_Table[[#This Row],[TOTAL C.O.G.S]]</f>
        <v>8.6579999999999995</v>
      </c>
      <c r="G401" s="6" t="str">
        <f>_xlfn.XLOOKUP(Input_Table[[#This Row],[INVOICE ID]],'SuperMarket Analysis'!A:A,'SuperMarket Analysis'!B:B)</f>
        <v>Cairo</v>
      </c>
      <c r="H401" s="6" t="str">
        <f>_xlfn.XLOOKUP(Input_Table[[#This Row],[INVOICE ID]],'SuperMarket Analysis'!A:A,'SuperMarket Analysis'!F:F)</f>
        <v>Electronic accessories</v>
      </c>
      <c r="I401" s="12">
        <f>_xlfn.XLOOKUP(Input_Table[[#This Row],[INVOICE ID]],'SuperMarket Analysis'!A:A,'SuperMarket Analysis'!G:G)</f>
        <v>19.239999999999998</v>
      </c>
      <c r="J401" s="12">
        <f>_xlfn.XLOOKUP(Input_Table[[#This Row],[INVOICE ID]],'SuperMarket Analysis'!A:A,'SuperMarket Analysis'!N:N)</f>
        <v>173.16</v>
      </c>
      <c r="K401" s="12">
        <f>_xlfn.XLOOKUP(Input_Table[[#This Row],[INVOICE ID]],'SuperMarket Analysis'!A:A,'SuperMarket Analysis'!J:J)</f>
        <v>181.81800000000001</v>
      </c>
      <c r="L401" s="6">
        <f>DAY(Input_Table[[#This Row],[DATE]])</f>
        <v>29</v>
      </c>
      <c r="M401" s="6" t="str">
        <f>TEXT(Input_Table[[#This Row],[DATE]],"mmmm")</f>
        <v>January</v>
      </c>
      <c r="N401" s="6">
        <f>YEAR(Input_Table[[#This Row],[DATE]])</f>
        <v>2019</v>
      </c>
    </row>
    <row r="402" spans="1:14" x14ac:dyDescent="0.3">
      <c r="A402" s="2">
        <f>_xlfn.XLOOKUP(B402,SuperMarket_Analysis[Invoice ID],SuperMarket_Analysis[Date])</f>
        <v>43515</v>
      </c>
      <c r="B402" s="6" t="s">
        <v>433</v>
      </c>
      <c r="C402" s="7">
        <f>_xlfn.XLOOKUP(B402,SuperMarket_Analysis[Invoice ID],SuperMarket_Analysis[Quantity])</f>
        <v>6</v>
      </c>
      <c r="D402" s="6" t="str">
        <f>_xlfn.XLOOKUP('Input data'!B402,'SuperMarket Analysis'!A:A,'SuperMarket Analysis'!F:F)</f>
        <v>Food and beverages</v>
      </c>
      <c r="E402" s="6" t="str">
        <f>_xlfn.XLOOKUP(B402,'SuperMarket Analysis'!A:A,'SuperMarket Analysis'!M:M)</f>
        <v>Credit card</v>
      </c>
      <c r="F402" s="6">
        <f>0.05*Input_Table[[#This Row],[TOTAL C.O.G.S]]</f>
        <v>11.829000000000001</v>
      </c>
      <c r="G402" s="6" t="str">
        <f>_xlfn.XLOOKUP(Input_Table[[#This Row],[INVOICE ID]],'SuperMarket Analysis'!A:A,'SuperMarket Analysis'!B:B)</f>
        <v>Giza</v>
      </c>
      <c r="H402" s="6" t="str">
        <f>_xlfn.XLOOKUP(Input_Table[[#This Row],[INVOICE ID]],'SuperMarket Analysis'!A:A,'SuperMarket Analysis'!F:F)</f>
        <v>Food and beverages</v>
      </c>
      <c r="I402" s="12">
        <f>_xlfn.XLOOKUP(Input_Table[[#This Row],[INVOICE ID]],'SuperMarket Analysis'!A:A,'SuperMarket Analysis'!G:G)</f>
        <v>39.43</v>
      </c>
      <c r="J402" s="12">
        <f>_xlfn.XLOOKUP(Input_Table[[#This Row],[INVOICE ID]],'SuperMarket Analysis'!A:A,'SuperMarket Analysis'!N:N)</f>
        <v>236.58</v>
      </c>
      <c r="K402" s="12">
        <f>_xlfn.XLOOKUP(Input_Table[[#This Row],[INVOICE ID]],'SuperMarket Analysis'!A:A,'SuperMarket Analysis'!J:J)</f>
        <v>248.40899999999999</v>
      </c>
      <c r="L402" s="6">
        <f>DAY(Input_Table[[#This Row],[DATE]])</f>
        <v>19</v>
      </c>
      <c r="M402" s="6" t="str">
        <f>TEXT(Input_Table[[#This Row],[DATE]],"mmmm")</f>
        <v>February</v>
      </c>
      <c r="N402" s="6">
        <f>YEAR(Input_Table[[#This Row],[DATE]])</f>
        <v>2019</v>
      </c>
    </row>
    <row r="403" spans="1:14" x14ac:dyDescent="0.3">
      <c r="A403" s="2">
        <f>_xlfn.XLOOKUP(B403,SuperMarket_Analysis[Invoice ID],SuperMarket_Analysis[Date])</f>
        <v>43551</v>
      </c>
      <c r="B403" s="6" t="s">
        <v>434</v>
      </c>
      <c r="C403" s="7">
        <f>_xlfn.XLOOKUP(B403,SuperMarket_Analysis[Invoice ID],SuperMarket_Analysis[Quantity])</f>
        <v>4</v>
      </c>
      <c r="D403" s="6" t="str">
        <f>_xlfn.XLOOKUP('Input data'!B403,'SuperMarket Analysis'!A:A,'SuperMarket Analysis'!F:F)</f>
        <v>Home and lifestyle</v>
      </c>
      <c r="E403" s="6" t="str">
        <f>_xlfn.XLOOKUP(B403,'SuperMarket Analysis'!A:A,'SuperMarket Analysis'!M:M)</f>
        <v>Credit card</v>
      </c>
      <c r="F403" s="6">
        <f>0.05*Input_Table[[#This Row],[TOTAL C.O.G.S]]</f>
        <v>9.2439999999999998</v>
      </c>
      <c r="G403" s="6" t="str">
        <f>_xlfn.XLOOKUP(Input_Table[[#This Row],[INVOICE ID]],'SuperMarket Analysis'!A:A,'SuperMarket Analysis'!B:B)</f>
        <v>Giza</v>
      </c>
      <c r="H403" s="6" t="str">
        <f>_xlfn.XLOOKUP(Input_Table[[#This Row],[INVOICE ID]],'SuperMarket Analysis'!A:A,'SuperMarket Analysis'!F:F)</f>
        <v>Home and lifestyle</v>
      </c>
      <c r="I403" s="12">
        <f>_xlfn.XLOOKUP(Input_Table[[#This Row],[INVOICE ID]],'SuperMarket Analysis'!A:A,'SuperMarket Analysis'!G:G)</f>
        <v>46.22</v>
      </c>
      <c r="J403" s="12">
        <f>_xlfn.XLOOKUP(Input_Table[[#This Row],[INVOICE ID]],'SuperMarket Analysis'!A:A,'SuperMarket Analysis'!N:N)</f>
        <v>184.88</v>
      </c>
      <c r="K403" s="12">
        <f>_xlfn.XLOOKUP(Input_Table[[#This Row],[INVOICE ID]],'SuperMarket Analysis'!A:A,'SuperMarket Analysis'!J:J)</f>
        <v>194.124</v>
      </c>
      <c r="L403" s="6">
        <f>DAY(Input_Table[[#This Row],[DATE]])</f>
        <v>27</v>
      </c>
      <c r="M403" s="6" t="str">
        <f>TEXT(Input_Table[[#This Row],[DATE]],"mmmm")</f>
        <v>March</v>
      </c>
      <c r="N403" s="6">
        <f>YEAR(Input_Table[[#This Row],[DATE]])</f>
        <v>2019</v>
      </c>
    </row>
    <row r="404" spans="1:14" x14ac:dyDescent="0.3">
      <c r="A404" s="2">
        <f>_xlfn.XLOOKUP(B404,SuperMarket_Analysis[Invoice ID],SuperMarket_Analysis[Date])</f>
        <v>43523</v>
      </c>
      <c r="B404" s="6" t="s">
        <v>435</v>
      </c>
      <c r="C404" s="7">
        <f>_xlfn.XLOOKUP(B404,SuperMarket_Analysis[Invoice ID],SuperMarket_Analysis[Quantity])</f>
        <v>1</v>
      </c>
      <c r="D404" s="6" t="str">
        <f>_xlfn.XLOOKUP('Input data'!B404,'SuperMarket Analysis'!A:A,'SuperMarket Analysis'!F:F)</f>
        <v>Home and lifestyle</v>
      </c>
      <c r="E404" s="6" t="str">
        <f>_xlfn.XLOOKUP(B404,'SuperMarket Analysis'!A:A,'SuperMarket Analysis'!M:M)</f>
        <v>Ewallet</v>
      </c>
      <c r="F404" s="6">
        <f>0.05*Input_Table[[#This Row],[TOTAL C.O.G.S]]</f>
        <v>0.69900000000000007</v>
      </c>
      <c r="G404" s="6" t="str">
        <f>_xlfn.XLOOKUP(Input_Table[[#This Row],[INVOICE ID]],'SuperMarket Analysis'!A:A,'SuperMarket Analysis'!B:B)</f>
        <v>Giza</v>
      </c>
      <c r="H404" s="6" t="str">
        <f>_xlfn.XLOOKUP(Input_Table[[#This Row],[INVOICE ID]],'SuperMarket Analysis'!A:A,'SuperMarket Analysis'!F:F)</f>
        <v>Home and lifestyle</v>
      </c>
      <c r="I404" s="12">
        <f>_xlfn.XLOOKUP(Input_Table[[#This Row],[INVOICE ID]],'SuperMarket Analysis'!A:A,'SuperMarket Analysis'!G:G)</f>
        <v>13.98</v>
      </c>
      <c r="J404" s="12">
        <f>_xlfn.XLOOKUP(Input_Table[[#This Row],[INVOICE ID]],'SuperMarket Analysis'!A:A,'SuperMarket Analysis'!N:N)</f>
        <v>13.98</v>
      </c>
      <c r="K404" s="12">
        <f>_xlfn.XLOOKUP(Input_Table[[#This Row],[INVOICE ID]],'SuperMarket Analysis'!A:A,'SuperMarket Analysis'!J:J)</f>
        <v>14.679</v>
      </c>
      <c r="L404" s="6">
        <f>DAY(Input_Table[[#This Row],[DATE]])</f>
        <v>27</v>
      </c>
      <c r="M404" s="6" t="str">
        <f>TEXT(Input_Table[[#This Row],[DATE]],"mmmm")</f>
        <v>February</v>
      </c>
      <c r="N404" s="6">
        <f>YEAR(Input_Table[[#This Row],[DATE]])</f>
        <v>2019</v>
      </c>
    </row>
    <row r="405" spans="1:14" x14ac:dyDescent="0.3">
      <c r="A405" s="2">
        <f>_xlfn.XLOOKUP(B405,SuperMarket_Analysis[Invoice ID],SuperMarket_Analysis[Date])</f>
        <v>43553</v>
      </c>
      <c r="B405" s="6" t="s">
        <v>436</v>
      </c>
      <c r="C405" s="7">
        <f>_xlfn.XLOOKUP(B405,SuperMarket_Analysis[Invoice ID],SuperMarket_Analysis[Quantity])</f>
        <v>5</v>
      </c>
      <c r="D405" s="6" t="str">
        <f>_xlfn.XLOOKUP('Input data'!B405,'SuperMarket Analysis'!A:A,'SuperMarket Analysis'!F:F)</f>
        <v>Fashion accessories</v>
      </c>
      <c r="E405" s="6" t="str">
        <f>_xlfn.XLOOKUP(B405,'SuperMarket Analysis'!A:A,'SuperMarket Analysis'!M:M)</f>
        <v>Ewallet</v>
      </c>
      <c r="F405" s="6">
        <f>0.05*Input_Table[[#This Row],[TOTAL C.O.G.S]]</f>
        <v>9.9375</v>
      </c>
      <c r="G405" s="6" t="str">
        <f>_xlfn.XLOOKUP(Input_Table[[#This Row],[INVOICE ID]],'SuperMarket Analysis'!A:A,'SuperMarket Analysis'!B:B)</f>
        <v>Cairo</v>
      </c>
      <c r="H405" s="6" t="str">
        <f>_xlfn.XLOOKUP(Input_Table[[#This Row],[INVOICE ID]],'SuperMarket Analysis'!A:A,'SuperMarket Analysis'!F:F)</f>
        <v>Fashion accessories</v>
      </c>
      <c r="I405" s="12">
        <f>_xlfn.XLOOKUP(Input_Table[[#This Row],[INVOICE ID]],'SuperMarket Analysis'!A:A,'SuperMarket Analysis'!G:G)</f>
        <v>39.75</v>
      </c>
      <c r="J405" s="12">
        <f>_xlfn.XLOOKUP(Input_Table[[#This Row],[INVOICE ID]],'SuperMarket Analysis'!A:A,'SuperMarket Analysis'!N:N)</f>
        <v>198.75</v>
      </c>
      <c r="K405" s="12">
        <f>_xlfn.XLOOKUP(Input_Table[[#This Row],[INVOICE ID]],'SuperMarket Analysis'!A:A,'SuperMarket Analysis'!J:J)</f>
        <v>208.6875</v>
      </c>
      <c r="L405" s="6">
        <f>DAY(Input_Table[[#This Row],[DATE]])</f>
        <v>29</v>
      </c>
      <c r="M405" s="6" t="str">
        <f>TEXT(Input_Table[[#This Row],[DATE]],"mmmm")</f>
        <v>March</v>
      </c>
      <c r="N405" s="6">
        <f>YEAR(Input_Table[[#This Row],[DATE]])</f>
        <v>2019</v>
      </c>
    </row>
    <row r="406" spans="1:14" x14ac:dyDescent="0.3">
      <c r="A406" s="2">
        <f>_xlfn.XLOOKUP(B406,SuperMarket_Analysis[Invoice ID],SuperMarket_Analysis[Date])</f>
        <v>43496</v>
      </c>
      <c r="B406" s="6" t="s">
        <v>437</v>
      </c>
      <c r="C406" s="7">
        <f>_xlfn.XLOOKUP(B406,SuperMarket_Analysis[Invoice ID],SuperMarket_Analysis[Quantity])</f>
        <v>7</v>
      </c>
      <c r="D406" s="6" t="str">
        <f>_xlfn.XLOOKUP('Input data'!B406,'SuperMarket Analysis'!A:A,'SuperMarket Analysis'!F:F)</f>
        <v>Fashion accessories</v>
      </c>
      <c r="E406" s="6" t="str">
        <f>_xlfn.XLOOKUP(B406,'SuperMarket Analysis'!A:A,'SuperMarket Analysis'!M:M)</f>
        <v>Ewallet</v>
      </c>
      <c r="F406" s="6">
        <f>0.05*Input_Table[[#This Row],[TOTAL C.O.G.S]]</f>
        <v>34.226500000000001</v>
      </c>
      <c r="G406" s="6" t="str">
        <f>_xlfn.XLOOKUP(Input_Table[[#This Row],[INVOICE ID]],'SuperMarket Analysis'!A:A,'SuperMarket Analysis'!B:B)</f>
        <v>Giza</v>
      </c>
      <c r="H406" s="6" t="str">
        <f>_xlfn.XLOOKUP(Input_Table[[#This Row],[INVOICE ID]],'SuperMarket Analysis'!A:A,'SuperMarket Analysis'!F:F)</f>
        <v>Fashion accessories</v>
      </c>
      <c r="I406" s="12">
        <f>_xlfn.XLOOKUP(Input_Table[[#This Row],[INVOICE ID]],'SuperMarket Analysis'!A:A,'SuperMarket Analysis'!G:G)</f>
        <v>97.79</v>
      </c>
      <c r="J406" s="12">
        <f>_xlfn.XLOOKUP(Input_Table[[#This Row],[INVOICE ID]],'SuperMarket Analysis'!A:A,'SuperMarket Analysis'!N:N)</f>
        <v>684.53</v>
      </c>
      <c r="K406" s="12">
        <f>_xlfn.XLOOKUP(Input_Table[[#This Row],[INVOICE ID]],'SuperMarket Analysis'!A:A,'SuperMarket Analysis'!J:J)</f>
        <v>718.75649999999996</v>
      </c>
      <c r="L406" s="6">
        <f>DAY(Input_Table[[#This Row],[DATE]])</f>
        <v>31</v>
      </c>
      <c r="M406" s="6" t="str">
        <f>TEXT(Input_Table[[#This Row],[DATE]],"mmmm")</f>
        <v>January</v>
      </c>
      <c r="N406" s="6">
        <f>YEAR(Input_Table[[#This Row],[DATE]])</f>
        <v>2019</v>
      </c>
    </row>
    <row r="407" spans="1:14" x14ac:dyDescent="0.3">
      <c r="A407" s="2">
        <f>_xlfn.XLOOKUP(B407,SuperMarket_Analysis[Invoice ID],SuperMarket_Analysis[Date])</f>
        <v>43486</v>
      </c>
      <c r="B407" s="6" t="s">
        <v>438</v>
      </c>
      <c r="C407" s="7">
        <f>_xlfn.XLOOKUP(B407,SuperMarket_Analysis[Invoice ID],SuperMarket_Analysis[Quantity])</f>
        <v>4</v>
      </c>
      <c r="D407" s="6" t="str">
        <f>_xlfn.XLOOKUP('Input data'!B407,'SuperMarket Analysis'!A:A,'SuperMarket Analysis'!F:F)</f>
        <v>Sports and travel</v>
      </c>
      <c r="E407" s="6" t="str">
        <f>_xlfn.XLOOKUP(B407,'SuperMarket Analysis'!A:A,'SuperMarket Analysis'!M:M)</f>
        <v>Credit card</v>
      </c>
      <c r="F407" s="6">
        <f>0.05*Input_Table[[#This Row],[TOTAL C.O.G.S]]</f>
        <v>13.452000000000002</v>
      </c>
      <c r="G407" s="6" t="str">
        <f>_xlfn.XLOOKUP(Input_Table[[#This Row],[INVOICE ID]],'SuperMarket Analysis'!A:A,'SuperMarket Analysis'!B:B)</f>
        <v>Alex</v>
      </c>
      <c r="H407" s="6" t="str">
        <f>_xlfn.XLOOKUP(Input_Table[[#This Row],[INVOICE ID]],'SuperMarket Analysis'!A:A,'SuperMarket Analysis'!F:F)</f>
        <v>Sports and travel</v>
      </c>
      <c r="I407" s="12">
        <f>_xlfn.XLOOKUP(Input_Table[[#This Row],[INVOICE ID]],'SuperMarket Analysis'!A:A,'SuperMarket Analysis'!G:G)</f>
        <v>67.260000000000005</v>
      </c>
      <c r="J407" s="12">
        <f>_xlfn.XLOOKUP(Input_Table[[#This Row],[INVOICE ID]],'SuperMarket Analysis'!A:A,'SuperMarket Analysis'!N:N)</f>
        <v>269.04000000000002</v>
      </c>
      <c r="K407" s="12">
        <f>_xlfn.XLOOKUP(Input_Table[[#This Row],[INVOICE ID]],'SuperMarket Analysis'!A:A,'SuperMarket Analysis'!J:J)</f>
        <v>282.49200000000002</v>
      </c>
      <c r="L407" s="6">
        <f>DAY(Input_Table[[#This Row],[DATE]])</f>
        <v>21</v>
      </c>
      <c r="M407" s="6" t="str">
        <f>TEXT(Input_Table[[#This Row],[DATE]],"mmmm")</f>
        <v>January</v>
      </c>
      <c r="N407" s="6">
        <f>YEAR(Input_Table[[#This Row],[DATE]])</f>
        <v>2019</v>
      </c>
    </row>
    <row r="408" spans="1:14" x14ac:dyDescent="0.3">
      <c r="A408" s="2">
        <f>_xlfn.XLOOKUP(B408,SuperMarket_Analysis[Invoice ID],SuperMarket_Analysis[Date])</f>
        <v>43485</v>
      </c>
      <c r="B408" s="6" t="s">
        <v>439</v>
      </c>
      <c r="C408" s="7">
        <f>_xlfn.XLOOKUP(B408,SuperMarket_Analysis[Invoice ID],SuperMarket_Analysis[Quantity])</f>
        <v>5</v>
      </c>
      <c r="D408" s="6" t="str">
        <f>_xlfn.XLOOKUP('Input data'!B408,'SuperMarket Analysis'!A:A,'SuperMarket Analysis'!F:F)</f>
        <v>Food and beverages</v>
      </c>
      <c r="E408" s="6" t="str">
        <f>_xlfn.XLOOKUP(B408,'SuperMarket Analysis'!A:A,'SuperMarket Analysis'!M:M)</f>
        <v>Credit card</v>
      </c>
      <c r="F408" s="6">
        <f>0.05*Input_Table[[#This Row],[TOTAL C.O.G.S]]</f>
        <v>3.4475000000000002</v>
      </c>
      <c r="G408" s="6" t="str">
        <f>_xlfn.XLOOKUP(Input_Table[[#This Row],[INVOICE ID]],'SuperMarket Analysis'!A:A,'SuperMarket Analysis'!B:B)</f>
        <v>Alex</v>
      </c>
      <c r="H408" s="6" t="str">
        <f>_xlfn.XLOOKUP(Input_Table[[#This Row],[INVOICE ID]],'SuperMarket Analysis'!A:A,'SuperMarket Analysis'!F:F)</f>
        <v>Food and beverages</v>
      </c>
      <c r="I408" s="12">
        <f>_xlfn.XLOOKUP(Input_Table[[#This Row],[INVOICE ID]],'SuperMarket Analysis'!A:A,'SuperMarket Analysis'!G:G)</f>
        <v>13.79</v>
      </c>
      <c r="J408" s="12">
        <f>_xlfn.XLOOKUP(Input_Table[[#This Row],[INVOICE ID]],'SuperMarket Analysis'!A:A,'SuperMarket Analysis'!N:N)</f>
        <v>68.95</v>
      </c>
      <c r="K408" s="12">
        <f>_xlfn.XLOOKUP(Input_Table[[#This Row],[INVOICE ID]],'SuperMarket Analysis'!A:A,'SuperMarket Analysis'!J:J)</f>
        <v>72.397499999999994</v>
      </c>
      <c r="L408" s="6">
        <f>DAY(Input_Table[[#This Row],[DATE]])</f>
        <v>20</v>
      </c>
      <c r="M408" s="6" t="str">
        <f>TEXT(Input_Table[[#This Row],[DATE]],"mmmm")</f>
        <v>January</v>
      </c>
      <c r="N408" s="6">
        <f>YEAR(Input_Table[[#This Row],[DATE]])</f>
        <v>2019</v>
      </c>
    </row>
    <row r="409" spans="1:14" x14ac:dyDescent="0.3">
      <c r="A409" s="2">
        <f>_xlfn.XLOOKUP(B409,SuperMarket_Analysis[Invoice ID],SuperMarket_Analysis[Date])</f>
        <v>43482</v>
      </c>
      <c r="B409" s="6" t="s">
        <v>440</v>
      </c>
      <c r="C409" s="7">
        <f>_xlfn.XLOOKUP(B409,SuperMarket_Analysis[Invoice ID],SuperMarket_Analysis[Quantity])</f>
        <v>4</v>
      </c>
      <c r="D409" s="6" t="str">
        <f>_xlfn.XLOOKUP('Input data'!B409,'SuperMarket Analysis'!A:A,'SuperMarket Analysis'!F:F)</f>
        <v>Fashion accessories</v>
      </c>
      <c r="E409" s="6" t="str">
        <f>_xlfn.XLOOKUP(B409,'SuperMarket Analysis'!A:A,'SuperMarket Analysis'!M:M)</f>
        <v>Cash</v>
      </c>
      <c r="F409" s="6">
        <f>0.05*Input_Table[[#This Row],[TOTAL C.O.G.S]]</f>
        <v>13.741999999999999</v>
      </c>
      <c r="G409" s="6" t="str">
        <f>_xlfn.XLOOKUP(Input_Table[[#This Row],[INVOICE ID]],'SuperMarket Analysis'!A:A,'SuperMarket Analysis'!B:B)</f>
        <v>Cairo</v>
      </c>
      <c r="H409" s="6" t="str">
        <f>_xlfn.XLOOKUP(Input_Table[[#This Row],[INVOICE ID]],'SuperMarket Analysis'!A:A,'SuperMarket Analysis'!F:F)</f>
        <v>Fashion accessories</v>
      </c>
      <c r="I409" s="12">
        <f>_xlfn.XLOOKUP(Input_Table[[#This Row],[INVOICE ID]],'SuperMarket Analysis'!A:A,'SuperMarket Analysis'!G:G)</f>
        <v>68.709999999999994</v>
      </c>
      <c r="J409" s="12">
        <f>_xlfn.XLOOKUP(Input_Table[[#This Row],[INVOICE ID]],'SuperMarket Analysis'!A:A,'SuperMarket Analysis'!N:N)</f>
        <v>274.83999999999997</v>
      </c>
      <c r="K409" s="12">
        <f>_xlfn.XLOOKUP(Input_Table[[#This Row],[INVOICE ID]],'SuperMarket Analysis'!A:A,'SuperMarket Analysis'!J:J)</f>
        <v>288.58199999999999</v>
      </c>
      <c r="L409" s="6">
        <f>DAY(Input_Table[[#This Row],[DATE]])</f>
        <v>17</v>
      </c>
      <c r="M409" s="6" t="str">
        <f>TEXT(Input_Table[[#This Row],[DATE]],"mmmm")</f>
        <v>January</v>
      </c>
      <c r="N409" s="6">
        <f>YEAR(Input_Table[[#This Row],[DATE]])</f>
        <v>2019</v>
      </c>
    </row>
    <row r="410" spans="1:14" x14ac:dyDescent="0.3">
      <c r="A410" s="2">
        <f>_xlfn.XLOOKUP(B410,SuperMarket_Analysis[Invoice ID],SuperMarket_Analysis[Date])</f>
        <v>43524</v>
      </c>
      <c r="B410" s="6" t="s">
        <v>441</v>
      </c>
      <c r="C410" s="7">
        <f>_xlfn.XLOOKUP(B410,SuperMarket_Analysis[Invoice ID],SuperMarket_Analysis[Quantity])</f>
        <v>4</v>
      </c>
      <c r="D410" s="6" t="str">
        <f>_xlfn.XLOOKUP('Input data'!B410,'SuperMarket Analysis'!A:A,'SuperMarket Analysis'!F:F)</f>
        <v>Home and lifestyle</v>
      </c>
      <c r="E410" s="6" t="str">
        <f>_xlfn.XLOOKUP(B410,'SuperMarket Analysis'!A:A,'SuperMarket Analysis'!M:M)</f>
        <v>Ewallet</v>
      </c>
      <c r="F410" s="6">
        <f>0.05*Input_Table[[#This Row],[TOTAL C.O.G.S]]</f>
        <v>11.306000000000001</v>
      </c>
      <c r="G410" s="6" t="str">
        <f>_xlfn.XLOOKUP(Input_Table[[#This Row],[INVOICE ID]],'SuperMarket Analysis'!A:A,'SuperMarket Analysis'!B:B)</f>
        <v>Alex</v>
      </c>
      <c r="H410" s="6" t="str">
        <f>_xlfn.XLOOKUP(Input_Table[[#This Row],[INVOICE ID]],'SuperMarket Analysis'!A:A,'SuperMarket Analysis'!F:F)</f>
        <v>Home and lifestyle</v>
      </c>
      <c r="I410" s="12">
        <f>_xlfn.XLOOKUP(Input_Table[[#This Row],[INVOICE ID]],'SuperMarket Analysis'!A:A,'SuperMarket Analysis'!G:G)</f>
        <v>56.53</v>
      </c>
      <c r="J410" s="12">
        <f>_xlfn.XLOOKUP(Input_Table[[#This Row],[INVOICE ID]],'SuperMarket Analysis'!A:A,'SuperMarket Analysis'!N:N)</f>
        <v>226.12</v>
      </c>
      <c r="K410" s="12">
        <f>_xlfn.XLOOKUP(Input_Table[[#This Row],[INVOICE ID]],'SuperMarket Analysis'!A:A,'SuperMarket Analysis'!J:J)</f>
        <v>237.42599999999999</v>
      </c>
      <c r="L410" s="6">
        <f>DAY(Input_Table[[#This Row],[DATE]])</f>
        <v>28</v>
      </c>
      <c r="M410" s="6" t="str">
        <f>TEXT(Input_Table[[#This Row],[DATE]],"mmmm")</f>
        <v>February</v>
      </c>
      <c r="N410" s="6">
        <f>YEAR(Input_Table[[#This Row],[DATE]])</f>
        <v>2019</v>
      </c>
    </row>
    <row r="411" spans="1:14" x14ac:dyDescent="0.3">
      <c r="A411" s="2">
        <f>_xlfn.XLOOKUP(B411,SuperMarket_Analysis[Invoice ID],SuperMarket_Analysis[Date])</f>
        <v>43543</v>
      </c>
      <c r="B411" s="6" t="s">
        <v>442</v>
      </c>
      <c r="C411" s="7">
        <f>_xlfn.XLOOKUP(B411,SuperMarket_Analysis[Invoice ID],SuperMarket_Analysis[Quantity])</f>
        <v>5</v>
      </c>
      <c r="D411" s="6" t="str">
        <f>_xlfn.XLOOKUP('Input data'!B411,'SuperMarket Analysis'!A:A,'SuperMarket Analysis'!F:F)</f>
        <v>Fashion accessories</v>
      </c>
      <c r="E411" s="6" t="str">
        <f>_xlfn.XLOOKUP(B411,'SuperMarket Analysis'!A:A,'SuperMarket Analysis'!M:M)</f>
        <v>Ewallet</v>
      </c>
      <c r="F411" s="6">
        <f>0.05*Input_Table[[#This Row],[TOTAL C.O.G.S]]</f>
        <v>5.9550000000000001</v>
      </c>
      <c r="G411" s="6" t="str">
        <f>_xlfn.XLOOKUP(Input_Table[[#This Row],[INVOICE ID]],'SuperMarket Analysis'!A:A,'SuperMarket Analysis'!B:B)</f>
        <v>Giza</v>
      </c>
      <c r="H411" s="6" t="str">
        <f>_xlfn.XLOOKUP(Input_Table[[#This Row],[INVOICE ID]],'SuperMarket Analysis'!A:A,'SuperMarket Analysis'!F:F)</f>
        <v>Fashion accessories</v>
      </c>
      <c r="I411" s="12">
        <f>_xlfn.XLOOKUP(Input_Table[[#This Row],[INVOICE ID]],'SuperMarket Analysis'!A:A,'SuperMarket Analysis'!G:G)</f>
        <v>23.82</v>
      </c>
      <c r="J411" s="12">
        <f>_xlfn.XLOOKUP(Input_Table[[#This Row],[INVOICE ID]],'SuperMarket Analysis'!A:A,'SuperMarket Analysis'!N:N)</f>
        <v>119.1</v>
      </c>
      <c r="K411" s="12">
        <f>_xlfn.XLOOKUP(Input_Table[[#This Row],[INVOICE ID]],'SuperMarket Analysis'!A:A,'SuperMarket Analysis'!J:J)</f>
        <v>125.05500000000001</v>
      </c>
      <c r="L411" s="6">
        <f>DAY(Input_Table[[#This Row],[DATE]])</f>
        <v>19</v>
      </c>
      <c r="M411" s="6" t="str">
        <f>TEXT(Input_Table[[#This Row],[DATE]],"mmmm")</f>
        <v>March</v>
      </c>
      <c r="N411" s="6">
        <f>YEAR(Input_Table[[#This Row],[DATE]])</f>
        <v>2019</v>
      </c>
    </row>
    <row r="412" spans="1:14" x14ac:dyDescent="0.3">
      <c r="A412" s="2">
        <f>_xlfn.XLOOKUP(B412,SuperMarket_Analysis[Invoice ID],SuperMarket_Analysis[Date])</f>
        <v>43515</v>
      </c>
      <c r="B412" s="6" t="s">
        <v>443</v>
      </c>
      <c r="C412" s="7">
        <f>_xlfn.XLOOKUP(B412,SuperMarket_Analysis[Invoice ID],SuperMarket_Analysis[Quantity])</f>
        <v>10</v>
      </c>
      <c r="D412" s="6" t="str">
        <f>_xlfn.XLOOKUP('Input data'!B412,'SuperMarket Analysis'!A:A,'SuperMarket Analysis'!F:F)</f>
        <v>Health and beauty</v>
      </c>
      <c r="E412" s="6" t="str">
        <f>_xlfn.XLOOKUP(B412,'SuperMarket Analysis'!A:A,'SuperMarket Analysis'!M:M)</f>
        <v>Cash</v>
      </c>
      <c r="F412" s="6">
        <f>0.05*Input_Table[[#This Row],[TOTAL C.O.G.S]]</f>
        <v>17.105</v>
      </c>
      <c r="G412" s="6" t="str">
        <f>_xlfn.XLOOKUP(Input_Table[[#This Row],[INVOICE ID]],'SuperMarket Analysis'!A:A,'SuperMarket Analysis'!B:B)</f>
        <v>Cairo</v>
      </c>
      <c r="H412" s="6" t="str">
        <f>_xlfn.XLOOKUP(Input_Table[[#This Row],[INVOICE ID]],'SuperMarket Analysis'!A:A,'SuperMarket Analysis'!F:F)</f>
        <v>Health and beauty</v>
      </c>
      <c r="I412" s="12">
        <f>_xlfn.XLOOKUP(Input_Table[[#This Row],[INVOICE ID]],'SuperMarket Analysis'!A:A,'SuperMarket Analysis'!G:G)</f>
        <v>34.21</v>
      </c>
      <c r="J412" s="12">
        <f>_xlfn.XLOOKUP(Input_Table[[#This Row],[INVOICE ID]],'SuperMarket Analysis'!A:A,'SuperMarket Analysis'!N:N)</f>
        <v>342.1</v>
      </c>
      <c r="K412" s="12">
        <f>_xlfn.XLOOKUP(Input_Table[[#This Row],[INVOICE ID]],'SuperMarket Analysis'!A:A,'SuperMarket Analysis'!J:J)</f>
        <v>359.20499999999998</v>
      </c>
      <c r="L412" s="6">
        <f>DAY(Input_Table[[#This Row],[DATE]])</f>
        <v>19</v>
      </c>
      <c r="M412" s="6" t="str">
        <f>TEXT(Input_Table[[#This Row],[DATE]],"mmmm")</f>
        <v>February</v>
      </c>
      <c r="N412" s="6">
        <f>YEAR(Input_Table[[#This Row],[DATE]])</f>
        <v>2019</v>
      </c>
    </row>
    <row r="413" spans="1:14" x14ac:dyDescent="0.3">
      <c r="A413" s="2">
        <f>_xlfn.XLOOKUP(B413,SuperMarket_Analysis[Invoice ID],SuperMarket_Analysis[Date])</f>
        <v>43496</v>
      </c>
      <c r="B413" s="6" t="s">
        <v>444</v>
      </c>
      <c r="C413" s="7">
        <f>_xlfn.XLOOKUP(B413,SuperMarket_Analysis[Invoice ID],SuperMarket_Analysis[Quantity])</f>
        <v>2</v>
      </c>
      <c r="D413" s="6" t="str">
        <f>_xlfn.XLOOKUP('Input data'!B413,'SuperMarket Analysis'!A:A,'SuperMarket Analysis'!F:F)</f>
        <v>Sports and travel</v>
      </c>
      <c r="E413" s="6" t="str">
        <f>_xlfn.XLOOKUP(B413,'SuperMarket Analysis'!A:A,'SuperMarket Analysis'!M:M)</f>
        <v>Ewallet</v>
      </c>
      <c r="F413" s="6">
        <f>0.05*Input_Table[[#This Row],[TOTAL C.O.G.S]]</f>
        <v>2.1870000000000003</v>
      </c>
      <c r="G413" s="6" t="str">
        <f>_xlfn.XLOOKUP(Input_Table[[#This Row],[INVOICE ID]],'SuperMarket Analysis'!A:A,'SuperMarket Analysis'!B:B)</f>
        <v>Cairo</v>
      </c>
      <c r="H413" s="6" t="str">
        <f>_xlfn.XLOOKUP(Input_Table[[#This Row],[INVOICE ID]],'SuperMarket Analysis'!A:A,'SuperMarket Analysis'!F:F)</f>
        <v>Sports and travel</v>
      </c>
      <c r="I413" s="12">
        <f>_xlfn.XLOOKUP(Input_Table[[#This Row],[INVOICE ID]],'SuperMarket Analysis'!A:A,'SuperMarket Analysis'!G:G)</f>
        <v>21.87</v>
      </c>
      <c r="J413" s="12">
        <f>_xlfn.XLOOKUP(Input_Table[[#This Row],[INVOICE ID]],'SuperMarket Analysis'!A:A,'SuperMarket Analysis'!N:N)</f>
        <v>43.74</v>
      </c>
      <c r="K413" s="12">
        <f>_xlfn.XLOOKUP(Input_Table[[#This Row],[INVOICE ID]],'SuperMarket Analysis'!A:A,'SuperMarket Analysis'!J:J)</f>
        <v>45.927</v>
      </c>
      <c r="L413" s="6">
        <f>DAY(Input_Table[[#This Row],[DATE]])</f>
        <v>31</v>
      </c>
      <c r="M413" s="6" t="str">
        <f>TEXT(Input_Table[[#This Row],[DATE]],"mmmm")</f>
        <v>January</v>
      </c>
      <c r="N413" s="6">
        <f>YEAR(Input_Table[[#This Row],[DATE]])</f>
        <v>2019</v>
      </c>
    </row>
    <row r="414" spans="1:14" x14ac:dyDescent="0.3">
      <c r="A414" s="2">
        <f>_xlfn.XLOOKUP(B414,SuperMarket_Analysis[Invoice ID],SuperMarket_Analysis[Date])</f>
        <v>43552</v>
      </c>
      <c r="B414" s="6" t="s">
        <v>445</v>
      </c>
      <c r="C414" s="7">
        <f>_xlfn.XLOOKUP(B414,SuperMarket_Analysis[Invoice ID],SuperMarket_Analysis[Quantity])</f>
        <v>5</v>
      </c>
      <c r="D414" s="6" t="str">
        <f>_xlfn.XLOOKUP('Input data'!B414,'SuperMarket Analysis'!A:A,'SuperMarket Analysis'!F:F)</f>
        <v>Health and beauty</v>
      </c>
      <c r="E414" s="6" t="str">
        <f>_xlfn.XLOOKUP(B414,'SuperMarket Analysis'!A:A,'SuperMarket Analysis'!M:M)</f>
        <v>Cash</v>
      </c>
      <c r="F414" s="6">
        <f>0.05*Input_Table[[#This Row],[TOTAL C.O.G.S]]</f>
        <v>5.2424999999999997</v>
      </c>
      <c r="G414" s="6" t="str">
        <f>_xlfn.XLOOKUP(Input_Table[[#This Row],[INVOICE ID]],'SuperMarket Analysis'!A:A,'SuperMarket Analysis'!B:B)</f>
        <v>Alex</v>
      </c>
      <c r="H414" s="6" t="str">
        <f>_xlfn.XLOOKUP(Input_Table[[#This Row],[INVOICE ID]],'SuperMarket Analysis'!A:A,'SuperMarket Analysis'!F:F)</f>
        <v>Health and beauty</v>
      </c>
      <c r="I414" s="12">
        <f>_xlfn.XLOOKUP(Input_Table[[#This Row],[INVOICE ID]],'SuperMarket Analysis'!A:A,'SuperMarket Analysis'!G:G)</f>
        <v>20.97</v>
      </c>
      <c r="J414" s="12">
        <f>_xlfn.XLOOKUP(Input_Table[[#This Row],[INVOICE ID]],'SuperMarket Analysis'!A:A,'SuperMarket Analysis'!N:N)</f>
        <v>104.85</v>
      </c>
      <c r="K414" s="12">
        <f>_xlfn.XLOOKUP(Input_Table[[#This Row],[INVOICE ID]],'SuperMarket Analysis'!A:A,'SuperMarket Analysis'!J:J)</f>
        <v>110.0925</v>
      </c>
      <c r="L414" s="6">
        <f>DAY(Input_Table[[#This Row],[DATE]])</f>
        <v>28</v>
      </c>
      <c r="M414" s="6" t="str">
        <f>TEXT(Input_Table[[#This Row],[DATE]],"mmmm")</f>
        <v>March</v>
      </c>
      <c r="N414" s="6">
        <f>YEAR(Input_Table[[#This Row],[DATE]])</f>
        <v>2019</v>
      </c>
    </row>
    <row r="415" spans="1:14" x14ac:dyDescent="0.3">
      <c r="A415" s="2">
        <f>_xlfn.XLOOKUP(B415,SuperMarket_Analysis[Invoice ID],SuperMarket_Analysis[Date])</f>
        <v>43484</v>
      </c>
      <c r="B415" s="6" t="s">
        <v>446</v>
      </c>
      <c r="C415" s="7">
        <f>_xlfn.XLOOKUP(B415,SuperMarket_Analysis[Invoice ID],SuperMarket_Analysis[Quantity])</f>
        <v>3</v>
      </c>
      <c r="D415" s="6" t="str">
        <f>_xlfn.XLOOKUP('Input data'!B415,'SuperMarket Analysis'!A:A,'SuperMarket Analysis'!F:F)</f>
        <v>Sports and travel</v>
      </c>
      <c r="E415" s="6" t="str">
        <f>_xlfn.XLOOKUP(B415,'SuperMarket Analysis'!A:A,'SuperMarket Analysis'!M:M)</f>
        <v>Ewallet</v>
      </c>
      <c r="F415" s="6">
        <f>0.05*Input_Table[[#This Row],[TOTAL C.O.G.S]]</f>
        <v>3.8759999999999999</v>
      </c>
      <c r="G415" s="6" t="str">
        <f>_xlfn.XLOOKUP(Input_Table[[#This Row],[INVOICE ID]],'SuperMarket Analysis'!A:A,'SuperMarket Analysis'!B:B)</f>
        <v>Alex</v>
      </c>
      <c r="H415" s="6" t="str">
        <f>_xlfn.XLOOKUP(Input_Table[[#This Row],[INVOICE ID]],'SuperMarket Analysis'!A:A,'SuperMarket Analysis'!F:F)</f>
        <v>Sports and travel</v>
      </c>
      <c r="I415" s="12">
        <f>_xlfn.XLOOKUP(Input_Table[[#This Row],[INVOICE ID]],'SuperMarket Analysis'!A:A,'SuperMarket Analysis'!G:G)</f>
        <v>25.84</v>
      </c>
      <c r="J415" s="12">
        <f>_xlfn.XLOOKUP(Input_Table[[#This Row],[INVOICE ID]],'SuperMarket Analysis'!A:A,'SuperMarket Analysis'!N:N)</f>
        <v>77.52</v>
      </c>
      <c r="K415" s="12">
        <f>_xlfn.XLOOKUP(Input_Table[[#This Row],[INVOICE ID]],'SuperMarket Analysis'!A:A,'SuperMarket Analysis'!J:J)</f>
        <v>81.396000000000001</v>
      </c>
      <c r="L415" s="6">
        <f>DAY(Input_Table[[#This Row],[DATE]])</f>
        <v>19</v>
      </c>
      <c r="M415" s="6" t="str">
        <f>TEXT(Input_Table[[#This Row],[DATE]],"mmmm")</f>
        <v>January</v>
      </c>
      <c r="N415" s="6">
        <f>YEAR(Input_Table[[#This Row],[DATE]])</f>
        <v>2019</v>
      </c>
    </row>
    <row r="416" spans="1:14" x14ac:dyDescent="0.3">
      <c r="A416" s="2">
        <f>_xlfn.XLOOKUP(B416,SuperMarket_Analysis[Invoice ID],SuperMarket_Analysis[Date])</f>
        <v>43513</v>
      </c>
      <c r="B416" s="6" t="s">
        <v>447</v>
      </c>
      <c r="C416" s="7">
        <f>_xlfn.XLOOKUP(B416,SuperMarket_Analysis[Invoice ID],SuperMarket_Analysis[Quantity])</f>
        <v>8</v>
      </c>
      <c r="D416" s="6" t="str">
        <f>_xlfn.XLOOKUP('Input data'!B416,'SuperMarket Analysis'!A:A,'SuperMarket Analysis'!F:F)</f>
        <v>Home and lifestyle</v>
      </c>
      <c r="E416" s="6" t="str">
        <f>_xlfn.XLOOKUP(B416,'SuperMarket Analysis'!A:A,'SuperMarket Analysis'!M:M)</f>
        <v>Ewallet</v>
      </c>
      <c r="F416" s="6">
        <f>0.05*Input_Table[[#This Row],[TOTAL C.O.G.S]]</f>
        <v>20.372</v>
      </c>
      <c r="G416" s="6" t="str">
        <f>_xlfn.XLOOKUP(Input_Table[[#This Row],[INVOICE ID]],'SuperMarket Analysis'!A:A,'SuperMarket Analysis'!B:B)</f>
        <v>Alex</v>
      </c>
      <c r="H416" s="6" t="str">
        <f>_xlfn.XLOOKUP(Input_Table[[#This Row],[INVOICE ID]],'SuperMarket Analysis'!A:A,'SuperMarket Analysis'!F:F)</f>
        <v>Home and lifestyle</v>
      </c>
      <c r="I416" s="12">
        <f>_xlfn.XLOOKUP(Input_Table[[#This Row],[INVOICE ID]],'SuperMarket Analysis'!A:A,'SuperMarket Analysis'!G:G)</f>
        <v>50.93</v>
      </c>
      <c r="J416" s="12">
        <f>_xlfn.XLOOKUP(Input_Table[[#This Row],[INVOICE ID]],'SuperMarket Analysis'!A:A,'SuperMarket Analysis'!N:N)</f>
        <v>407.44</v>
      </c>
      <c r="K416" s="12">
        <f>_xlfn.XLOOKUP(Input_Table[[#This Row],[INVOICE ID]],'SuperMarket Analysis'!A:A,'SuperMarket Analysis'!J:J)</f>
        <v>427.81200000000001</v>
      </c>
      <c r="L416" s="6">
        <f>DAY(Input_Table[[#This Row],[DATE]])</f>
        <v>17</v>
      </c>
      <c r="M416" s="6" t="str">
        <f>TEXT(Input_Table[[#This Row],[DATE]],"mmmm")</f>
        <v>February</v>
      </c>
      <c r="N416" s="6">
        <f>YEAR(Input_Table[[#This Row],[DATE]])</f>
        <v>2019</v>
      </c>
    </row>
    <row r="417" spans="1:14" x14ac:dyDescent="0.3">
      <c r="A417" s="2">
        <f>_xlfn.XLOOKUP(B417,SuperMarket_Analysis[Invoice ID],SuperMarket_Analysis[Date])</f>
        <v>43483</v>
      </c>
      <c r="B417" s="6" t="s">
        <v>448</v>
      </c>
      <c r="C417" s="7">
        <f>_xlfn.XLOOKUP(B417,SuperMarket_Analysis[Invoice ID],SuperMarket_Analysis[Quantity])</f>
        <v>1</v>
      </c>
      <c r="D417" s="6" t="str">
        <f>_xlfn.XLOOKUP('Input data'!B417,'SuperMarket Analysis'!A:A,'SuperMarket Analysis'!F:F)</f>
        <v>Health and beauty</v>
      </c>
      <c r="E417" s="6" t="str">
        <f>_xlfn.XLOOKUP(B417,'SuperMarket Analysis'!A:A,'SuperMarket Analysis'!M:M)</f>
        <v>Ewallet</v>
      </c>
      <c r="F417" s="6">
        <f>0.05*Input_Table[[#This Row],[TOTAL C.O.G.S]]</f>
        <v>4.8055000000000003</v>
      </c>
      <c r="G417" s="6" t="str">
        <f>_xlfn.XLOOKUP(Input_Table[[#This Row],[INVOICE ID]],'SuperMarket Analysis'!A:A,'SuperMarket Analysis'!B:B)</f>
        <v>Cairo</v>
      </c>
      <c r="H417" s="6" t="str">
        <f>_xlfn.XLOOKUP(Input_Table[[#This Row],[INVOICE ID]],'SuperMarket Analysis'!A:A,'SuperMarket Analysis'!F:F)</f>
        <v>Health and beauty</v>
      </c>
      <c r="I417" s="12">
        <f>_xlfn.XLOOKUP(Input_Table[[#This Row],[INVOICE ID]],'SuperMarket Analysis'!A:A,'SuperMarket Analysis'!G:G)</f>
        <v>96.11</v>
      </c>
      <c r="J417" s="12">
        <f>_xlfn.XLOOKUP(Input_Table[[#This Row],[INVOICE ID]],'SuperMarket Analysis'!A:A,'SuperMarket Analysis'!N:N)</f>
        <v>96.11</v>
      </c>
      <c r="K417" s="12">
        <f>_xlfn.XLOOKUP(Input_Table[[#This Row],[INVOICE ID]],'SuperMarket Analysis'!A:A,'SuperMarket Analysis'!J:J)</f>
        <v>100.91549999999999</v>
      </c>
      <c r="L417" s="6">
        <f>DAY(Input_Table[[#This Row],[DATE]])</f>
        <v>18</v>
      </c>
      <c r="M417" s="6" t="str">
        <f>TEXT(Input_Table[[#This Row],[DATE]],"mmmm")</f>
        <v>January</v>
      </c>
      <c r="N417" s="6">
        <f>YEAR(Input_Table[[#This Row],[DATE]])</f>
        <v>2019</v>
      </c>
    </row>
    <row r="418" spans="1:14" x14ac:dyDescent="0.3">
      <c r="A418" s="2">
        <f>_xlfn.XLOOKUP(B418,SuperMarket_Analysis[Invoice ID],SuperMarket_Analysis[Date])</f>
        <v>43483</v>
      </c>
      <c r="B418" s="6" t="s">
        <v>449</v>
      </c>
      <c r="C418" s="7">
        <f>_xlfn.XLOOKUP(B418,SuperMarket_Analysis[Invoice ID],SuperMarket_Analysis[Quantity])</f>
        <v>4</v>
      </c>
      <c r="D418" s="6" t="str">
        <f>_xlfn.XLOOKUP('Input data'!B418,'SuperMarket Analysis'!A:A,'SuperMarket Analysis'!F:F)</f>
        <v>Home and lifestyle</v>
      </c>
      <c r="E418" s="6" t="str">
        <f>_xlfn.XLOOKUP(B418,'SuperMarket Analysis'!A:A,'SuperMarket Analysis'!M:M)</f>
        <v>Credit card</v>
      </c>
      <c r="F418" s="6">
        <f>0.05*Input_Table[[#This Row],[TOTAL C.O.G.S]]</f>
        <v>9.0760000000000005</v>
      </c>
      <c r="G418" s="6" t="str">
        <f>_xlfn.XLOOKUP(Input_Table[[#This Row],[INVOICE ID]],'SuperMarket Analysis'!A:A,'SuperMarket Analysis'!B:B)</f>
        <v>Giza</v>
      </c>
      <c r="H418" s="6" t="str">
        <f>_xlfn.XLOOKUP(Input_Table[[#This Row],[INVOICE ID]],'SuperMarket Analysis'!A:A,'SuperMarket Analysis'!F:F)</f>
        <v>Home and lifestyle</v>
      </c>
      <c r="I418" s="12">
        <f>_xlfn.XLOOKUP(Input_Table[[#This Row],[INVOICE ID]],'SuperMarket Analysis'!A:A,'SuperMarket Analysis'!G:G)</f>
        <v>45.38</v>
      </c>
      <c r="J418" s="12">
        <f>_xlfn.XLOOKUP(Input_Table[[#This Row],[INVOICE ID]],'SuperMarket Analysis'!A:A,'SuperMarket Analysis'!N:N)</f>
        <v>181.52</v>
      </c>
      <c r="K418" s="12">
        <f>_xlfn.XLOOKUP(Input_Table[[#This Row],[INVOICE ID]],'SuperMarket Analysis'!A:A,'SuperMarket Analysis'!J:J)</f>
        <v>190.596</v>
      </c>
      <c r="L418" s="6">
        <f>DAY(Input_Table[[#This Row],[DATE]])</f>
        <v>18</v>
      </c>
      <c r="M418" s="6" t="str">
        <f>TEXT(Input_Table[[#This Row],[DATE]],"mmmm")</f>
        <v>January</v>
      </c>
      <c r="N418" s="6">
        <f>YEAR(Input_Table[[#This Row],[DATE]])</f>
        <v>2019</v>
      </c>
    </row>
    <row r="419" spans="1:14" x14ac:dyDescent="0.3">
      <c r="A419" s="2">
        <f>_xlfn.XLOOKUP(B419,SuperMarket_Analysis[Invoice ID],SuperMarket_Analysis[Date])</f>
        <v>43542</v>
      </c>
      <c r="B419" s="6" t="s">
        <v>450</v>
      </c>
      <c r="C419" s="7">
        <f>_xlfn.XLOOKUP(B419,SuperMarket_Analysis[Invoice ID],SuperMarket_Analysis[Quantity])</f>
        <v>1</v>
      </c>
      <c r="D419" s="6" t="str">
        <f>_xlfn.XLOOKUP('Input data'!B419,'SuperMarket Analysis'!A:A,'SuperMarket Analysis'!F:F)</f>
        <v>Health and beauty</v>
      </c>
      <c r="E419" s="6" t="str">
        <f>_xlfn.XLOOKUP(B419,'SuperMarket Analysis'!A:A,'SuperMarket Analysis'!M:M)</f>
        <v>Ewallet</v>
      </c>
      <c r="F419" s="6">
        <f>0.05*Input_Table[[#This Row],[TOTAL C.O.G.S]]</f>
        <v>4.0755000000000008</v>
      </c>
      <c r="G419" s="6" t="str">
        <f>_xlfn.XLOOKUP(Input_Table[[#This Row],[INVOICE ID]],'SuperMarket Analysis'!A:A,'SuperMarket Analysis'!B:B)</f>
        <v>Giza</v>
      </c>
      <c r="H419" s="6" t="str">
        <f>_xlfn.XLOOKUP(Input_Table[[#This Row],[INVOICE ID]],'SuperMarket Analysis'!A:A,'SuperMarket Analysis'!F:F)</f>
        <v>Health and beauty</v>
      </c>
      <c r="I419" s="12">
        <f>_xlfn.XLOOKUP(Input_Table[[#This Row],[INVOICE ID]],'SuperMarket Analysis'!A:A,'SuperMarket Analysis'!G:G)</f>
        <v>81.510000000000005</v>
      </c>
      <c r="J419" s="12">
        <f>_xlfn.XLOOKUP(Input_Table[[#This Row],[INVOICE ID]],'SuperMarket Analysis'!A:A,'SuperMarket Analysis'!N:N)</f>
        <v>81.510000000000005</v>
      </c>
      <c r="K419" s="12">
        <f>_xlfn.XLOOKUP(Input_Table[[#This Row],[INVOICE ID]],'SuperMarket Analysis'!A:A,'SuperMarket Analysis'!J:J)</f>
        <v>85.585499999999996</v>
      </c>
      <c r="L419" s="6">
        <f>DAY(Input_Table[[#This Row],[DATE]])</f>
        <v>18</v>
      </c>
      <c r="M419" s="6" t="str">
        <f>TEXT(Input_Table[[#This Row],[DATE]],"mmmm")</f>
        <v>March</v>
      </c>
      <c r="N419" s="6">
        <f>YEAR(Input_Table[[#This Row],[DATE]])</f>
        <v>2019</v>
      </c>
    </row>
    <row r="420" spans="1:14" x14ac:dyDescent="0.3">
      <c r="A420" s="2">
        <f>_xlfn.XLOOKUP(B420,SuperMarket_Analysis[Invoice ID],SuperMarket_Analysis[Date])</f>
        <v>43540</v>
      </c>
      <c r="B420" s="6" t="s">
        <v>451</v>
      </c>
      <c r="C420" s="7">
        <f>_xlfn.XLOOKUP(B420,SuperMarket_Analysis[Invoice ID],SuperMarket_Analysis[Quantity])</f>
        <v>2</v>
      </c>
      <c r="D420" s="6" t="str">
        <f>_xlfn.XLOOKUP('Input data'!B420,'SuperMarket Analysis'!A:A,'SuperMarket Analysis'!F:F)</f>
        <v>Health and beauty</v>
      </c>
      <c r="E420" s="6" t="str">
        <f>_xlfn.XLOOKUP(B420,'SuperMarket Analysis'!A:A,'SuperMarket Analysis'!M:M)</f>
        <v>Ewallet</v>
      </c>
      <c r="F420" s="6">
        <f>0.05*Input_Table[[#This Row],[TOTAL C.O.G.S]]</f>
        <v>5.7220000000000004</v>
      </c>
      <c r="G420" s="6" t="str">
        <f>_xlfn.XLOOKUP(Input_Table[[#This Row],[INVOICE ID]],'SuperMarket Analysis'!A:A,'SuperMarket Analysis'!B:B)</f>
        <v>Cairo</v>
      </c>
      <c r="H420" s="6" t="str">
        <f>_xlfn.XLOOKUP(Input_Table[[#This Row],[INVOICE ID]],'SuperMarket Analysis'!A:A,'SuperMarket Analysis'!F:F)</f>
        <v>Health and beauty</v>
      </c>
      <c r="I420" s="12">
        <f>_xlfn.XLOOKUP(Input_Table[[#This Row],[INVOICE ID]],'SuperMarket Analysis'!A:A,'SuperMarket Analysis'!G:G)</f>
        <v>57.22</v>
      </c>
      <c r="J420" s="12">
        <f>_xlfn.XLOOKUP(Input_Table[[#This Row],[INVOICE ID]],'SuperMarket Analysis'!A:A,'SuperMarket Analysis'!N:N)</f>
        <v>114.44</v>
      </c>
      <c r="K420" s="12">
        <f>_xlfn.XLOOKUP(Input_Table[[#This Row],[INVOICE ID]],'SuperMarket Analysis'!A:A,'SuperMarket Analysis'!J:J)</f>
        <v>120.16200000000001</v>
      </c>
      <c r="L420" s="6">
        <f>DAY(Input_Table[[#This Row],[DATE]])</f>
        <v>16</v>
      </c>
      <c r="M420" s="6" t="str">
        <f>TEXT(Input_Table[[#This Row],[DATE]],"mmmm")</f>
        <v>March</v>
      </c>
      <c r="N420" s="6">
        <f>YEAR(Input_Table[[#This Row],[DATE]])</f>
        <v>2019</v>
      </c>
    </row>
    <row r="421" spans="1:14" x14ac:dyDescent="0.3">
      <c r="A421" s="2">
        <f>_xlfn.XLOOKUP(B421,SuperMarket_Analysis[Invoice ID],SuperMarket_Analysis[Date])</f>
        <v>43524</v>
      </c>
      <c r="B421" s="6" t="s">
        <v>452</v>
      </c>
      <c r="C421" s="7">
        <f>_xlfn.XLOOKUP(B421,SuperMarket_Analysis[Invoice ID],SuperMarket_Analysis[Quantity])</f>
        <v>7</v>
      </c>
      <c r="D421" s="6" t="str">
        <f>_xlfn.XLOOKUP('Input data'!B421,'SuperMarket Analysis'!A:A,'SuperMarket Analysis'!F:F)</f>
        <v>Electronic accessories</v>
      </c>
      <c r="E421" s="6" t="str">
        <f>_xlfn.XLOOKUP(B421,'SuperMarket Analysis'!A:A,'SuperMarket Analysis'!M:M)</f>
        <v>Cash</v>
      </c>
      <c r="F421" s="6">
        <f>0.05*Input_Table[[#This Row],[TOTAL C.O.G.S]]</f>
        <v>8.827</v>
      </c>
      <c r="G421" s="6" t="str">
        <f>_xlfn.XLOOKUP(Input_Table[[#This Row],[INVOICE ID]],'SuperMarket Analysis'!A:A,'SuperMarket Analysis'!B:B)</f>
        <v>Alex</v>
      </c>
      <c r="H421" s="6" t="str">
        <f>_xlfn.XLOOKUP(Input_Table[[#This Row],[INVOICE ID]],'SuperMarket Analysis'!A:A,'SuperMarket Analysis'!F:F)</f>
        <v>Electronic accessories</v>
      </c>
      <c r="I421" s="12">
        <f>_xlfn.XLOOKUP(Input_Table[[#This Row],[INVOICE ID]],'SuperMarket Analysis'!A:A,'SuperMarket Analysis'!G:G)</f>
        <v>25.22</v>
      </c>
      <c r="J421" s="12">
        <f>_xlfn.XLOOKUP(Input_Table[[#This Row],[INVOICE ID]],'SuperMarket Analysis'!A:A,'SuperMarket Analysis'!N:N)</f>
        <v>176.54</v>
      </c>
      <c r="K421" s="12">
        <f>_xlfn.XLOOKUP(Input_Table[[#This Row],[INVOICE ID]],'SuperMarket Analysis'!A:A,'SuperMarket Analysis'!J:J)</f>
        <v>185.36699999999999</v>
      </c>
      <c r="L421" s="6">
        <f>DAY(Input_Table[[#This Row],[DATE]])</f>
        <v>28</v>
      </c>
      <c r="M421" s="6" t="str">
        <f>TEXT(Input_Table[[#This Row],[DATE]],"mmmm")</f>
        <v>February</v>
      </c>
      <c r="N421" s="6">
        <f>YEAR(Input_Table[[#This Row],[DATE]])</f>
        <v>2019</v>
      </c>
    </row>
    <row r="422" spans="1:14" x14ac:dyDescent="0.3">
      <c r="A422" s="2">
        <f>_xlfn.XLOOKUP(B422,SuperMarket_Analysis[Invoice ID],SuperMarket_Analysis[Date])</f>
        <v>43489</v>
      </c>
      <c r="B422" s="6" t="s">
        <v>453</v>
      </c>
      <c r="C422" s="7">
        <f>_xlfn.XLOOKUP(B422,SuperMarket_Analysis[Invoice ID],SuperMarket_Analysis[Quantity])</f>
        <v>3</v>
      </c>
      <c r="D422" s="6" t="str">
        <f>_xlfn.XLOOKUP('Input data'!B422,'SuperMarket Analysis'!A:A,'SuperMarket Analysis'!F:F)</f>
        <v>Food and beverages</v>
      </c>
      <c r="E422" s="6" t="str">
        <f>_xlfn.XLOOKUP(B422,'SuperMarket Analysis'!A:A,'SuperMarket Analysis'!M:M)</f>
        <v>Ewallet</v>
      </c>
      <c r="F422" s="6">
        <f>0.05*Input_Table[[#This Row],[TOTAL C.O.G.S]]</f>
        <v>5.79</v>
      </c>
      <c r="G422" s="6" t="str">
        <f>_xlfn.XLOOKUP(Input_Table[[#This Row],[INVOICE ID]],'SuperMarket Analysis'!A:A,'SuperMarket Analysis'!B:B)</f>
        <v>Giza</v>
      </c>
      <c r="H422" s="6" t="str">
        <f>_xlfn.XLOOKUP(Input_Table[[#This Row],[INVOICE ID]],'SuperMarket Analysis'!A:A,'SuperMarket Analysis'!F:F)</f>
        <v>Food and beverages</v>
      </c>
      <c r="I422" s="12">
        <f>_xlfn.XLOOKUP(Input_Table[[#This Row],[INVOICE ID]],'SuperMarket Analysis'!A:A,'SuperMarket Analysis'!G:G)</f>
        <v>38.6</v>
      </c>
      <c r="J422" s="12">
        <f>_xlfn.XLOOKUP(Input_Table[[#This Row],[INVOICE ID]],'SuperMarket Analysis'!A:A,'SuperMarket Analysis'!N:N)</f>
        <v>115.8</v>
      </c>
      <c r="K422" s="12">
        <f>_xlfn.XLOOKUP(Input_Table[[#This Row],[INVOICE ID]],'SuperMarket Analysis'!A:A,'SuperMarket Analysis'!J:J)</f>
        <v>121.59</v>
      </c>
      <c r="L422" s="6">
        <f>DAY(Input_Table[[#This Row],[DATE]])</f>
        <v>24</v>
      </c>
      <c r="M422" s="6" t="str">
        <f>TEXT(Input_Table[[#This Row],[DATE]],"mmmm")</f>
        <v>January</v>
      </c>
      <c r="N422" s="6">
        <f>YEAR(Input_Table[[#This Row],[DATE]])</f>
        <v>2019</v>
      </c>
    </row>
    <row r="423" spans="1:14" x14ac:dyDescent="0.3">
      <c r="A423" s="2">
        <f>_xlfn.XLOOKUP(B423,SuperMarket_Analysis[Invoice ID],SuperMarket_Analysis[Date])</f>
        <v>43547</v>
      </c>
      <c r="B423" s="6" t="s">
        <v>454</v>
      </c>
      <c r="C423" s="7">
        <f>_xlfn.XLOOKUP(B423,SuperMarket_Analysis[Invoice ID],SuperMarket_Analysis[Quantity])</f>
        <v>3</v>
      </c>
      <c r="D423" s="6" t="str">
        <f>_xlfn.XLOOKUP('Input data'!B423,'SuperMarket Analysis'!A:A,'SuperMarket Analysis'!F:F)</f>
        <v>Electronic accessories</v>
      </c>
      <c r="E423" s="6" t="str">
        <f>_xlfn.XLOOKUP(B423,'SuperMarket Analysis'!A:A,'SuperMarket Analysis'!M:M)</f>
        <v>Cash</v>
      </c>
      <c r="F423" s="6">
        <f>0.05*Input_Table[[#This Row],[TOTAL C.O.G.S]]</f>
        <v>12.607500000000002</v>
      </c>
      <c r="G423" s="6" t="str">
        <f>_xlfn.XLOOKUP(Input_Table[[#This Row],[INVOICE ID]],'SuperMarket Analysis'!A:A,'SuperMarket Analysis'!B:B)</f>
        <v>Giza</v>
      </c>
      <c r="H423" s="6" t="str">
        <f>_xlfn.XLOOKUP(Input_Table[[#This Row],[INVOICE ID]],'SuperMarket Analysis'!A:A,'SuperMarket Analysis'!F:F)</f>
        <v>Electronic accessories</v>
      </c>
      <c r="I423" s="12">
        <f>_xlfn.XLOOKUP(Input_Table[[#This Row],[INVOICE ID]],'SuperMarket Analysis'!A:A,'SuperMarket Analysis'!G:G)</f>
        <v>84.05</v>
      </c>
      <c r="J423" s="12">
        <f>_xlfn.XLOOKUP(Input_Table[[#This Row],[INVOICE ID]],'SuperMarket Analysis'!A:A,'SuperMarket Analysis'!N:N)</f>
        <v>252.15</v>
      </c>
      <c r="K423" s="12">
        <f>_xlfn.XLOOKUP(Input_Table[[#This Row],[INVOICE ID]],'SuperMarket Analysis'!A:A,'SuperMarket Analysis'!J:J)</f>
        <v>264.75749999999999</v>
      </c>
      <c r="L423" s="6">
        <f>DAY(Input_Table[[#This Row],[DATE]])</f>
        <v>23</v>
      </c>
      <c r="M423" s="6" t="str">
        <f>TEXT(Input_Table[[#This Row],[DATE]],"mmmm")</f>
        <v>March</v>
      </c>
      <c r="N423" s="6">
        <f>YEAR(Input_Table[[#This Row],[DATE]])</f>
        <v>2019</v>
      </c>
    </row>
    <row r="424" spans="1:14" x14ac:dyDescent="0.3">
      <c r="A424" s="2">
        <f>_xlfn.XLOOKUP(B424,SuperMarket_Analysis[Invoice ID],SuperMarket_Analysis[Date])</f>
        <v>43494</v>
      </c>
      <c r="B424" s="6" t="s">
        <v>455</v>
      </c>
      <c r="C424" s="7">
        <f>_xlfn.XLOOKUP(B424,SuperMarket_Analysis[Invoice ID],SuperMarket_Analysis[Quantity])</f>
        <v>10</v>
      </c>
      <c r="D424" s="6" t="str">
        <f>_xlfn.XLOOKUP('Input data'!B424,'SuperMarket Analysis'!A:A,'SuperMarket Analysis'!F:F)</f>
        <v>Fashion accessories</v>
      </c>
      <c r="E424" s="6" t="str">
        <f>_xlfn.XLOOKUP(B424,'SuperMarket Analysis'!A:A,'SuperMarket Analysis'!M:M)</f>
        <v>Credit card</v>
      </c>
      <c r="F424" s="6">
        <f>0.05*Input_Table[[#This Row],[TOTAL C.O.G.S]]</f>
        <v>48.605000000000004</v>
      </c>
      <c r="G424" s="6" t="str">
        <f>_xlfn.XLOOKUP(Input_Table[[#This Row],[INVOICE ID]],'SuperMarket Analysis'!A:A,'SuperMarket Analysis'!B:B)</f>
        <v>Giza</v>
      </c>
      <c r="H424" s="6" t="str">
        <f>_xlfn.XLOOKUP(Input_Table[[#This Row],[INVOICE ID]],'SuperMarket Analysis'!A:A,'SuperMarket Analysis'!F:F)</f>
        <v>Fashion accessories</v>
      </c>
      <c r="I424" s="12">
        <f>_xlfn.XLOOKUP(Input_Table[[#This Row],[INVOICE ID]],'SuperMarket Analysis'!A:A,'SuperMarket Analysis'!G:G)</f>
        <v>97.21</v>
      </c>
      <c r="J424" s="12">
        <f>_xlfn.XLOOKUP(Input_Table[[#This Row],[INVOICE ID]],'SuperMarket Analysis'!A:A,'SuperMarket Analysis'!N:N)</f>
        <v>972.1</v>
      </c>
      <c r="K424" s="12">
        <f>_xlfn.XLOOKUP(Input_Table[[#This Row],[INVOICE ID]],'SuperMarket Analysis'!A:A,'SuperMarket Analysis'!J:J)</f>
        <v>1020.705</v>
      </c>
      <c r="L424" s="6">
        <f>DAY(Input_Table[[#This Row],[DATE]])</f>
        <v>29</v>
      </c>
      <c r="M424" s="6" t="str">
        <f>TEXT(Input_Table[[#This Row],[DATE]],"mmmm")</f>
        <v>January</v>
      </c>
      <c r="N424" s="6">
        <f>YEAR(Input_Table[[#This Row],[DATE]])</f>
        <v>2019</v>
      </c>
    </row>
    <row r="425" spans="1:14" x14ac:dyDescent="0.3">
      <c r="A425" s="2">
        <f>_xlfn.XLOOKUP(B425,SuperMarket_Analysis[Invoice ID],SuperMarket_Analysis[Date])</f>
        <v>43544</v>
      </c>
      <c r="B425" s="6" t="s">
        <v>456</v>
      </c>
      <c r="C425" s="7">
        <f>_xlfn.XLOOKUP(B425,SuperMarket_Analysis[Invoice ID],SuperMarket_Analysis[Quantity])</f>
        <v>8</v>
      </c>
      <c r="D425" s="6" t="str">
        <f>_xlfn.XLOOKUP('Input data'!B425,'SuperMarket Analysis'!A:A,'SuperMarket Analysis'!F:F)</f>
        <v>Fashion accessories</v>
      </c>
      <c r="E425" s="6" t="str">
        <f>_xlfn.XLOOKUP(B425,'SuperMarket Analysis'!A:A,'SuperMarket Analysis'!M:M)</f>
        <v>Credit card</v>
      </c>
      <c r="F425" s="6">
        <f>0.05*Input_Table[[#This Row],[TOTAL C.O.G.S]]</f>
        <v>10.168000000000001</v>
      </c>
      <c r="G425" s="6" t="str">
        <f>_xlfn.XLOOKUP(Input_Table[[#This Row],[INVOICE ID]],'SuperMarket Analysis'!A:A,'SuperMarket Analysis'!B:B)</f>
        <v>Cairo</v>
      </c>
      <c r="H425" s="6" t="str">
        <f>_xlfn.XLOOKUP(Input_Table[[#This Row],[INVOICE ID]],'SuperMarket Analysis'!A:A,'SuperMarket Analysis'!F:F)</f>
        <v>Fashion accessories</v>
      </c>
      <c r="I425" s="12">
        <f>_xlfn.XLOOKUP(Input_Table[[#This Row],[INVOICE ID]],'SuperMarket Analysis'!A:A,'SuperMarket Analysis'!G:G)</f>
        <v>25.42</v>
      </c>
      <c r="J425" s="12">
        <f>_xlfn.XLOOKUP(Input_Table[[#This Row],[INVOICE ID]],'SuperMarket Analysis'!A:A,'SuperMarket Analysis'!N:N)</f>
        <v>203.36</v>
      </c>
      <c r="K425" s="12">
        <f>_xlfn.XLOOKUP(Input_Table[[#This Row],[INVOICE ID]],'SuperMarket Analysis'!A:A,'SuperMarket Analysis'!J:J)</f>
        <v>213.52799999999999</v>
      </c>
      <c r="L425" s="6">
        <f>DAY(Input_Table[[#This Row],[DATE]])</f>
        <v>20</v>
      </c>
      <c r="M425" s="6" t="str">
        <f>TEXT(Input_Table[[#This Row],[DATE]],"mmmm")</f>
        <v>March</v>
      </c>
      <c r="N425" s="6">
        <f>YEAR(Input_Table[[#This Row],[DATE]])</f>
        <v>2019</v>
      </c>
    </row>
    <row r="426" spans="1:14" x14ac:dyDescent="0.3">
      <c r="A426" s="2">
        <f>_xlfn.XLOOKUP(B426,SuperMarket_Analysis[Invoice ID],SuperMarket_Analysis[Date])</f>
        <v>43547</v>
      </c>
      <c r="B426" s="6" t="s">
        <v>457</v>
      </c>
      <c r="C426" s="7">
        <f>_xlfn.XLOOKUP(B426,SuperMarket_Analysis[Invoice ID],SuperMarket_Analysis[Quantity])</f>
        <v>1</v>
      </c>
      <c r="D426" s="6" t="str">
        <f>_xlfn.XLOOKUP('Input data'!B426,'SuperMarket Analysis'!A:A,'SuperMarket Analysis'!F:F)</f>
        <v>Fashion accessories</v>
      </c>
      <c r="E426" s="6" t="str">
        <f>_xlfn.XLOOKUP(B426,'SuperMarket Analysis'!A:A,'SuperMarket Analysis'!M:M)</f>
        <v>Cash</v>
      </c>
      <c r="F426" s="6">
        <f>0.05*Input_Table[[#This Row],[TOTAL C.O.G.S]]</f>
        <v>0.81400000000000006</v>
      </c>
      <c r="G426" s="6" t="str">
        <f>_xlfn.XLOOKUP(Input_Table[[#This Row],[INVOICE ID]],'SuperMarket Analysis'!A:A,'SuperMarket Analysis'!B:B)</f>
        <v>Giza</v>
      </c>
      <c r="H426" s="6" t="str">
        <f>_xlfn.XLOOKUP(Input_Table[[#This Row],[INVOICE ID]],'SuperMarket Analysis'!A:A,'SuperMarket Analysis'!F:F)</f>
        <v>Fashion accessories</v>
      </c>
      <c r="I426" s="12">
        <f>_xlfn.XLOOKUP(Input_Table[[#This Row],[INVOICE ID]],'SuperMarket Analysis'!A:A,'SuperMarket Analysis'!G:G)</f>
        <v>16.28</v>
      </c>
      <c r="J426" s="12">
        <f>_xlfn.XLOOKUP(Input_Table[[#This Row],[INVOICE ID]],'SuperMarket Analysis'!A:A,'SuperMarket Analysis'!N:N)</f>
        <v>16.28</v>
      </c>
      <c r="K426" s="12">
        <f>_xlfn.XLOOKUP(Input_Table[[#This Row],[INVOICE ID]],'SuperMarket Analysis'!A:A,'SuperMarket Analysis'!J:J)</f>
        <v>17.094000000000001</v>
      </c>
      <c r="L426" s="6">
        <f>DAY(Input_Table[[#This Row],[DATE]])</f>
        <v>23</v>
      </c>
      <c r="M426" s="6" t="str">
        <f>TEXT(Input_Table[[#This Row],[DATE]],"mmmm")</f>
        <v>March</v>
      </c>
      <c r="N426" s="6">
        <f>YEAR(Input_Table[[#This Row],[DATE]])</f>
        <v>2019</v>
      </c>
    </row>
    <row r="427" spans="1:14" x14ac:dyDescent="0.3">
      <c r="A427" s="2">
        <f>_xlfn.XLOOKUP(B427,SuperMarket_Analysis[Invoice ID],SuperMarket_Analysis[Date])</f>
        <v>43479</v>
      </c>
      <c r="B427" s="6" t="s">
        <v>458</v>
      </c>
      <c r="C427" s="7">
        <f>_xlfn.XLOOKUP(B427,SuperMarket_Analysis[Invoice ID],SuperMarket_Analysis[Quantity])</f>
        <v>9</v>
      </c>
      <c r="D427" s="6" t="str">
        <f>_xlfn.XLOOKUP('Input data'!B427,'SuperMarket Analysis'!A:A,'SuperMarket Analysis'!F:F)</f>
        <v>Fashion accessories</v>
      </c>
      <c r="E427" s="6" t="str">
        <f>_xlfn.XLOOKUP(B427,'SuperMarket Analysis'!A:A,'SuperMarket Analysis'!M:M)</f>
        <v>Cash</v>
      </c>
      <c r="F427" s="6">
        <f>0.05*Input_Table[[#This Row],[TOTAL C.O.G.S]]</f>
        <v>18.2745</v>
      </c>
      <c r="G427" s="6" t="str">
        <f>_xlfn.XLOOKUP(Input_Table[[#This Row],[INVOICE ID]],'SuperMarket Analysis'!A:A,'SuperMarket Analysis'!B:B)</f>
        <v>Cairo</v>
      </c>
      <c r="H427" s="6" t="str">
        <f>_xlfn.XLOOKUP(Input_Table[[#This Row],[INVOICE ID]],'SuperMarket Analysis'!A:A,'SuperMarket Analysis'!F:F)</f>
        <v>Fashion accessories</v>
      </c>
      <c r="I427" s="12">
        <f>_xlfn.XLOOKUP(Input_Table[[#This Row],[INVOICE ID]],'SuperMarket Analysis'!A:A,'SuperMarket Analysis'!G:G)</f>
        <v>40.61</v>
      </c>
      <c r="J427" s="12">
        <f>_xlfn.XLOOKUP(Input_Table[[#This Row],[INVOICE ID]],'SuperMarket Analysis'!A:A,'SuperMarket Analysis'!N:N)</f>
        <v>365.49</v>
      </c>
      <c r="K427" s="12">
        <f>_xlfn.XLOOKUP(Input_Table[[#This Row],[INVOICE ID]],'SuperMarket Analysis'!A:A,'SuperMarket Analysis'!J:J)</f>
        <v>383.7645</v>
      </c>
      <c r="L427" s="6">
        <f>DAY(Input_Table[[#This Row],[DATE]])</f>
        <v>14</v>
      </c>
      <c r="M427" s="6" t="str">
        <f>TEXT(Input_Table[[#This Row],[DATE]],"mmmm")</f>
        <v>January</v>
      </c>
      <c r="N427" s="6">
        <f>YEAR(Input_Table[[#This Row],[DATE]])</f>
        <v>2019</v>
      </c>
    </row>
    <row r="428" spans="1:14" x14ac:dyDescent="0.3">
      <c r="A428" s="2">
        <f>_xlfn.XLOOKUP(B428,SuperMarket_Analysis[Invoice ID],SuperMarket_Analysis[Date])</f>
        <v>43516</v>
      </c>
      <c r="B428" s="6" t="s">
        <v>459</v>
      </c>
      <c r="C428" s="7">
        <f>_xlfn.XLOOKUP(B428,SuperMarket_Analysis[Invoice ID],SuperMarket_Analysis[Quantity])</f>
        <v>7</v>
      </c>
      <c r="D428" s="6" t="str">
        <f>_xlfn.XLOOKUP('Input data'!B428,'SuperMarket Analysis'!A:A,'SuperMarket Analysis'!F:F)</f>
        <v>Health and beauty</v>
      </c>
      <c r="E428" s="6" t="str">
        <f>_xlfn.XLOOKUP(B428,'SuperMarket Analysis'!A:A,'SuperMarket Analysis'!M:M)</f>
        <v>Cash</v>
      </c>
      <c r="F428" s="6">
        <f>0.05*Input_Table[[#This Row],[TOTAL C.O.G.S]]</f>
        <v>18.609500000000001</v>
      </c>
      <c r="G428" s="6" t="str">
        <f>_xlfn.XLOOKUP(Input_Table[[#This Row],[INVOICE ID]],'SuperMarket Analysis'!A:A,'SuperMarket Analysis'!B:B)</f>
        <v>Alex</v>
      </c>
      <c r="H428" s="6" t="str">
        <f>_xlfn.XLOOKUP(Input_Table[[#This Row],[INVOICE ID]],'SuperMarket Analysis'!A:A,'SuperMarket Analysis'!F:F)</f>
        <v>Health and beauty</v>
      </c>
      <c r="I428" s="12">
        <f>_xlfn.XLOOKUP(Input_Table[[#This Row],[INVOICE ID]],'SuperMarket Analysis'!A:A,'SuperMarket Analysis'!G:G)</f>
        <v>53.17</v>
      </c>
      <c r="J428" s="12">
        <f>_xlfn.XLOOKUP(Input_Table[[#This Row],[INVOICE ID]],'SuperMarket Analysis'!A:A,'SuperMarket Analysis'!N:N)</f>
        <v>372.19</v>
      </c>
      <c r="K428" s="12">
        <f>_xlfn.XLOOKUP(Input_Table[[#This Row],[INVOICE ID]],'SuperMarket Analysis'!A:A,'SuperMarket Analysis'!J:J)</f>
        <v>390.79950000000002</v>
      </c>
      <c r="L428" s="6">
        <f>DAY(Input_Table[[#This Row],[DATE]])</f>
        <v>20</v>
      </c>
      <c r="M428" s="6" t="str">
        <f>TEXT(Input_Table[[#This Row],[DATE]],"mmmm")</f>
        <v>February</v>
      </c>
      <c r="N428" s="6">
        <f>YEAR(Input_Table[[#This Row],[DATE]])</f>
        <v>2019</v>
      </c>
    </row>
    <row r="429" spans="1:14" x14ac:dyDescent="0.3">
      <c r="A429" s="2">
        <f>_xlfn.XLOOKUP(B429,SuperMarket_Analysis[Invoice ID],SuperMarket_Analysis[Date])</f>
        <v>43495</v>
      </c>
      <c r="B429" s="6" t="s">
        <v>460</v>
      </c>
      <c r="C429" s="7">
        <f>_xlfn.XLOOKUP(B429,SuperMarket_Analysis[Invoice ID],SuperMarket_Analysis[Quantity])</f>
        <v>3</v>
      </c>
      <c r="D429" s="6" t="str">
        <f>_xlfn.XLOOKUP('Input data'!B429,'SuperMarket Analysis'!A:A,'SuperMarket Analysis'!F:F)</f>
        <v>Food and beverages</v>
      </c>
      <c r="E429" s="6" t="str">
        <f>_xlfn.XLOOKUP(B429,'SuperMarket Analysis'!A:A,'SuperMarket Analysis'!M:M)</f>
        <v>Credit card</v>
      </c>
      <c r="F429" s="6">
        <f>0.05*Input_Table[[#This Row],[TOTAL C.O.G.S]]</f>
        <v>3.1305000000000001</v>
      </c>
      <c r="G429" s="6" t="str">
        <f>_xlfn.XLOOKUP(Input_Table[[#This Row],[INVOICE ID]],'SuperMarket Analysis'!A:A,'SuperMarket Analysis'!B:B)</f>
        <v>Cairo</v>
      </c>
      <c r="H429" s="6" t="str">
        <f>_xlfn.XLOOKUP(Input_Table[[#This Row],[INVOICE ID]],'SuperMarket Analysis'!A:A,'SuperMarket Analysis'!F:F)</f>
        <v>Food and beverages</v>
      </c>
      <c r="I429" s="12">
        <f>_xlfn.XLOOKUP(Input_Table[[#This Row],[INVOICE ID]],'SuperMarket Analysis'!A:A,'SuperMarket Analysis'!G:G)</f>
        <v>20.87</v>
      </c>
      <c r="J429" s="12">
        <f>_xlfn.XLOOKUP(Input_Table[[#This Row],[INVOICE ID]],'SuperMarket Analysis'!A:A,'SuperMarket Analysis'!N:N)</f>
        <v>62.61</v>
      </c>
      <c r="K429" s="12">
        <f>_xlfn.XLOOKUP(Input_Table[[#This Row],[INVOICE ID]],'SuperMarket Analysis'!A:A,'SuperMarket Analysis'!J:J)</f>
        <v>65.740499999999997</v>
      </c>
      <c r="L429" s="6">
        <f>DAY(Input_Table[[#This Row],[DATE]])</f>
        <v>30</v>
      </c>
      <c r="M429" s="6" t="str">
        <f>TEXT(Input_Table[[#This Row],[DATE]],"mmmm")</f>
        <v>January</v>
      </c>
      <c r="N429" s="6">
        <f>YEAR(Input_Table[[#This Row],[DATE]])</f>
        <v>2019</v>
      </c>
    </row>
    <row r="430" spans="1:14" x14ac:dyDescent="0.3">
      <c r="A430" s="2">
        <f>_xlfn.XLOOKUP(B430,SuperMarket_Analysis[Invoice ID],SuperMarket_Analysis[Date])</f>
        <v>43550</v>
      </c>
      <c r="B430" s="6" t="s">
        <v>461</v>
      </c>
      <c r="C430" s="7">
        <f>_xlfn.XLOOKUP(B430,SuperMarket_Analysis[Invoice ID],SuperMarket_Analysis[Quantity])</f>
        <v>5</v>
      </c>
      <c r="D430" s="6" t="str">
        <f>_xlfn.XLOOKUP('Input data'!B430,'SuperMarket Analysis'!A:A,'SuperMarket Analysis'!F:F)</f>
        <v>Sports and travel</v>
      </c>
      <c r="E430" s="6" t="str">
        <f>_xlfn.XLOOKUP(B430,'SuperMarket Analysis'!A:A,'SuperMarket Analysis'!M:M)</f>
        <v>Cash</v>
      </c>
      <c r="F430" s="6">
        <f>0.05*Input_Table[[#This Row],[TOTAL C.O.G.S]]</f>
        <v>16.817500000000003</v>
      </c>
      <c r="G430" s="6" t="str">
        <f>_xlfn.XLOOKUP(Input_Table[[#This Row],[INVOICE ID]],'SuperMarket Analysis'!A:A,'SuperMarket Analysis'!B:B)</f>
        <v>Cairo</v>
      </c>
      <c r="H430" s="6" t="str">
        <f>_xlfn.XLOOKUP(Input_Table[[#This Row],[INVOICE ID]],'SuperMarket Analysis'!A:A,'SuperMarket Analysis'!F:F)</f>
        <v>Sports and travel</v>
      </c>
      <c r="I430" s="12">
        <f>_xlfn.XLOOKUP(Input_Table[[#This Row],[INVOICE ID]],'SuperMarket Analysis'!A:A,'SuperMarket Analysis'!G:G)</f>
        <v>67.27</v>
      </c>
      <c r="J430" s="12">
        <f>_xlfn.XLOOKUP(Input_Table[[#This Row],[INVOICE ID]],'SuperMarket Analysis'!A:A,'SuperMarket Analysis'!N:N)</f>
        <v>336.35</v>
      </c>
      <c r="K430" s="12">
        <f>_xlfn.XLOOKUP(Input_Table[[#This Row],[INVOICE ID]],'SuperMarket Analysis'!A:A,'SuperMarket Analysis'!J:J)</f>
        <v>353.16750000000002</v>
      </c>
      <c r="L430" s="6">
        <f>DAY(Input_Table[[#This Row],[DATE]])</f>
        <v>26</v>
      </c>
      <c r="M430" s="6" t="str">
        <f>TEXT(Input_Table[[#This Row],[DATE]],"mmmm")</f>
        <v>March</v>
      </c>
      <c r="N430" s="6">
        <f>YEAR(Input_Table[[#This Row],[DATE]])</f>
        <v>2019</v>
      </c>
    </row>
    <row r="431" spans="1:14" x14ac:dyDescent="0.3">
      <c r="A431" s="2">
        <f>_xlfn.XLOOKUP(B431,SuperMarket_Analysis[Invoice ID],SuperMarket_Analysis[Date])</f>
        <v>43480</v>
      </c>
      <c r="B431" s="6" t="s">
        <v>462</v>
      </c>
      <c r="C431" s="7">
        <f>_xlfn.XLOOKUP(B431,SuperMarket_Analysis[Invoice ID],SuperMarket_Analysis[Quantity])</f>
        <v>10</v>
      </c>
      <c r="D431" s="6" t="str">
        <f>_xlfn.XLOOKUP('Input data'!B431,'SuperMarket Analysis'!A:A,'SuperMarket Analysis'!F:F)</f>
        <v>Home and lifestyle</v>
      </c>
      <c r="E431" s="6" t="str">
        <f>_xlfn.XLOOKUP(B431,'SuperMarket Analysis'!A:A,'SuperMarket Analysis'!M:M)</f>
        <v>Ewallet</v>
      </c>
      <c r="F431" s="6">
        <f>0.05*Input_Table[[#This Row],[TOTAL C.O.G.S]]</f>
        <v>45.325000000000003</v>
      </c>
      <c r="G431" s="6" t="str">
        <f>_xlfn.XLOOKUP(Input_Table[[#This Row],[INVOICE ID]],'SuperMarket Analysis'!A:A,'SuperMarket Analysis'!B:B)</f>
        <v>Alex</v>
      </c>
      <c r="H431" s="6" t="str">
        <f>_xlfn.XLOOKUP(Input_Table[[#This Row],[INVOICE ID]],'SuperMarket Analysis'!A:A,'SuperMarket Analysis'!F:F)</f>
        <v>Home and lifestyle</v>
      </c>
      <c r="I431" s="12">
        <f>_xlfn.XLOOKUP(Input_Table[[#This Row],[INVOICE ID]],'SuperMarket Analysis'!A:A,'SuperMarket Analysis'!G:G)</f>
        <v>90.65</v>
      </c>
      <c r="J431" s="12">
        <f>_xlfn.XLOOKUP(Input_Table[[#This Row],[INVOICE ID]],'SuperMarket Analysis'!A:A,'SuperMarket Analysis'!N:N)</f>
        <v>906.5</v>
      </c>
      <c r="K431" s="12">
        <f>_xlfn.XLOOKUP(Input_Table[[#This Row],[INVOICE ID]],'SuperMarket Analysis'!A:A,'SuperMarket Analysis'!J:J)</f>
        <v>951.82500000000005</v>
      </c>
      <c r="L431" s="6">
        <f>DAY(Input_Table[[#This Row],[DATE]])</f>
        <v>15</v>
      </c>
      <c r="M431" s="6" t="str">
        <f>TEXT(Input_Table[[#This Row],[DATE]],"mmmm")</f>
        <v>January</v>
      </c>
      <c r="N431" s="6">
        <f>YEAR(Input_Table[[#This Row],[DATE]])</f>
        <v>2019</v>
      </c>
    </row>
    <row r="432" spans="1:14" x14ac:dyDescent="0.3">
      <c r="A432" s="2">
        <f>_xlfn.XLOOKUP(B432,SuperMarket_Analysis[Invoice ID],SuperMarket_Analysis[Date])</f>
        <v>43538</v>
      </c>
      <c r="B432" s="6" t="s">
        <v>463</v>
      </c>
      <c r="C432" s="7">
        <f>_xlfn.XLOOKUP(B432,SuperMarket_Analysis[Invoice ID],SuperMarket_Analysis[Quantity])</f>
        <v>2</v>
      </c>
      <c r="D432" s="6" t="str">
        <f>_xlfn.XLOOKUP('Input data'!B432,'SuperMarket Analysis'!A:A,'SuperMarket Analysis'!F:F)</f>
        <v>Fashion accessories</v>
      </c>
      <c r="E432" s="6" t="str">
        <f>_xlfn.XLOOKUP(B432,'SuperMarket Analysis'!A:A,'SuperMarket Analysis'!M:M)</f>
        <v>Credit card</v>
      </c>
      <c r="F432" s="6">
        <f>0.05*Input_Table[[#This Row],[TOTAL C.O.G.S]]</f>
        <v>6.9080000000000004</v>
      </c>
      <c r="G432" s="6" t="str">
        <f>_xlfn.XLOOKUP(Input_Table[[#This Row],[INVOICE ID]],'SuperMarket Analysis'!A:A,'SuperMarket Analysis'!B:B)</f>
        <v>Cairo</v>
      </c>
      <c r="H432" s="6" t="str">
        <f>_xlfn.XLOOKUP(Input_Table[[#This Row],[INVOICE ID]],'SuperMarket Analysis'!A:A,'SuperMarket Analysis'!F:F)</f>
        <v>Fashion accessories</v>
      </c>
      <c r="I432" s="12">
        <f>_xlfn.XLOOKUP(Input_Table[[#This Row],[INVOICE ID]],'SuperMarket Analysis'!A:A,'SuperMarket Analysis'!G:G)</f>
        <v>69.08</v>
      </c>
      <c r="J432" s="12">
        <f>_xlfn.XLOOKUP(Input_Table[[#This Row],[INVOICE ID]],'SuperMarket Analysis'!A:A,'SuperMarket Analysis'!N:N)</f>
        <v>138.16</v>
      </c>
      <c r="K432" s="12">
        <f>_xlfn.XLOOKUP(Input_Table[[#This Row],[INVOICE ID]],'SuperMarket Analysis'!A:A,'SuperMarket Analysis'!J:J)</f>
        <v>145.06800000000001</v>
      </c>
      <c r="L432" s="6">
        <f>DAY(Input_Table[[#This Row],[DATE]])</f>
        <v>14</v>
      </c>
      <c r="M432" s="6" t="str">
        <f>TEXT(Input_Table[[#This Row],[DATE]],"mmmm")</f>
        <v>March</v>
      </c>
      <c r="N432" s="6">
        <f>YEAR(Input_Table[[#This Row],[DATE]])</f>
        <v>2019</v>
      </c>
    </row>
    <row r="433" spans="1:14" x14ac:dyDescent="0.3">
      <c r="A433" s="2">
        <f>_xlfn.XLOOKUP(B433,SuperMarket_Analysis[Invoice ID],SuperMarket_Analysis[Date])</f>
        <v>43518</v>
      </c>
      <c r="B433" s="6" t="s">
        <v>464</v>
      </c>
      <c r="C433" s="7">
        <f>_xlfn.XLOOKUP(B433,SuperMarket_Analysis[Invoice ID],SuperMarket_Analysis[Quantity])</f>
        <v>2</v>
      </c>
      <c r="D433" s="6" t="str">
        <f>_xlfn.XLOOKUP('Input data'!B433,'SuperMarket Analysis'!A:A,'SuperMarket Analysis'!F:F)</f>
        <v>Food and beverages</v>
      </c>
      <c r="E433" s="6" t="str">
        <f>_xlfn.XLOOKUP(B433,'SuperMarket Analysis'!A:A,'SuperMarket Analysis'!M:M)</f>
        <v>Ewallet</v>
      </c>
      <c r="F433" s="6">
        <f>0.05*Input_Table[[#This Row],[TOTAL C.O.G.S]]</f>
        <v>4.3270000000000008</v>
      </c>
      <c r="G433" s="6" t="str">
        <f>_xlfn.XLOOKUP(Input_Table[[#This Row],[INVOICE ID]],'SuperMarket Analysis'!A:A,'SuperMarket Analysis'!B:B)</f>
        <v>Giza</v>
      </c>
      <c r="H433" s="6" t="str">
        <f>_xlfn.XLOOKUP(Input_Table[[#This Row],[INVOICE ID]],'SuperMarket Analysis'!A:A,'SuperMarket Analysis'!F:F)</f>
        <v>Food and beverages</v>
      </c>
      <c r="I433" s="12">
        <f>_xlfn.XLOOKUP(Input_Table[[#This Row],[INVOICE ID]],'SuperMarket Analysis'!A:A,'SuperMarket Analysis'!G:G)</f>
        <v>43.27</v>
      </c>
      <c r="J433" s="12">
        <f>_xlfn.XLOOKUP(Input_Table[[#This Row],[INVOICE ID]],'SuperMarket Analysis'!A:A,'SuperMarket Analysis'!N:N)</f>
        <v>86.54</v>
      </c>
      <c r="K433" s="12">
        <f>_xlfn.XLOOKUP(Input_Table[[#This Row],[INVOICE ID]],'SuperMarket Analysis'!A:A,'SuperMarket Analysis'!J:J)</f>
        <v>90.867000000000004</v>
      </c>
      <c r="L433" s="6">
        <f>DAY(Input_Table[[#This Row],[DATE]])</f>
        <v>22</v>
      </c>
      <c r="M433" s="6" t="str">
        <f>TEXT(Input_Table[[#This Row],[DATE]],"mmmm")</f>
        <v>February</v>
      </c>
      <c r="N433" s="6">
        <f>YEAR(Input_Table[[#This Row],[DATE]])</f>
        <v>2019</v>
      </c>
    </row>
    <row r="434" spans="1:14" x14ac:dyDescent="0.3">
      <c r="A434" s="2">
        <f>_xlfn.XLOOKUP(B434,SuperMarket_Analysis[Invoice ID],SuperMarket_Analysis[Date])</f>
        <v>43489</v>
      </c>
      <c r="B434" s="6" t="s">
        <v>465</v>
      </c>
      <c r="C434" s="7">
        <f>_xlfn.XLOOKUP(B434,SuperMarket_Analysis[Invoice ID],SuperMarket_Analysis[Quantity])</f>
        <v>6</v>
      </c>
      <c r="D434" s="6" t="str">
        <f>_xlfn.XLOOKUP('Input data'!B434,'SuperMarket Analysis'!A:A,'SuperMarket Analysis'!F:F)</f>
        <v>Electronic accessories</v>
      </c>
      <c r="E434" s="6" t="str">
        <f>_xlfn.XLOOKUP(B434,'SuperMarket Analysis'!A:A,'SuperMarket Analysis'!M:M)</f>
        <v>Ewallet</v>
      </c>
      <c r="F434" s="6">
        <f>0.05*Input_Table[[#This Row],[TOTAL C.O.G.S]]</f>
        <v>7.0380000000000003</v>
      </c>
      <c r="G434" s="6" t="str">
        <f>_xlfn.XLOOKUP(Input_Table[[#This Row],[INVOICE ID]],'SuperMarket Analysis'!A:A,'SuperMarket Analysis'!B:B)</f>
        <v>Alex</v>
      </c>
      <c r="H434" s="6" t="str">
        <f>_xlfn.XLOOKUP(Input_Table[[#This Row],[INVOICE ID]],'SuperMarket Analysis'!A:A,'SuperMarket Analysis'!F:F)</f>
        <v>Electronic accessories</v>
      </c>
      <c r="I434" s="12">
        <f>_xlfn.XLOOKUP(Input_Table[[#This Row],[INVOICE ID]],'SuperMarket Analysis'!A:A,'SuperMarket Analysis'!G:G)</f>
        <v>23.46</v>
      </c>
      <c r="J434" s="12">
        <f>_xlfn.XLOOKUP(Input_Table[[#This Row],[INVOICE ID]],'SuperMarket Analysis'!A:A,'SuperMarket Analysis'!N:N)</f>
        <v>140.76</v>
      </c>
      <c r="K434" s="12">
        <f>_xlfn.XLOOKUP(Input_Table[[#This Row],[INVOICE ID]],'SuperMarket Analysis'!A:A,'SuperMarket Analysis'!J:J)</f>
        <v>147.798</v>
      </c>
      <c r="L434" s="6">
        <f>DAY(Input_Table[[#This Row],[DATE]])</f>
        <v>24</v>
      </c>
      <c r="M434" s="6" t="str">
        <f>TEXT(Input_Table[[#This Row],[DATE]],"mmmm")</f>
        <v>January</v>
      </c>
      <c r="N434" s="6">
        <f>YEAR(Input_Table[[#This Row],[DATE]])</f>
        <v>2019</v>
      </c>
    </row>
    <row r="435" spans="1:14" x14ac:dyDescent="0.3">
      <c r="A435" s="2">
        <f>_xlfn.XLOOKUP(B435,SuperMarket_Analysis[Invoice ID],SuperMarket_Analysis[Date])</f>
        <v>43490</v>
      </c>
      <c r="B435" s="6" t="s">
        <v>466</v>
      </c>
      <c r="C435" s="7">
        <f>_xlfn.XLOOKUP(B435,SuperMarket_Analysis[Invoice ID],SuperMarket_Analysis[Quantity])</f>
        <v>7</v>
      </c>
      <c r="D435" s="6" t="str">
        <f>_xlfn.XLOOKUP('Input data'!B435,'SuperMarket Analysis'!A:A,'SuperMarket Analysis'!F:F)</f>
        <v>Fashion accessories</v>
      </c>
      <c r="E435" s="6" t="str">
        <f>_xlfn.XLOOKUP(B435,'SuperMarket Analysis'!A:A,'SuperMarket Analysis'!M:M)</f>
        <v>Credit card</v>
      </c>
      <c r="F435" s="6">
        <f>0.05*Input_Table[[#This Row],[TOTAL C.O.G.S]]</f>
        <v>33.439</v>
      </c>
      <c r="G435" s="6" t="str">
        <f>_xlfn.XLOOKUP(Input_Table[[#This Row],[INVOICE ID]],'SuperMarket Analysis'!A:A,'SuperMarket Analysis'!B:B)</f>
        <v>Cairo</v>
      </c>
      <c r="H435" s="6" t="str">
        <f>_xlfn.XLOOKUP(Input_Table[[#This Row],[INVOICE ID]],'SuperMarket Analysis'!A:A,'SuperMarket Analysis'!F:F)</f>
        <v>Fashion accessories</v>
      </c>
      <c r="I435" s="12">
        <f>_xlfn.XLOOKUP(Input_Table[[#This Row],[INVOICE ID]],'SuperMarket Analysis'!A:A,'SuperMarket Analysis'!G:G)</f>
        <v>95.54</v>
      </c>
      <c r="J435" s="12">
        <f>_xlfn.XLOOKUP(Input_Table[[#This Row],[INVOICE ID]],'SuperMarket Analysis'!A:A,'SuperMarket Analysis'!N:N)</f>
        <v>668.78</v>
      </c>
      <c r="K435" s="12">
        <f>_xlfn.XLOOKUP(Input_Table[[#This Row],[INVOICE ID]],'SuperMarket Analysis'!A:A,'SuperMarket Analysis'!J:J)</f>
        <v>702.21900000000005</v>
      </c>
      <c r="L435" s="6">
        <f>DAY(Input_Table[[#This Row],[DATE]])</f>
        <v>25</v>
      </c>
      <c r="M435" s="6" t="str">
        <f>TEXT(Input_Table[[#This Row],[DATE]],"mmmm")</f>
        <v>January</v>
      </c>
      <c r="N435" s="6">
        <f>YEAR(Input_Table[[#This Row],[DATE]])</f>
        <v>2019</v>
      </c>
    </row>
    <row r="436" spans="1:14" x14ac:dyDescent="0.3">
      <c r="A436" s="2">
        <f>_xlfn.XLOOKUP(B436,SuperMarket_Analysis[Invoice ID],SuperMarket_Analysis[Date])</f>
        <v>43513</v>
      </c>
      <c r="B436" s="6" t="s">
        <v>467</v>
      </c>
      <c r="C436" s="7">
        <f>_xlfn.XLOOKUP(B436,SuperMarket_Analysis[Invoice ID],SuperMarket_Analysis[Quantity])</f>
        <v>1</v>
      </c>
      <c r="D436" s="6" t="str">
        <f>_xlfn.XLOOKUP('Input data'!B436,'SuperMarket Analysis'!A:A,'SuperMarket Analysis'!F:F)</f>
        <v>Fashion accessories</v>
      </c>
      <c r="E436" s="6" t="str">
        <f>_xlfn.XLOOKUP(B436,'SuperMarket Analysis'!A:A,'SuperMarket Analysis'!M:M)</f>
        <v>Credit card</v>
      </c>
      <c r="F436" s="6">
        <f>0.05*Input_Table[[#This Row],[TOTAL C.O.G.S]]</f>
        <v>2.3719999999999999</v>
      </c>
      <c r="G436" s="6" t="str">
        <f>_xlfn.XLOOKUP(Input_Table[[#This Row],[INVOICE ID]],'SuperMarket Analysis'!A:A,'SuperMarket Analysis'!B:B)</f>
        <v>Cairo</v>
      </c>
      <c r="H436" s="6" t="str">
        <f>_xlfn.XLOOKUP(Input_Table[[#This Row],[INVOICE ID]],'SuperMarket Analysis'!A:A,'SuperMarket Analysis'!F:F)</f>
        <v>Fashion accessories</v>
      </c>
      <c r="I436" s="12">
        <f>_xlfn.XLOOKUP(Input_Table[[#This Row],[INVOICE ID]],'SuperMarket Analysis'!A:A,'SuperMarket Analysis'!G:G)</f>
        <v>47.44</v>
      </c>
      <c r="J436" s="12">
        <f>_xlfn.XLOOKUP(Input_Table[[#This Row],[INVOICE ID]],'SuperMarket Analysis'!A:A,'SuperMarket Analysis'!N:N)</f>
        <v>47.44</v>
      </c>
      <c r="K436" s="12">
        <f>_xlfn.XLOOKUP(Input_Table[[#This Row],[INVOICE ID]],'SuperMarket Analysis'!A:A,'SuperMarket Analysis'!J:J)</f>
        <v>49.811999999999998</v>
      </c>
      <c r="L436" s="6">
        <f>DAY(Input_Table[[#This Row],[DATE]])</f>
        <v>17</v>
      </c>
      <c r="M436" s="6" t="str">
        <f>TEXT(Input_Table[[#This Row],[DATE]],"mmmm")</f>
        <v>February</v>
      </c>
      <c r="N436" s="6">
        <f>YEAR(Input_Table[[#This Row],[DATE]])</f>
        <v>2019</v>
      </c>
    </row>
    <row r="437" spans="1:14" x14ac:dyDescent="0.3">
      <c r="A437" s="2">
        <f>_xlfn.XLOOKUP(B437,SuperMarket_Analysis[Invoice ID],SuperMarket_Analysis[Date])</f>
        <v>43523</v>
      </c>
      <c r="B437" s="6" t="s">
        <v>468</v>
      </c>
      <c r="C437" s="7">
        <f>_xlfn.XLOOKUP(B437,SuperMarket_Analysis[Invoice ID],SuperMarket_Analysis[Quantity])</f>
        <v>9</v>
      </c>
      <c r="D437" s="6" t="str">
        <f>_xlfn.XLOOKUP('Input data'!B437,'SuperMarket Analysis'!A:A,'SuperMarket Analysis'!F:F)</f>
        <v>Sports and travel</v>
      </c>
      <c r="E437" s="6" t="str">
        <f>_xlfn.XLOOKUP(B437,'SuperMarket Analysis'!A:A,'SuperMarket Analysis'!M:M)</f>
        <v>Ewallet</v>
      </c>
      <c r="F437" s="6">
        <f>0.05*Input_Table[[#This Row],[TOTAL C.O.G.S]]</f>
        <v>44.658000000000001</v>
      </c>
      <c r="G437" s="6" t="str">
        <f>_xlfn.XLOOKUP(Input_Table[[#This Row],[INVOICE ID]],'SuperMarket Analysis'!A:A,'SuperMarket Analysis'!B:B)</f>
        <v>Giza</v>
      </c>
      <c r="H437" s="6" t="str">
        <f>_xlfn.XLOOKUP(Input_Table[[#This Row],[INVOICE ID]],'SuperMarket Analysis'!A:A,'SuperMarket Analysis'!F:F)</f>
        <v>Sports and travel</v>
      </c>
      <c r="I437" s="12">
        <f>_xlfn.XLOOKUP(Input_Table[[#This Row],[INVOICE ID]],'SuperMarket Analysis'!A:A,'SuperMarket Analysis'!G:G)</f>
        <v>99.24</v>
      </c>
      <c r="J437" s="12">
        <f>_xlfn.XLOOKUP(Input_Table[[#This Row],[INVOICE ID]],'SuperMarket Analysis'!A:A,'SuperMarket Analysis'!N:N)</f>
        <v>893.16</v>
      </c>
      <c r="K437" s="12">
        <f>_xlfn.XLOOKUP(Input_Table[[#This Row],[INVOICE ID]],'SuperMarket Analysis'!A:A,'SuperMarket Analysis'!J:J)</f>
        <v>937.81799999999998</v>
      </c>
      <c r="L437" s="6">
        <f>DAY(Input_Table[[#This Row],[DATE]])</f>
        <v>27</v>
      </c>
      <c r="M437" s="6" t="str">
        <f>TEXT(Input_Table[[#This Row],[DATE]],"mmmm")</f>
        <v>February</v>
      </c>
      <c r="N437" s="6">
        <f>YEAR(Input_Table[[#This Row],[DATE]])</f>
        <v>2019</v>
      </c>
    </row>
    <row r="438" spans="1:14" x14ac:dyDescent="0.3">
      <c r="A438" s="2">
        <f>_xlfn.XLOOKUP(B438,SuperMarket_Analysis[Invoice ID],SuperMarket_Analysis[Date])</f>
        <v>43549</v>
      </c>
      <c r="B438" s="6" t="s">
        <v>469</v>
      </c>
      <c r="C438" s="7">
        <f>_xlfn.XLOOKUP(B438,SuperMarket_Analysis[Invoice ID],SuperMarket_Analysis[Quantity])</f>
        <v>4</v>
      </c>
      <c r="D438" s="6" t="str">
        <f>_xlfn.XLOOKUP('Input data'!B438,'SuperMarket Analysis'!A:A,'SuperMarket Analysis'!F:F)</f>
        <v>Sports and travel</v>
      </c>
      <c r="E438" s="6" t="str">
        <f>_xlfn.XLOOKUP(B438,'SuperMarket Analysis'!A:A,'SuperMarket Analysis'!M:M)</f>
        <v>Ewallet</v>
      </c>
      <c r="F438" s="6">
        <f>0.05*Input_Table[[#This Row],[TOTAL C.O.G.S]]</f>
        <v>16.586000000000002</v>
      </c>
      <c r="G438" s="6" t="str">
        <f>_xlfn.XLOOKUP(Input_Table[[#This Row],[INVOICE ID]],'SuperMarket Analysis'!A:A,'SuperMarket Analysis'!B:B)</f>
        <v>Giza</v>
      </c>
      <c r="H438" s="6" t="str">
        <f>_xlfn.XLOOKUP(Input_Table[[#This Row],[INVOICE ID]],'SuperMarket Analysis'!A:A,'SuperMarket Analysis'!F:F)</f>
        <v>Sports and travel</v>
      </c>
      <c r="I438" s="12">
        <f>_xlfn.XLOOKUP(Input_Table[[#This Row],[INVOICE ID]],'SuperMarket Analysis'!A:A,'SuperMarket Analysis'!G:G)</f>
        <v>82.93</v>
      </c>
      <c r="J438" s="12">
        <f>_xlfn.XLOOKUP(Input_Table[[#This Row],[INVOICE ID]],'SuperMarket Analysis'!A:A,'SuperMarket Analysis'!N:N)</f>
        <v>331.72</v>
      </c>
      <c r="K438" s="12">
        <f>_xlfn.XLOOKUP(Input_Table[[#This Row],[INVOICE ID]],'SuperMarket Analysis'!A:A,'SuperMarket Analysis'!J:J)</f>
        <v>348.30599999999998</v>
      </c>
      <c r="L438" s="6">
        <f>DAY(Input_Table[[#This Row],[DATE]])</f>
        <v>25</v>
      </c>
      <c r="M438" s="6" t="str">
        <f>TEXT(Input_Table[[#This Row],[DATE]],"mmmm")</f>
        <v>March</v>
      </c>
      <c r="N438" s="6">
        <f>YEAR(Input_Table[[#This Row],[DATE]])</f>
        <v>2019</v>
      </c>
    </row>
    <row r="439" spans="1:14" x14ac:dyDescent="0.3">
      <c r="A439" s="2">
        <f>_xlfn.XLOOKUP(B439,SuperMarket_Analysis[Invoice ID],SuperMarket_Analysis[Date])</f>
        <v>43496</v>
      </c>
      <c r="B439" s="6" t="s">
        <v>470</v>
      </c>
      <c r="C439" s="7">
        <f>_xlfn.XLOOKUP(B439,SuperMarket_Analysis[Invoice ID],SuperMarket_Analysis[Quantity])</f>
        <v>6</v>
      </c>
      <c r="D439" s="6" t="str">
        <f>_xlfn.XLOOKUP('Input data'!B439,'SuperMarket Analysis'!A:A,'SuperMarket Analysis'!F:F)</f>
        <v>Home and lifestyle</v>
      </c>
      <c r="E439" s="6" t="str">
        <f>_xlfn.XLOOKUP(B439,'SuperMarket Analysis'!A:A,'SuperMarket Analysis'!M:M)</f>
        <v>Credit card</v>
      </c>
      <c r="F439" s="6">
        <f>0.05*Input_Table[[#This Row],[TOTAL C.O.G.S]]</f>
        <v>10.197000000000001</v>
      </c>
      <c r="G439" s="6" t="str">
        <f>_xlfn.XLOOKUP(Input_Table[[#This Row],[INVOICE ID]],'SuperMarket Analysis'!A:A,'SuperMarket Analysis'!B:B)</f>
        <v>Alex</v>
      </c>
      <c r="H439" s="6" t="str">
        <f>_xlfn.XLOOKUP(Input_Table[[#This Row],[INVOICE ID]],'SuperMarket Analysis'!A:A,'SuperMarket Analysis'!F:F)</f>
        <v>Home and lifestyle</v>
      </c>
      <c r="I439" s="12">
        <f>_xlfn.XLOOKUP(Input_Table[[#This Row],[INVOICE ID]],'SuperMarket Analysis'!A:A,'SuperMarket Analysis'!G:G)</f>
        <v>33.99</v>
      </c>
      <c r="J439" s="12">
        <f>_xlfn.XLOOKUP(Input_Table[[#This Row],[INVOICE ID]],'SuperMarket Analysis'!A:A,'SuperMarket Analysis'!N:N)</f>
        <v>203.94</v>
      </c>
      <c r="K439" s="12">
        <f>_xlfn.XLOOKUP(Input_Table[[#This Row],[INVOICE ID]],'SuperMarket Analysis'!A:A,'SuperMarket Analysis'!J:J)</f>
        <v>214.137</v>
      </c>
      <c r="L439" s="6">
        <f>DAY(Input_Table[[#This Row],[DATE]])</f>
        <v>31</v>
      </c>
      <c r="M439" s="6" t="str">
        <f>TEXT(Input_Table[[#This Row],[DATE]],"mmmm")</f>
        <v>January</v>
      </c>
      <c r="N439" s="6">
        <f>YEAR(Input_Table[[#This Row],[DATE]])</f>
        <v>2019</v>
      </c>
    </row>
    <row r="440" spans="1:14" x14ac:dyDescent="0.3">
      <c r="A440" s="2">
        <f>_xlfn.XLOOKUP(B440,SuperMarket_Analysis[Invoice ID],SuperMarket_Analysis[Date])</f>
        <v>43485</v>
      </c>
      <c r="B440" s="6" t="s">
        <v>471</v>
      </c>
      <c r="C440" s="7">
        <f>_xlfn.XLOOKUP(B440,SuperMarket_Analysis[Invoice ID],SuperMarket_Analysis[Quantity])</f>
        <v>4</v>
      </c>
      <c r="D440" s="6" t="str">
        <f>_xlfn.XLOOKUP('Input data'!B440,'SuperMarket Analysis'!A:A,'SuperMarket Analysis'!F:F)</f>
        <v>Food and beverages</v>
      </c>
      <c r="E440" s="6" t="str">
        <f>_xlfn.XLOOKUP(B440,'SuperMarket Analysis'!A:A,'SuperMarket Analysis'!M:M)</f>
        <v>Ewallet</v>
      </c>
      <c r="F440" s="6">
        <f>0.05*Input_Table[[#This Row],[TOTAL C.O.G.S]]</f>
        <v>3.4079999999999999</v>
      </c>
      <c r="G440" s="6" t="str">
        <f>_xlfn.XLOOKUP(Input_Table[[#This Row],[INVOICE ID]],'SuperMarket Analysis'!A:A,'SuperMarket Analysis'!B:B)</f>
        <v>Giza</v>
      </c>
      <c r="H440" s="6" t="str">
        <f>_xlfn.XLOOKUP(Input_Table[[#This Row],[INVOICE ID]],'SuperMarket Analysis'!A:A,'SuperMarket Analysis'!F:F)</f>
        <v>Food and beverages</v>
      </c>
      <c r="I440" s="12">
        <f>_xlfn.XLOOKUP(Input_Table[[#This Row],[INVOICE ID]],'SuperMarket Analysis'!A:A,'SuperMarket Analysis'!G:G)</f>
        <v>17.04</v>
      </c>
      <c r="J440" s="12">
        <f>_xlfn.XLOOKUP(Input_Table[[#This Row],[INVOICE ID]],'SuperMarket Analysis'!A:A,'SuperMarket Analysis'!N:N)</f>
        <v>68.16</v>
      </c>
      <c r="K440" s="12">
        <f>_xlfn.XLOOKUP(Input_Table[[#This Row],[INVOICE ID]],'SuperMarket Analysis'!A:A,'SuperMarket Analysis'!J:J)</f>
        <v>71.567999999999998</v>
      </c>
      <c r="L440" s="6">
        <f>DAY(Input_Table[[#This Row],[DATE]])</f>
        <v>20</v>
      </c>
      <c r="M440" s="6" t="str">
        <f>TEXT(Input_Table[[#This Row],[DATE]],"mmmm")</f>
        <v>January</v>
      </c>
      <c r="N440" s="6">
        <f>YEAR(Input_Table[[#This Row],[DATE]])</f>
        <v>2019</v>
      </c>
    </row>
    <row r="441" spans="1:14" x14ac:dyDescent="0.3">
      <c r="A441" s="2">
        <f>_xlfn.XLOOKUP(B441,SuperMarket_Analysis[Invoice ID],SuperMarket_Analysis[Date])</f>
        <v>43550</v>
      </c>
      <c r="B441" s="6" t="s">
        <v>472</v>
      </c>
      <c r="C441" s="7">
        <f>_xlfn.XLOOKUP(B441,SuperMarket_Analysis[Invoice ID],SuperMarket_Analysis[Quantity])</f>
        <v>8</v>
      </c>
      <c r="D441" s="6" t="str">
        <f>_xlfn.XLOOKUP('Input data'!B441,'SuperMarket Analysis'!A:A,'SuperMarket Analysis'!F:F)</f>
        <v>Electronic accessories</v>
      </c>
      <c r="E441" s="6" t="str">
        <f>_xlfn.XLOOKUP(B441,'SuperMarket Analysis'!A:A,'SuperMarket Analysis'!M:M)</f>
        <v>Credit card</v>
      </c>
      <c r="F441" s="6">
        <f>0.05*Input_Table[[#This Row],[TOTAL C.O.G.S]]</f>
        <v>16.344000000000001</v>
      </c>
      <c r="G441" s="6" t="str">
        <f>_xlfn.XLOOKUP(Input_Table[[#This Row],[INVOICE ID]],'SuperMarket Analysis'!A:A,'SuperMarket Analysis'!B:B)</f>
        <v>Giza</v>
      </c>
      <c r="H441" s="6" t="str">
        <f>_xlfn.XLOOKUP(Input_Table[[#This Row],[INVOICE ID]],'SuperMarket Analysis'!A:A,'SuperMarket Analysis'!F:F)</f>
        <v>Electronic accessories</v>
      </c>
      <c r="I441" s="12">
        <f>_xlfn.XLOOKUP(Input_Table[[#This Row],[INVOICE ID]],'SuperMarket Analysis'!A:A,'SuperMarket Analysis'!G:G)</f>
        <v>40.86</v>
      </c>
      <c r="J441" s="12">
        <f>_xlfn.XLOOKUP(Input_Table[[#This Row],[INVOICE ID]],'SuperMarket Analysis'!A:A,'SuperMarket Analysis'!N:N)</f>
        <v>326.88</v>
      </c>
      <c r="K441" s="12">
        <f>_xlfn.XLOOKUP(Input_Table[[#This Row],[INVOICE ID]],'SuperMarket Analysis'!A:A,'SuperMarket Analysis'!J:J)</f>
        <v>343.22399999999999</v>
      </c>
      <c r="L441" s="6">
        <f>DAY(Input_Table[[#This Row],[DATE]])</f>
        <v>26</v>
      </c>
      <c r="M441" s="6" t="str">
        <f>TEXT(Input_Table[[#This Row],[DATE]],"mmmm")</f>
        <v>March</v>
      </c>
      <c r="N441" s="6">
        <f>YEAR(Input_Table[[#This Row],[DATE]])</f>
        <v>2019</v>
      </c>
    </row>
    <row r="442" spans="1:14" x14ac:dyDescent="0.3">
      <c r="A442" s="2">
        <f>_xlfn.XLOOKUP(B442,SuperMarket_Analysis[Invoice ID],SuperMarket_Analysis[Date])</f>
        <v>43485</v>
      </c>
      <c r="B442" s="6" t="s">
        <v>473</v>
      </c>
      <c r="C442" s="7">
        <f>_xlfn.XLOOKUP(B442,SuperMarket_Analysis[Invoice ID],SuperMarket_Analysis[Quantity])</f>
        <v>5</v>
      </c>
      <c r="D442" s="6" t="str">
        <f>_xlfn.XLOOKUP('Input data'!B442,'SuperMarket Analysis'!A:A,'SuperMarket Analysis'!F:F)</f>
        <v>Food and beverages</v>
      </c>
      <c r="E442" s="6" t="str">
        <f>_xlfn.XLOOKUP(B442,'SuperMarket Analysis'!A:A,'SuperMarket Analysis'!M:M)</f>
        <v>Cash</v>
      </c>
      <c r="F442" s="6">
        <f>0.05*Input_Table[[#This Row],[TOTAL C.O.G.S]]</f>
        <v>4.3600000000000003</v>
      </c>
      <c r="G442" s="6" t="str">
        <f>_xlfn.XLOOKUP(Input_Table[[#This Row],[INVOICE ID]],'SuperMarket Analysis'!A:A,'SuperMarket Analysis'!B:B)</f>
        <v>Giza</v>
      </c>
      <c r="H442" s="6" t="str">
        <f>_xlfn.XLOOKUP(Input_Table[[#This Row],[INVOICE ID]],'SuperMarket Analysis'!A:A,'SuperMarket Analysis'!F:F)</f>
        <v>Food and beverages</v>
      </c>
      <c r="I442" s="12">
        <f>_xlfn.XLOOKUP(Input_Table[[#This Row],[INVOICE ID]],'SuperMarket Analysis'!A:A,'SuperMarket Analysis'!G:G)</f>
        <v>17.440000000000001</v>
      </c>
      <c r="J442" s="12">
        <f>_xlfn.XLOOKUP(Input_Table[[#This Row],[INVOICE ID]],'SuperMarket Analysis'!A:A,'SuperMarket Analysis'!N:N)</f>
        <v>87.2</v>
      </c>
      <c r="K442" s="12">
        <f>_xlfn.XLOOKUP(Input_Table[[#This Row],[INVOICE ID]],'SuperMarket Analysis'!A:A,'SuperMarket Analysis'!J:J)</f>
        <v>91.56</v>
      </c>
      <c r="L442" s="6">
        <f>DAY(Input_Table[[#This Row],[DATE]])</f>
        <v>20</v>
      </c>
      <c r="M442" s="6" t="str">
        <f>TEXT(Input_Table[[#This Row],[DATE]],"mmmm")</f>
        <v>January</v>
      </c>
      <c r="N442" s="6">
        <f>YEAR(Input_Table[[#This Row],[DATE]])</f>
        <v>2019</v>
      </c>
    </row>
    <row r="443" spans="1:14" x14ac:dyDescent="0.3">
      <c r="A443" s="2">
        <f>_xlfn.XLOOKUP(B443,SuperMarket_Analysis[Invoice ID],SuperMarket_Analysis[Date])</f>
        <v>43509</v>
      </c>
      <c r="B443" s="6" t="s">
        <v>474</v>
      </c>
      <c r="C443" s="7">
        <f>_xlfn.XLOOKUP(B443,SuperMarket_Analysis[Invoice ID],SuperMarket_Analysis[Quantity])</f>
        <v>8</v>
      </c>
      <c r="D443" s="6" t="str">
        <f>_xlfn.XLOOKUP('Input data'!B443,'SuperMarket Analysis'!A:A,'SuperMarket Analysis'!F:F)</f>
        <v>Sports and travel</v>
      </c>
      <c r="E443" s="6" t="str">
        <f>_xlfn.XLOOKUP(B443,'SuperMarket Analysis'!A:A,'SuperMarket Analysis'!M:M)</f>
        <v>Credit card</v>
      </c>
      <c r="F443" s="6">
        <f>0.05*Input_Table[[#This Row],[TOTAL C.O.G.S]]</f>
        <v>35.372000000000007</v>
      </c>
      <c r="G443" s="6" t="str">
        <f>_xlfn.XLOOKUP(Input_Table[[#This Row],[INVOICE ID]],'SuperMarket Analysis'!A:A,'SuperMarket Analysis'!B:B)</f>
        <v>Cairo</v>
      </c>
      <c r="H443" s="6" t="str">
        <f>_xlfn.XLOOKUP(Input_Table[[#This Row],[INVOICE ID]],'SuperMarket Analysis'!A:A,'SuperMarket Analysis'!F:F)</f>
        <v>Sports and travel</v>
      </c>
      <c r="I443" s="12">
        <f>_xlfn.XLOOKUP(Input_Table[[#This Row],[INVOICE ID]],'SuperMarket Analysis'!A:A,'SuperMarket Analysis'!G:G)</f>
        <v>88.43</v>
      </c>
      <c r="J443" s="12">
        <f>_xlfn.XLOOKUP(Input_Table[[#This Row],[INVOICE ID]],'SuperMarket Analysis'!A:A,'SuperMarket Analysis'!N:N)</f>
        <v>707.44</v>
      </c>
      <c r="K443" s="12">
        <f>_xlfn.XLOOKUP(Input_Table[[#This Row],[INVOICE ID]],'SuperMarket Analysis'!A:A,'SuperMarket Analysis'!J:J)</f>
        <v>742.81200000000001</v>
      </c>
      <c r="L443" s="6">
        <f>DAY(Input_Table[[#This Row],[DATE]])</f>
        <v>13</v>
      </c>
      <c r="M443" s="6" t="str">
        <f>TEXT(Input_Table[[#This Row],[DATE]],"mmmm")</f>
        <v>February</v>
      </c>
      <c r="N443" s="6">
        <f>YEAR(Input_Table[[#This Row],[DATE]])</f>
        <v>2019</v>
      </c>
    </row>
    <row r="444" spans="1:14" x14ac:dyDescent="0.3">
      <c r="A444" s="2">
        <f>_xlfn.XLOOKUP(B444,SuperMarket_Analysis[Invoice ID],SuperMarket_Analysis[Date])</f>
        <v>43540</v>
      </c>
      <c r="B444" s="6" t="s">
        <v>475</v>
      </c>
      <c r="C444" s="7">
        <f>_xlfn.XLOOKUP(B444,SuperMarket_Analysis[Invoice ID],SuperMarket_Analysis[Quantity])</f>
        <v>9</v>
      </c>
      <c r="D444" s="6" t="str">
        <f>_xlfn.XLOOKUP('Input data'!B444,'SuperMarket Analysis'!A:A,'SuperMarket Analysis'!F:F)</f>
        <v>Home and lifestyle</v>
      </c>
      <c r="E444" s="6" t="str">
        <f>_xlfn.XLOOKUP(B444,'SuperMarket Analysis'!A:A,'SuperMarket Analysis'!M:M)</f>
        <v>Credit card</v>
      </c>
      <c r="F444" s="6">
        <f>0.05*Input_Table[[#This Row],[TOTAL C.O.G.S]]</f>
        <v>40.144500000000001</v>
      </c>
      <c r="G444" s="6" t="str">
        <f>_xlfn.XLOOKUP(Input_Table[[#This Row],[INVOICE ID]],'SuperMarket Analysis'!A:A,'SuperMarket Analysis'!B:B)</f>
        <v>Alex</v>
      </c>
      <c r="H444" s="6" t="str">
        <f>_xlfn.XLOOKUP(Input_Table[[#This Row],[INVOICE ID]],'SuperMarket Analysis'!A:A,'SuperMarket Analysis'!F:F)</f>
        <v>Home and lifestyle</v>
      </c>
      <c r="I444" s="12">
        <f>_xlfn.XLOOKUP(Input_Table[[#This Row],[INVOICE ID]],'SuperMarket Analysis'!A:A,'SuperMarket Analysis'!G:G)</f>
        <v>89.21</v>
      </c>
      <c r="J444" s="12">
        <f>_xlfn.XLOOKUP(Input_Table[[#This Row],[INVOICE ID]],'SuperMarket Analysis'!A:A,'SuperMarket Analysis'!N:N)</f>
        <v>802.89</v>
      </c>
      <c r="K444" s="12">
        <f>_xlfn.XLOOKUP(Input_Table[[#This Row],[INVOICE ID]],'SuperMarket Analysis'!A:A,'SuperMarket Analysis'!J:J)</f>
        <v>843.03449999999998</v>
      </c>
      <c r="L444" s="6">
        <f>DAY(Input_Table[[#This Row],[DATE]])</f>
        <v>16</v>
      </c>
      <c r="M444" s="6" t="str">
        <f>TEXT(Input_Table[[#This Row],[DATE]],"mmmm")</f>
        <v>March</v>
      </c>
      <c r="N444" s="6">
        <f>YEAR(Input_Table[[#This Row],[DATE]])</f>
        <v>2019</v>
      </c>
    </row>
    <row r="445" spans="1:14" x14ac:dyDescent="0.3">
      <c r="A445" s="2">
        <f>_xlfn.XLOOKUP(B445,SuperMarket_Analysis[Invoice ID],SuperMarket_Analysis[Date])</f>
        <v>43480</v>
      </c>
      <c r="B445" s="6" t="s">
        <v>476</v>
      </c>
      <c r="C445" s="7">
        <f>_xlfn.XLOOKUP(B445,SuperMarket_Analysis[Invoice ID],SuperMarket_Analysis[Quantity])</f>
        <v>1</v>
      </c>
      <c r="D445" s="6" t="str">
        <f>_xlfn.XLOOKUP('Input data'!B445,'SuperMarket Analysis'!A:A,'SuperMarket Analysis'!F:F)</f>
        <v>Fashion accessories</v>
      </c>
      <c r="E445" s="6" t="str">
        <f>_xlfn.XLOOKUP(B445,'SuperMarket Analysis'!A:A,'SuperMarket Analysis'!M:M)</f>
        <v>Ewallet</v>
      </c>
      <c r="F445" s="6">
        <f>0.05*Input_Table[[#This Row],[TOTAL C.O.G.S]]</f>
        <v>0.63900000000000001</v>
      </c>
      <c r="G445" s="6" t="str">
        <f>_xlfn.XLOOKUP(Input_Table[[#This Row],[INVOICE ID]],'SuperMarket Analysis'!A:A,'SuperMarket Analysis'!B:B)</f>
        <v>Giza</v>
      </c>
      <c r="H445" s="6" t="str">
        <f>_xlfn.XLOOKUP(Input_Table[[#This Row],[INVOICE ID]],'SuperMarket Analysis'!A:A,'SuperMarket Analysis'!F:F)</f>
        <v>Fashion accessories</v>
      </c>
      <c r="I445" s="12">
        <f>_xlfn.XLOOKUP(Input_Table[[#This Row],[INVOICE ID]],'SuperMarket Analysis'!A:A,'SuperMarket Analysis'!G:G)</f>
        <v>12.78</v>
      </c>
      <c r="J445" s="12">
        <f>_xlfn.XLOOKUP(Input_Table[[#This Row],[INVOICE ID]],'SuperMarket Analysis'!A:A,'SuperMarket Analysis'!N:N)</f>
        <v>12.78</v>
      </c>
      <c r="K445" s="12">
        <f>_xlfn.XLOOKUP(Input_Table[[#This Row],[INVOICE ID]],'SuperMarket Analysis'!A:A,'SuperMarket Analysis'!J:J)</f>
        <v>13.419</v>
      </c>
      <c r="L445" s="6">
        <f>DAY(Input_Table[[#This Row],[DATE]])</f>
        <v>15</v>
      </c>
      <c r="M445" s="6" t="str">
        <f>TEXT(Input_Table[[#This Row],[DATE]],"mmmm")</f>
        <v>January</v>
      </c>
      <c r="N445" s="6">
        <f>YEAR(Input_Table[[#This Row],[DATE]])</f>
        <v>2019</v>
      </c>
    </row>
    <row r="446" spans="1:14" x14ac:dyDescent="0.3">
      <c r="A446" s="2">
        <f>_xlfn.XLOOKUP(B446,SuperMarket_Analysis[Invoice ID],SuperMarket_Analysis[Date])</f>
        <v>43522</v>
      </c>
      <c r="B446" s="6" t="s">
        <v>477</v>
      </c>
      <c r="C446" s="7">
        <f>_xlfn.XLOOKUP(B446,SuperMarket_Analysis[Invoice ID],SuperMarket_Analysis[Quantity])</f>
        <v>7</v>
      </c>
      <c r="D446" s="6" t="str">
        <f>_xlfn.XLOOKUP('Input data'!B446,'SuperMarket Analysis'!A:A,'SuperMarket Analysis'!F:F)</f>
        <v>Sports and travel</v>
      </c>
      <c r="E446" s="6" t="str">
        <f>_xlfn.XLOOKUP(B446,'SuperMarket Analysis'!A:A,'SuperMarket Analysis'!M:M)</f>
        <v>Cash</v>
      </c>
      <c r="F446" s="6">
        <f>0.05*Input_Table[[#This Row],[TOTAL C.O.G.S]]</f>
        <v>6.6849999999999996</v>
      </c>
      <c r="G446" s="6" t="str">
        <f>_xlfn.XLOOKUP(Input_Table[[#This Row],[INVOICE ID]],'SuperMarket Analysis'!A:A,'SuperMarket Analysis'!B:B)</f>
        <v>Alex</v>
      </c>
      <c r="H446" s="6" t="str">
        <f>_xlfn.XLOOKUP(Input_Table[[#This Row],[INVOICE ID]],'SuperMarket Analysis'!A:A,'SuperMarket Analysis'!F:F)</f>
        <v>Sports and travel</v>
      </c>
      <c r="I446" s="12">
        <f>_xlfn.XLOOKUP(Input_Table[[#This Row],[INVOICE ID]],'SuperMarket Analysis'!A:A,'SuperMarket Analysis'!G:G)</f>
        <v>19.100000000000001</v>
      </c>
      <c r="J446" s="12">
        <f>_xlfn.XLOOKUP(Input_Table[[#This Row],[INVOICE ID]],'SuperMarket Analysis'!A:A,'SuperMarket Analysis'!N:N)</f>
        <v>133.69999999999999</v>
      </c>
      <c r="K446" s="12">
        <f>_xlfn.XLOOKUP(Input_Table[[#This Row],[INVOICE ID]],'SuperMarket Analysis'!A:A,'SuperMarket Analysis'!J:J)</f>
        <v>140.38499999999999</v>
      </c>
      <c r="L446" s="6">
        <f>DAY(Input_Table[[#This Row],[DATE]])</f>
        <v>26</v>
      </c>
      <c r="M446" s="6" t="str">
        <f>TEXT(Input_Table[[#This Row],[DATE]],"mmmm")</f>
        <v>February</v>
      </c>
      <c r="N446" s="6">
        <f>YEAR(Input_Table[[#This Row],[DATE]])</f>
        <v>2019</v>
      </c>
    </row>
    <row r="447" spans="1:14" x14ac:dyDescent="0.3">
      <c r="A447" s="2">
        <f>_xlfn.XLOOKUP(B447,SuperMarket_Analysis[Invoice ID],SuperMarket_Analysis[Date])</f>
        <v>43523</v>
      </c>
      <c r="B447" s="6" t="s">
        <v>478</v>
      </c>
      <c r="C447" s="7">
        <f>_xlfn.XLOOKUP(B447,SuperMarket_Analysis[Invoice ID],SuperMarket_Analysis[Quantity])</f>
        <v>1</v>
      </c>
      <c r="D447" s="6" t="str">
        <f>_xlfn.XLOOKUP('Input data'!B447,'SuperMarket Analysis'!A:A,'SuperMarket Analysis'!F:F)</f>
        <v>Health and beauty</v>
      </c>
      <c r="E447" s="6" t="str">
        <f>_xlfn.XLOOKUP(B447,'SuperMarket Analysis'!A:A,'SuperMarket Analysis'!M:M)</f>
        <v>Credit card</v>
      </c>
      <c r="F447" s="6">
        <f>0.05*Input_Table[[#This Row],[TOTAL C.O.G.S]]</f>
        <v>0.95750000000000002</v>
      </c>
      <c r="G447" s="6" t="str">
        <f>_xlfn.XLOOKUP(Input_Table[[#This Row],[INVOICE ID]],'SuperMarket Analysis'!A:A,'SuperMarket Analysis'!B:B)</f>
        <v>Cairo</v>
      </c>
      <c r="H447" s="6" t="str">
        <f>_xlfn.XLOOKUP(Input_Table[[#This Row],[INVOICE ID]],'SuperMarket Analysis'!A:A,'SuperMarket Analysis'!F:F)</f>
        <v>Health and beauty</v>
      </c>
      <c r="I447" s="12">
        <f>_xlfn.XLOOKUP(Input_Table[[#This Row],[INVOICE ID]],'SuperMarket Analysis'!A:A,'SuperMarket Analysis'!G:G)</f>
        <v>19.149999999999999</v>
      </c>
      <c r="J447" s="12">
        <f>_xlfn.XLOOKUP(Input_Table[[#This Row],[INVOICE ID]],'SuperMarket Analysis'!A:A,'SuperMarket Analysis'!N:N)</f>
        <v>19.149999999999999</v>
      </c>
      <c r="K447" s="12">
        <f>_xlfn.XLOOKUP(Input_Table[[#This Row],[INVOICE ID]],'SuperMarket Analysis'!A:A,'SuperMarket Analysis'!J:J)</f>
        <v>20.107500000000002</v>
      </c>
      <c r="L447" s="6">
        <f>DAY(Input_Table[[#This Row],[DATE]])</f>
        <v>27</v>
      </c>
      <c r="M447" s="6" t="str">
        <f>TEXT(Input_Table[[#This Row],[DATE]],"mmmm")</f>
        <v>February</v>
      </c>
      <c r="N447" s="6">
        <f>YEAR(Input_Table[[#This Row],[DATE]])</f>
        <v>2019</v>
      </c>
    </row>
    <row r="448" spans="1:14" x14ac:dyDescent="0.3">
      <c r="A448" s="2">
        <f>_xlfn.XLOOKUP(B448,SuperMarket_Analysis[Invoice ID],SuperMarket_Analysis[Date])</f>
        <v>43513</v>
      </c>
      <c r="B448" s="6" t="s">
        <v>479</v>
      </c>
      <c r="C448" s="7">
        <f>_xlfn.XLOOKUP(B448,SuperMarket_Analysis[Invoice ID],SuperMarket_Analysis[Quantity])</f>
        <v>10</v>
      </c>
      <c r="D448" s="6" t="str">
        <f>_xlfn.XLOOKUP('Input data'!B448,'SuperMarket Analysis'!A:A,'SuperMarket Analysis'!F:F)</f>
        <v>Food and beverages</v>
      </c>
      <c r="E448" s="6" t="str">
        <f>_xlfn.XLOOKUP(B448,'SuperMarket Analysis'!A:A,'SuperMarket Analysis'!M:M)</f>
        <v>Credit card</v>
      </c>
      <c r="F448" s="6">
        <f>0.05*Input_Table[[#This Row],[TOTAL C.O.G.S]]</f>
        <v>13.830000000000002</v>
      </c>
      <c r="G448" s="6" t="str">
        <f>_xlfn.XLOOKUP(Input_Table[[#This Row],[INVOICE ID]],'SuperMarket Analysis'!A:A,'SuperMarket Analysis'!B:B)</f>
        <v>Giza</v>
      </c>
      <c r="H448" s="6" t="str">
        <f>_xlfn.XLOOKUP(Input_Table[[#This Row],[INVOICE ID]],'SuperMarket Analysis'!A:A,'SuperMarket Analysis'!F:F)</f>
        <v>Food and beverages</v>
      </c>
      <c r="I448" s="12">
        <f>_xlfn.XLOOKUP(Input_Table[[#This Row],[INVOICE ID]],'SuperMarket Analysis'!A:A,'SuperMarket Analysis'!G:G)</f>
        <v>27.66</v>
      </c>
      <c r="J448" s="12">
        <f>_xlfn.XLOOKUP(Input_Table[[#This Row],[INVOICE ID]],'SuperMarket Analysis'!A:A,'SuperMarket Analysis'!N:N)</f>
        <v>276.60000000000002</v>
      </c>
      <c r="K448" s="12">
        <f>_xlfn.XLOOKUP(Input_Table[[#This Row],[INVOICE ID]],'SuperMarket Analysis'!A:A,'SuperMarket Analysis'!J:J)</f>
        <v>290.43</v>
      </c>
      <c r="L448" s="6">
        <f>DAY(Input_Table[[#This Row],[DATE]])</f>
        <v>17</v>
      </c>
      <c r="M448" s="6" t="str">
        <f>TEXT(Input_Table[[#This Row],[DATE]],"mmmm")</f>
        <v>February</v>
      </c>
      <c r="N448" s="6">
        <f>YEAR(Input_Table[[#This Row],[DATE]])</f>
        <v>2019</v>
      </c>
    </row>
    <row r="449" spans="1:14" x14ac:dyDescent="0.3">
      <c r="A449" s="2">
        <f>_xlfn.XLOOKUP(B449,SuperMarket_Analysis[Invoice ID],SuperMarket_Analysis[Date])</f>
        <v>43482</v>
      </c>
      <c r="B449" s="6" t="s">
        <v>480</v>
      </c>
      <c r="C449" s="7">
        <f>_xlfn.XLOOKUP(B449,SuperMarket_Analysis[Invoice ID],SuperMarket_Analysis[Quantity])</f>
        <v>3</v>
      </c>
      <c r="D449" s="6" t="str">
        <f>_xlfn.XLOOKUP('Input data'!B449,'SuperMarket Analysis'!A:A,'SuperMarket Analysis'!F:F)</f>
        <v>Fashion accessories</v>
      </c>
      <c r="E449" s="6" t="str">
        <f>_xlfn.XLOOKUP(B449,'SuperMarket Analysis'!A:A,'SuperMarket Analysis'!M:M)</f>
        <v>Credit card</v>
      </c>
      <c r="F449" s="6">
        <f>0.05*Input_Table[[#This Row],[TOTAL C.O.G.S]]</f>
        <v>6.8610000000000007</v>
      </c>
      <c r="G449" s="6" t="str">
        <f>_xlfn.XLOOKUP(Input_Table[[#This Row],[INVOICE ID]],'SuperMarket Analysis'!A:A,'SuperMarket Analysis'!B:B)</f>
        <v>Giza</v>
      </c>
      <c r="H449" s="6" t="str">
        <f>_xlfn.XLOOKUP(Input_Table[[#This Row],[INVOICE ID]],'SuperMarket Analysis'!A:A,'SuperMarket Analysis'!F:F)</f>
        <v>Fashion accessories</v>
      </c>
      <c r="I449" s="12">
        <f>_xlfn.XLOOKUP(Input_Table[[#This Row],[INVOICE ID]],'SuperMarket Analysis'!A:A,'SuperMarket Analysis'!G:G)</f>
        <v>45.74</v>
      </c>
      <c r="J449" s="12">
        <f>_xlfn.XLOOKUP(Input_Table[[#This Row],[INVOICE ID]],'SuperMarket Analysis'!A:A,'SuperMarket Analysis'!N:N)</f>
        <v>137.22</v>
      </c>
      <c r="K449" s="12">
        <f>_xlfn.XLOOKUP(Input_Table[[#This Row],[INVOICE ID]],'SuperMarket Analysis'!A:A,'SuperMarket Analysis'!J:J)</f>
        <v>144.08099999999999</v>
      </c>
      <c r="L449" s="6">
        <f>DAY(Input_Table[[#This Row],[DATE]])</f>
        <v>17</v>
      </c>
      <c r="M449" s="6" t="str">
        <f>TEXT(Input_Table[[#This Row],[DATE]],"mmmm")</f>
        <v>January</v>
      </c>
      <c r="N449" s="6">
        <f>YEAR(Input_Table[[#This Row],[DATE]])</f>
        <v>2019</v>
      </c>
    </row>
    <row r="450" spans="1:14" x14ac:dyDescent="0.3">
      <c r="A450" s="2">
        <f>_xlfn.XLOOKUP(B450,SuperMarket_Analysis[Invoice ID],SuperMarket_Analysis[Date])</f>
        <v>43487</v>
      </c>
      <c r="B450" s="6" t="s">
        <v>481</v>
      </c>
      <c r="C450" s="7">
        <f>_xlfn.XLOOKUP(B450,SuperMarket_Analysis[Invoice ID],SuperMarket_Analysis[Quantity])</f>
        <v>1</v>
      </c>
      <c r="D450" s="6" t="str">
        <f>_xlfn.XLOOKUP('Input data'!B450,'SuperMarket Analysis'!A:A,'SuperMarket Analysis'!F:F)</f>
        <v>Health and beauty</v>
      </c>
      <c r="E450" s="6" t="str">
        <f>_xlfn.XLOOKUP(B450,'SuperMarket Analysis'!A:A,'SuperMarket Analysis'!M:M)</f>
        <v>Credit card</v>
      </c>
      <c r="F450" s="6">
        <f>0.05*Input_Table[[#This Row],[TOTAL C.O.G.S]]</f>
        <v>1.3535000000000001</v>
      </c>
      <c r="G450" s="6" t="str">
        <f>_xlfn.XLOOKUP(Input_Table[[#This Row],[INVOICE ID]],'SuperMarket Analysis'!A:A,'SuperMarket Analysis'!B:B)</f>
        <v>Cairo</v>
      </c>
      <c r="H450" s="6" t="str">
        <f>_xlfn.XLOOKUP(Input_Table[[#This Row],[INVOICE ID]],'SuperMarket Analysis'!A:A,'SuperMarket Analysis'!F:F)</f>
        <v>Health and beauty</v>
      </c>
      <c r="I450" s="12">
        <f>_xlfn.XLOOKUP(Input_Table[[#This Row],[INVOICE ID]],'SuperMarket Analysis'!A:A,'SuperMarket Analysis'!G:G)</f>
        <v>27.07</v>
      </c>
      <c r="J450" s="12">
        <f>_xlfn.XLOOKUP(Input_Table[[#This Row],[INVOICE ID]],'SuperMarket Analysis'!A:A,'SuperMarket Analysis'!N:N)</f>
        <v>27.07</v>
      </c>
      <c r="K450" s="12">
        <f>_xlfn.XLOOKUP(Input_Table[[#This Row],[INVOICE ID]],'SuperMarket Analysis'!A:A,'SuperMarket Analysis'!J:J)</f>
        <v>28.423500000000001</v>
      </c>
      <c r="L450" s="6">
        <f>DAY(Input_Table[[#This Row],[DATE]])</f>
        <v>22</v>
      </c>
      <c r="M450" s="6" t="str">
        <f>TEXT(Input_Table[[#This Row],[DATE]],"mmmm")</f>
        <v>January</v>
      </c>
      <c r="N450" s="6">
        <f>YEAR(Input_Table[[#This Row],[DATE]])</f>
        <v>2019</v>
      </c>
    </row>
    <row r="451" spans="1:14" x14ac:dyDescent="0.3">
      <c r="A451" s="2">
        <f>_xlfn.XLOOKUP(B451,SuperMarket_Analysis[Invoice ID],SuperMarket_Analysis[Date])</f>
        <v>43544</v>
      </c>
      <c r="B451" s="6" t="s">
        <v>482</v>
      </c>
      <c r="C451" s="7">
        <f>_xlfn.XLOOKUP(B451,SuperMarket_Analysis[Invoice ID],SuperMarket_Analysis[Quantity])</f>
        <v>1</v>
      </c>
      <c r="D451" s="6" t="str">
        <f>_xlfn.XLOOKUP('Input data'!B451,'SuperMarket Analysis'!A:A,'SuperMarket Analysis'!F:F)</f>
        <v>Sports and travel</v>
      </c>
      <c r="E451" s="6" t="str">
        <f>_xlfn.XLOOKUP(B451,'SuperMarket Analysis'!A:A,'SuperMarket Analysis'!M:M)</f>
        <v>Credit card</v>
      </c>
      <c r="F451" s="6">
        <f>0.05*Input_Table[[#This Row],[TOTAL C.O.G.S]]</f>
        <v>1.956</v>
      </c>
      <c r="G451" s="6" t="str">
        <f>_xlfn.XLOOKUP(Input_Table[[#This Row],[INVOICE ID]],'SuperMarket Analysis'!A:A,'SuperMarket Analysis'!B:B)</f>
        <v>Cairo</v>
      </c>
      <c r="H451" s="6" t="str">
        <f>_xlfn.XLOOKUP(Input_Table[[#This Row],[INVOICE ID]],'SuperMarket Analysis'!A:A,'SuperMarket Analysis'!F:F)</f>
        <v>Sports and travel</v>
      </c>
      <c r="I451" s="12">
        <f>_xlfn.XLOOKUP(Input_Table[[#This Row],[INVOICE ID]],'SuperMarket Analysis'!A:A,'SuperMarket Analysis'!G:G)</f>
        <v>39.119999999999997</v>
      </c>
      <c r="J451" s="12">
        <f>_xlfn.XLOOKUP(Input_Table[[#This Row],[INVOICE ID]],'SuperMarket Analysis'!A:A,'SuperMarket Analysis'!N:N)</f>
        <v>39.119999999999997</v>
      </c>
      <c r="K451" s="12">
        <f>_xlfn.XLOOKUP(Input_Table[[#This Row],[INVOICE ID]],'SuperMarket Analysis'!A:A,'SuperMarket Analysis'!J:J)</f>
        <v>41.076000000000001</v>
      </c>
      <c r="L451" s="6">
        <f>DAY(Input_Table[[#This Row],[DATE]])</f>
        <v>20</v>
      </c>
      <c r="M451" s="6" t="str">
        <f>TEXT(Input_Table[[#This Row],[DATE]],"mmmm")</f>
        <v>March</v>
      </c>
      <c r="N451" s="6">
        <f>YEAR(Input_Table[[#This Row],[DATE]])</f>
        <v>2019</v>
      </c>
    </row>
    <row r="452" spans="1:14" x14ac:dyDescent="0.3">
      <c r="A452" s="2">
        <f>_xlfn.XLOOKUP(B452,SuperMarket_Analysis[Invoice ID],SuperMarket_Analysis[Date])</f>
        <v>43496</v>
      </c>
      <c r="B452" s="6" t="s">
        <v>483</v>
      </c>
      <c r="C452" s="7">
        <f>_xlfn.XLOOKUP(B452,SuperMarket_Analysis[Invoice ID],SuperMarket_Analysis[Quantity])</f>
        <v>6</v>
      </c>
      <c r="D452" s="6" t="str">
        <f>_xlfn.XLOOKUP('Input data'!B452,'SuperMarket Analysis'!A:A,'SuperMarket Analysis'!F:F)</f>
        <v>Electronic accessories</v>
      </c>
      <c r="E452" s="6" t="str">
        <f>_xlfn.XLOOKUP(B452,'SuperMarket Analysis'!A:A,'SuperMarket Analysis'!M:M)</f>
        <v>Cash</v>
      </c>
      <c r="F452" s="6">
        <f>0.05*Input_Table[[#This Row],[TOTAL C.O.G.S]]</f>
        <v>22.413</v>
      </c>
      <c r="G452" s="6" t="str">
        <f>_xlfn.XLOOKUP(Input_Table[[#This Row],[INVOICE ID]],'SuperMarket Analysis'!A:A,'SuperMarket Analysis'!B:B)</f>
        <v>Cairo</v>
      </c>
      <c r="H452" s="6" t="str">
        <f>_xlfn.XLOOKUP(Input_Table[[#This Row],[INVOICE ID]],'SuperMarket Analysis'!A:A,'SuperMarket Analysis'!F:F)</f>
        <v>Electronic accessories</v>
      </c>
      <c r="I452" s="12">
        <f>_xlfn.XLOOKUP(Input_Table[[#This Row],[INVOICE ID]],'SuperMarket Analysis'!A:A,'SuperMarket Analysis'!G:G)</f>
        <v>74.709999999999994</v>
      </c>
      <c r="J452" s="12">
        <f>_xlfn.XLOOKUP(Input_Table[[#This Row],[INVOICE ID]],'SuperMarket Analysis'!A:A,'SuperMarket Analysis'!N:N)</f>
        <v>448.26</v>
      </c>
      <c r="K452" s="12">
        <f>_xlfn.XLOOKUP(Input_Table[[#This Row],[INVOICE ID]],'SuperMarket Analysis'!A:A,'SuperMarket Analysis'!J:J)</f>
        <v>470.673</v>
      </c>
      <c r="L452" s="6">
        <f>DAY(Input_Table[[#This Row],[DATE]])</f>
        <v>31</v>
      </c>
      <c r="M452" s="6" t="str">
        <f>TEXT(Input_Table[[#This Row],[DATE]],"mmmm")</f>
        <v>January</v>
      </c>
      <c r="N452" s="6">
        <f>YEAR(Input_Table[[#This Row],[DATE]])</f>
        <v>2019</v>
      </c>
    </row>
    <row r="453" spans="1:14" x14ac:dyDescent="0.3">
      <c r="A453" s="2">
        <f>_xlfn.XLOOKUP(B453,SuperMarket_Analysis[Invoice ID],SuperMarket_Analysis[Date])</f>
        <v>43515</v>
      </c>
      <c r="B453" s="6" t="s">
        <v>484</v>
      </c>
      <c r="C453" s="7">
        <f>_xlfn.XLOOKUP(B453,SuperMarket_Analysis[Invoice ID],SuperMarket_Analysis[Quantity])</f>
        <v>6</v>
      </c>
      <c r="D453" s="6" t="str">
        <f>_xlfn.XLOOKUP('Input data'!B453,'SuperMarket Analysis'!A:A,'SuperMarket Analysis'!F:F)</f>
        <v>Electronic accessories</v>
      </c>
      <c r="E453" s="6" t="str">
        <f>_xlfn.XLOOKUP(B453,'SuperMarket Analysis'!A:A,'SuperMarket Analysis'!M:M)</f>
        <v>Cash</v>
      </c>
      <c r="F453" s="6">
        <f>0.05*Input_Table[[#This Row],[TOTAL C.O.G.S]]</f>
        <v>6.6030000000000006</v>
      </c>
      <c r="G453" s="6" t="str">
        <f>_xlfn.XLOOKUP(Input_Table[[#This Row],[INVOICE ID]],'SuperMarket Analysis'!A:A,'SuperMarket Analysis'!B:B)</f>
        <v>Cairo</v>
      </c>
      <c r="H453" s="6" t="str">
        <f>_xlfn.XLOOKUP(Input_Table[[#This Row],[INVOICE ID]],'SuperMarket Analysis'!A:A,'SuperMarket Analysis'!F:F)</f>
        <v>Electronic accessories</v>
      </c>
      <c r="I453" s="12">
        <f>_xlfn.XLOOKUP(Input_Table[[#This Row],[INVOICE ID]],'SuperMarket Analysis'!A:A,'SuperMarket Analysis'!G:G)</f>
        <v>22.01</v>
      </c>
      <c r="J453" s="12">
        <f>_xlfn.XLOOKUP(Input_Table[[#This Row],[INVOICE ID]],'SuperMarket Analysis'!A:A,'SuperMarket Analysis'!N:N)</f>
        <v>132.06</v>
      </c>
      <c r="K453" s="12">
        <f>_xlfn.XLOOKUP(Input_Table[[#This Row],[INVOICE ID]],'SuperMarket Analysis'!A:A,'SuperMarket Analysis'!J:J)</f>
        <v>138.66300000000001</v>
      </c>
      <c r="L453" s="6">
        <f>DAY(Input_Table[[#This Row],[DATE]])</f>
        <v>19</v>
      </c>
      <c r="M453" s="6" t="str">
        <f>TEXT(Input_Table[[#This Row],[DATE]],"mmmm")</f>
        <v>February</v>
      </c>
      <c r="N453" s="6">
        <f>YEAR(Input_Table[[#This Row],[DATE]])</f>
        <v>2019</v>
      </c>
    </row>
    <row r="454" spans="1:14" x14ac:dyDescent="0.3">
      <c r="A454" s="2">
        <f>_xlfn.XLOOKUP(B454,SuperMarket_Analysis[Invoice ID],SuperMarket_Analysis[Date])</f>
        <v>43520</v>
      </c>
      <c r="B454" s="6" t="s">
        <v>485</v>
      </c>
      <c r="C454" s="7">
        <f>_xlfn.XLOOKUP(B454,SuperMarket_Analysis[Invoice ID],SuperMarket_Analysis[Quantity])</f>
        <v>5</v>
      </c>
      <c r="D454" s="6" t="str">
        <f>_xlfn.XLOOKUP('Input data'!B454,'SuperMarket Analysis'!A:A,'SuperMarket Analysis'!F:F)</f>
        <v>Food and beverages</v>
      </c>
      <c r="E454" s="6" t="str">
        <f>_xlfn.XLOOKUP(B454,'SuperMarket Analysis'!A:A,'SuperMarket Analysis'!M:M)</f>
        <v>Ewallet</v>
      </c>
      <c r="F454" s="6">
        <f>0.05*Input_Table[[#This Row],[TOTAL C.O.G.S]]</f>
        <v>15.902500000000002</v>
      </c>
      <c r="G454" s="6" t="str">
        <f>_xlfn.XLOOKUP(Input_Table[[#This Row],[INVOICE ID]],'SuperMarket Analysis'!A:A,'SuperMarket Analysis'!B:B)</f>
        <v>Alex</v>
      </c>
      <c r="H454" s="6" t="str">
        <f>_xlfn.XLOOKUP(Input_Table[[#This Row],[INVOICE ID]],'SuperMarket Analysis'!A:A,'SuperMarket Analysis'!F:F)</f>
        <v>Food and beverages</v>
      </c>
      <c r="I454" s="12">
        <f>_xlfn.XLOOKUP(Input_Table[[#This Row],[INVOICE ID]],'SuperMarket Analysis'!A:A,'SuperMarket Analysis'!G:G)</f>
        <v>63.61</v>
      </c>
      <c r="J454" s="12">
        <f>_xlfn.XLOOKUP(Input_Table[[#This Row],[INVOICE ID]],'SuperMarket Analysis'!A:A,'SuperMarket Analysis'!N:N)</f>
        <v>318.05</v>
      </c>
      <c r="K454" s="12">
        <f>_xlfn.XLOOKUP(Input_Table[[#This Row],[INVOICE ID]],'SuperMarket Analysis'!A:A,'SuperMarket Analysis'!J:J)</f>
        <v>333.95249999999999</v>
      </c>
      <c r="L454" s="6">
        <f>DAY(Input_Table[[#This Row],[DATE]])</f>
        <v>24</v>
      </c>
      <c r="M454" s="6" t="str">
        <f>TEXT(Input_Table[[#This Row],[DATE]],"mmmm")</f>
        <v>February</v>
      </c>
      <c r="N454" s="6">
        <f>YEAR(Input_Table[[#This Row],[DATE]])</f>
        <v>2019</v>
      </c>
    </row>
    <row r="455" spans="1:14" x14ac:dyDescent="0.3">
      <c r="A455" s="2">
        <f>_xlfn.XLOOKUP(B455,SuperMarket_Analysis[Invoice ID],SuperMarket_Analysis[Date])</f>
        <v>43515</v>
      </c>
      <c r="B455" s="6" t="s">
        <v>486</v>
      </c>
      <c r="C455" s="7">
        <f>_xlfn.XLOOKUP(B455,SuperMarket_Analysis[Invoice ID],SuperMarket_Analysis[Quantity])</f>
        <v>1</v>
      </c>
      <c r="D455" s="6" t="str">
        <f>_xlfn.XLOOKUP('Input data'!B455,'SuperMarket Analysis'!A:A,'SuperMarket Analysis'!F:F)</f>
        <v>Health and beauty</v>
      </c>
      <c r="E455" s="6" t="str">
        <f>_xlfn.XLOOKUP(B455,'SuperMarket Analysis'!A:A,'SuperMarket Analysis'!M:M)</f>
        <v>Ewallet</v>
      </c>
      <c r="F455" s="6">
        <f>0.05*Input_Table[[#This Row],[TOTAL C.O.G.S]]</f>
        <v>1.25</v>
      </c>
      <c r="G455" s="6" t="str">
        <f>_xlfn.XLOOKUP(Input_Table[[#This Row],[INVOICE ID]],'SuperMarket Analysis'!A:A,'SuperMarket Analysis'!B:B)</f>
        <v>Alex</v>
      </c>
      <c r="H455" s="6" t="str">
        <f>_xlfn.XLOOKUP(Input_Table[[#This Row],[INVOICE ID]],'SuperMarket Analysis'!A:A,'SuperMarket Analysis'!F:F)</f>
        <v>Health and beauty</v>
      </c>
      <c r="I455" s="12">
        <f>_xlfn.XLOOKUP(Input_Table[[#This Row],[INVOICE ID]],'SuperMarket Analysis'!A:A,'SuperMarket Analysis'!G:G)</f>
        <v>25</v>
      </c>
      <c r="J455" s="12">
        <f>_xlfn.XLOOKUP(Input_Table[[#This Row],[INVOICE ID]],'SuperMarket Analysis'!A:A,'SuperMarket Analysis'!N:N)</f>
        <v>25</v>
      </c>
      <c r="K455" s="12">
        <f>_xlfn.XLOOKUP(Input_Table[[#This Row],[INVOICE ID]],'SuperMarket Analysis'!A:A,'SuperMarket Analysis'!J:J)</f>
        <v>26.25</v>
      </c>
      <c r="L455" s="6">
        <f>DAY(Input_Table[[#This Row],[DATE]])</f>
        <v>19</v>
      </c>
      <c r="M455" s="6" t="str">
        <f>TEXT(Input_Table[[#This Row],[DATE]],"mmmm")</f>
        <v>February</v>
      </c>
      <c r="N455" s="6">
        <f>YEAR(Input_Table[[#This Row],[DATE]])</f>
        <v>2019</v>
      </c>
    </row>
    <row r="456" spans="1:14" x14ac:dyDescent="0.3">
      <c r="A456" s="2">
        <f>_xlfn.XLOOKUP(B456,SuperMarket_Analysis[Invoice ID],SuperMarket_Analysis[Date])</f>
        <v>43488</v>
      </c>
      <c r="B456" s="6" t="s">
        <v>487</v>
      </c>
      <c r="C456" s="7">
        <f>_xlfn.XLOOKUP(B456,SuperMarket_Analysis[Invoice ID],SuperMarket_Analysis[Quantity])</f>
        <v>4</v>
      </c>
      <c r="D456" s="6" t="str">
        <f>_xlfn.XLOOKUP('Input data'!B456,'SuperMarket Analysis'!A:A,'SuperMarket Analysis'!F:F)</f>
        <v>Electronic accessories</v>
      </c>
      <c r="E456" s="6" t="str">
        <f>_xlfn.XLOOKUP(B456,'SuperMarket Analysis'!A:A,'SuperMarket Analysis'!M:M)</f>
        <v>Cash</v>
      </c>
      <c r="F456" s="6">
        <f>0.05*Input_Table[[#This Row],[TOTAL C.O.G.S]]</f>
        <v>4.1539999999999999</v>
      </c>
      <c r="G456" s="6" t="str">
        <f>_xlfn.XLOOKUP(Input_Table[[#This Row],[INVOICE ID]],'SuperMarket Analysis'!A:A,'SuperMarket Analysis'!B:B)</f>
        <v>Alex</v>
      </c>
      <c r="H456" s="6" t="str">
        <f>_xlfn.XLOOKUP(Input_Table[[#This Row],[INVOICE ID]],'SuperMarket Analysis'!A:A,'SuperMarket Analysis'!F:F)</f>
        <v>Electronic accessories</v>
      </c>
      <c r="I456" s="12">
        <f>_xlfn.XLOOKUP(Input_Table[[#This Row],[INVOICE ID]],'SuperMarket Analysis'!A:A,'SuperMarket Analysis'!G:G)</f>
        <v>20.77</v>
      </c>
      <c r="J456" s="12">
        <f>_xlfn.XLOOKUP(Input_Table[[#This Row],[INVOICE ID]],'SuperMarket Analysis'!A:A,'SuperMarket Analysis'!N:N)</f>
        <v>83.08</v>
      </c>
      <c r="K456" s="12">
        <f>_xlfn.XLOOKUP(Input_Table[[#This Row],[INVOICE ID]],'SuperMarket Analysis'!A:A,'SuperMarket Analysis'!J:J)</f>
        <v>87.233999999999995</v>
      </c>
      <c r="L456" s="6">
        <f>DAY(Input_Table[[#This Row],[DATE]])</f>
        <v>23</v>
      </c>
      <c r="M456" s="6" t="str">
        <f>TEXT(Input_Table[[#This Row],[DATE]],"mmmm")</f>
        <v>January</v>
      </c>
      <c r="N456" s="6">
        <f>YEAR(Input_Table[[#This Row],[DATE]])</f>
        <v>2019</v>
      </c>
    </row>
    <row r="457" spans="1:14" x14ac:dyDescent="0.3">
      <c r="A457" s="2">
        <f>_xlfn.XLOOKUP(B457,SuperMarket_Analysis[Invoice ID],SuperMarket_Analysis[Date])</f>
        <v>43479</v>
      </c>
      <c r="B457" s="6" t="s">
        <v>488</v>
      </c>
      <c r="C457" s="7">
        <f>_xlfn.XLOOKUP(B457,SuperMarket_Analysis[Invoice ID],SuperMarket_Analysis[Quantity])</f>
        <v>5</v>
      </c>
      <c r="D457" s="6" t="str">
        <f>_xlfn.XLOOKUP('Input data'!B457,'SuperMarket Analysis'!A:A,'SuperMarket Analysis'!F:F)</f>
        <v>Fashion accessories</v>
      </c>
      <c r="E457" s="6" t="str">
        <f>_xlfn.XLOOKUP(B457,'SuperMarket Analysis'!A:A,'SuperMarket Analysis'!M:M)</f>
        <v>Cash</v>
      </c>
      <c r="F457" s="6">
        <f>0.05*Input_Table[[#This Row],[TOTAL C.O.G.S]]</f>
        <v>7.3900000000000006</v>
      </c>
      <c r="G457" s="6" t="str">
        <f>_xlfn.XLOOKUP(Input_Table[[#This Row],[INVOICE ID]],'SuperMarket Analysis'!A:A,'SuperMarket Analysis'!B:B)</f>
        <v>Cairo</v>
      </c>
      <c r="H457" s="6" t="str">
        <f>_xlfn.XLOOKUP(Input_Table[[#This Row],[INVOICE ID]],'SuperMarket Analysis'!A:A,'SuperMarket Analysis'!F:F)</f>
        <v>Fashion accessories</v>
      </c>
      <c r="I457" s="12">
        <f>_xlfn.XLOOKUP(Input_Table[[#This Row],[INVOICE ID]],'SuperMarket Analysis'!A:A,'SuperMarket Analysis'!G:G)</f>
        <v>29.56</v>
      </c>
      <c r="J457" s="12">
        <f>_xlfn.XLOOKUP(Input_Table[[#This Row],[INVOICE ID]],'SuperMarket Analysis'!A:A,'SuperMarket Analysis'!N:N)</f>
        <v>147.80000000000001</v>
      </c>
      <c r="K457" s="12">
        <f>_xlfn.XLOOKUP(Input_Table[[#This Row],[INVOICE ID]],'SuperMarket Analysis'!A:A,'SuperMarket Analysis'!J:J)</f>
        <v>155.19</v>
      </c>
      <c r="L457" s="6">
        <f>DAY(Input_Table[[#This Row],[DATE]])</f>
        <v>14</v>
      </c>
      <c r="M457" s="6" t="str">
        <f>TEXT(Input_Table[[#This Row],[DATE]],"mmmm")</f>
        <v>January</v>
      </c>
      <c r="N457" s="6">
        <f>YEAR(Input_Table[[#This Row],[DATE]])</f>
        <v>2019</v>
      </c>
    </row>
    <row r="458" spans="1:14" x14ac:dyDescent="0.3">
      <c r="A458" s="2">
        <f>_xlfn.XLOOKUP(B458,SuperMarket_Analysis[Invoice ID],SuperMarket_Analysis[Date])</f>
        <v>43482</v>
      </c>
      <c r="B458" s="6" t="s">
        <v>489</v>
      </c>
      <c r="C458" s="7">
        <f>_xlfn.XLOOKUP(B458,SuperMarket_Analysis[Invoice ID],SuperMarket_Analysis[Quantity])</f>
        <v>9</v>
      </c>
      <c r="D458" s="6" t="str">
        <f>_xlfn.XLOOKUP('Input data'!B458,'SuperMarket Analysis'!A:A,'SuperMarket Analysis'!F:F)</f>
        <v>Food and beverages</v>
      </c>
      <c r="E458" s="6" t="str">
        <f>_xlfn.XLOOKUP(B458,'SuperMarket Analysis'!A:A,'SuperMarket Analysis'!M:M)</f>
        <v>Credit card</v>
      </c>
      <c r="F458" s="6">
        <f>0.05*Input_Table[[#This Row],[TOTAL C.O.G.S]]</f>
        <v>34.830000000000005</v>
      </c>
      <c r="G458" s="6" t="str">
        <f>_xlfn.XLOOKUP(Input_Table[[#This Row],[INVOICE ID]],'SuperMarket Analysis'!A:A,'SuperMarket Analysis'!B:B)</f>
        <v>Cairo</v>
      </c>
      <c r="H458" s="6" t="str">
        <f>_xlfn.XLOOKUP(Input_Table[[#This Row],[INVOICE ID]],'SuperMarket Analysis'!A:A,'SuperMarket Analysis'!F:F)</f>
        <v>Food and beverages</v>
      </c>
      <c r="I458" s="12">
        <f>_xlfn.XLOOKUP(Input_Table[[#This Row],[INVOICE ID]],'SuperMarket Analysis'!A:A,'SuperMarket Analysis'!G:G)</f>
        <v>77.400000000000006</v>
      </c>
      <c r="J458" s="12">
        <f>_xlfn.XLOOKUP(Input_Table[[#This Row],[INVOICE ID]],'SuperMarket Analysis'!A:A,'SuperMarket Analysis'!N:N)</f>
        <v>696.6</v>
      </c>
      <c r="K458" s="12">
        <f>_xlfn.XLOOKUP(Input_Table[[#This Row],[INVOICE ID]],'SuperMarket Analysis'!A:A,'SuperMarket Analysis'!J:J)</f>
        <v>731.43</v>
      </c>
      <c r="L458" s="6">
        <f>DAY(Input_Table[[#This Row],[DATE]])</f>
        <v>17</v>
      </c>
      <c r="M458" s="6" t="str">
        <f>TEXT(Input_Table[[#This Row],[DATE]],"mmmm")</f>
        <v>January</v>
      </c>
      <c r="N458" s="6">
        <f>YEAR(Input_Table[[#This Row],[DATE]])</f>
        <v>2019</v>
      </c>
    </row>
    <row r="459" spans="1:14" x14ac:dyDescent="0.3">
      <c r="A459" s="2">
        <f>_xlfn.XLOOKUP(B459,SuperMarket_Analysis[Invoice ID],SuperMarket_Analysis[Date])</f>
        <v>43511</v>
      </c>
      <c r="B459" s="6" t="s">
        <v>490</v>
      </c>
      <c r="C459" s="7">
        <f>_xlfn.XLOOKUP(B459,SuperMarket_Analysis[Invoice ID],SuperMarket_Analysis[Quantity])</f>
        <v>10</v>
      </c>
      <c r="D459" s="6" t="str">
        <f>_xlfn.XLOOKUP('Input data'!B459,'SuperMarket Analysis'!A:A,'SuperMarket Analysis'!F:F)</f>
        <v>Electronic accessories</v>
      </c>
      <c r="E459" s="6" t="str">
        <f>_xlfn.XLOOKUP(B459,'SuperMarket Analysis'!A:A,'SuperMarket Analysis'!M:M)</f>
        <v>Cash</v>
      </c>
      <c r="F459" s="6">
        <f>0.05*Input_Table[[#This Row],[TOTAL C.O.G.S]]</f>
        <v>39.695</v>
      </c>
      <c r="G459" s="6" t="str">
        <f>_xlfn.XLOOKUP(Input_Table[[#This Row],[INVOICE ID]],'SuperMarket Analysis'!A:A,'SuperMarket Analysis'!B:B)</f>
        <v>Cairo</v>
      </c>
      <c r="H459" s="6" t="str">
        <f>_xlfn.XLOOKUP(Input_Table[[#This Row],[INVOICE ID]],'SuperMarket Analysis'!A:A,'SuperMarket Analysis'!F:F)</f>
        <v>Electronic accessories</v>
      </c>
      <c r="I459" s="12">
        <f>_xlfn.XLOOKUP(Input_Table[[#This Row],[INVOICE ID]],'SuperMarket Analysis'!A:A,'SuperMarket Analysis'!G:G)</f>
        <v>79.39</v>
      </c>
      <c r="J459" s="12">
        <f>_xlfn.XLOOKUP(Input_Table[[#This Row],[INVOICE ID]],'SuperMarket Analysis'!A:A,'SuperMarket Analysis'!N:N)</f>
        <v>793.9</v>
      </c>
      <c r="K459" s="12">
        <f>_xlfn.XLOOKUP(Input_Table[[#This Row],[INVOICE ID]],'SuperMarket Analysis'!A:A,'SuperMarket Analysis'!J:J)</f>
        <v>833.59500000000003</v>
      </c>
      <c r="L459" s="6">
        <f>DAY(Input_Table[[#This Row],[DATE]])</f>
        <v>15</v>
      </c>
      <c r="M459" s="6" t="str">
        <f>TEXT(Input_Table[[#This Row],[DATE]],"mmmm")</f>
        <v>February</v>
      </c>
      <c r="N459" s="6">
        <f>YEAR(Input_Table[[#This Row],[DATE]])</f>
        <v>2019</v>
      </c>
    </row>
    <row r="460" spans="1:14" x14ac:dyDescent="0.3">
      <c r="A460" s="2">
        <f>_xlfn.XLOOKUP(B460,SuperMarket_Analysis[Invoice ID],SuperMarket_Analysis[Date])</f>
        <v>43480</v>
      </c>
      <c r="B460" s="6" t="s">
        <v>491</v>
      </c>
      <c r="C460" s="7">
        <f>_xlfn.XLOOKUP(B460,SuperMarket_Analysis[Invoice ID],SuperMarket_Analysis[Quantity])</f>
        <v>10</v>
      </c>
      <c r="D460" s="6" t="str">
        <f>_xlfn.XLOOKUP('Input data'!B460,'SuperMarket Analysis'!A:A,'SuperMarket Analysis'!F:F)</f>
        <v>Electronic accessories</v>
      </c>
      <c r="E460" s="6" t="str">
        <f>_xlfn.XLOOKUP(B460,'SuperMarket Analysis'!A:A,'SuperMarket Analysis'!M:M)</f>
        <v>Cash</v>
      </c>
      <c r="F460" s="6">
        <f>0.05*Input_Table[[#This Row],[TOTAL C.O.G.S]]</f>
        <v>23.285</v>
      </c>
      <c r="G460" s="6" t="str">
        <f>_xlfn.XLOOKUP(Input_Table[[#This Row],[INVOICE ID]],'SuperMarket Analysis'!A:A,'SuperMarket Analysis'!B:B)</f>
        <v>Giza</v>
      </c>
      <c r="H460" s="6" t="str">
        <f>_xlfn.XLOOKUP(Input_Table[[#This Row],[INVOICE ID]],'SuperMarket Analysis'!A:A,'SuperMarket Analysis'!F:F)</f>
        <v>Electronic accessories</v>
      </c>
      <c r="I460" s="12">
        <f>_xlfn.XLOOKUP(Input_Table[[#This Row],[INVOICE ID]],'SuperMarket Analysis'!A:A,'SuperMarket Analysis'!G:G)</f>
        <v>46.57</v>
      </c>
      <c r="J460" s="12">
        <f>_xlfn.XLOOKUP(Input_Table[[#This Row],[INVOICE ID]],'SuperMarket Analysis'!A:A,'SuperMarket Analysis'!N:N)</f>
        <v>465.7</v>
      </c>
      <c r="K460" s="12">
        <f>_xlfn.XLOOKUP(Input_Table[[#This Row],[INVOICE ID]],'SuperMarket Analysis'!A:A,'SuperMarket Analysis'!J:J)</f>
        <v>488.98500000000001</v>
      </c>
      <c r="L460" s="6">
        <f>DAY(Input_Table[[#This Row],[DATE]])</f>
        <v>15</v>
      </c>
      <c r="M460" s="6" t="str">
        <f>TEXT(Input_Table[[#This Row],[DATE]],"mmmm")</f>
        <v>January</v>
      </c>
      <c r="N460" s="6">
        <f>YEAR(Input_Table[[#This Row],[DATE]])</f>
        <v>2019</v>
      </c>
    </row>
    <row r="461" spans="1:14" x14ac:dyDescent="0.3">
      <c r="A461" s="2">
        <f>_xlfn.XLOOKUP(B461,SuperMarket_Analysis[Invoice ID],SuperMarket_Analysis[Date])</f>
        <v>43523</v>
      </c>
      <c r="B461" s="6" t="s">
        <v>492</v>
      </c>
      <c r="C461" s="7">
        <f>_xlfn.XLOOKUP(B461,SuperMarket_Analysis[Invoice ID],SuperMarket_Analysis[Quantity])</f>
        <v>1</v>
      </c>
      <c r="D461" s="6" t="str">
        <f>_xlfn.XLOOKUP('Input data'!B461,'SuperMarket Analysis'!A:A,'SuperMarket Analysis'!F:F)</f>
        <v>Food and beverages</v>
      </c>
      <c r="E461" s="6" t="str">
        <f>_xlfn.XLOOKUP(B461,'SuperMarket Analysis'!A:A,'SuperMarket Analysis'!M:M)</f>
        <v>Credit card</v>
      </c>
      <c r="F461" s="6">
        <f>0.05*Input_Table[[#This Row],[TOTAL C.O.G.S]]</f>
        <v>1.7945000000000002</v>
      </c>
      <c r="G461" s="6" t="str">
        <f>_xlfn.XLOOKUP(Input_Table[[#This Row],[INVOICE ID]],'SuperMarket Analysis'!A:A,'SuperMarket Analysis'!B:B)</f>
        <v>Giza</v>
      </c>
      <c r="H461" s="6" t="str">
        <f>_xlfn.XLOOKUP(Input_Table[[#This Row],[INVOICE ID]],'SuperMarket Analysis'!A:A,'SuperMarket Analysis'!F:F)</f>
        <v>Food and beverages</v>
      </c>
      <c r="I461" s="12">
        <f>_xlfn.XLOOKUP(Input_Table[[#This Row],[INVOICE ID]],'SuperMarket Analysis'!A:A,'SuperMarket Analysis'!G:G)</f>
        <v>35.89</v>
      </c>
      <c r="J461" s="12">
        <f>_xlfn.XLOOKUP(Input_Table[[#This Row],[INVOICE ID]],'SuperMarket Analysis'!A:A,'SuperMarket Analysis'!N:N)</f>
        <v>35.89</v>
      </c>
      <c r="K461" s="12">
        <f>_xlfn.XLOOKUP(Input_Table[[#This Row],[INVOICE ID]],'SuperMarket Analysis'!A:A,'SuperMarket Analysis'!J:J)</f>
        <v>37.6845</v>
      </c>
      <c r="L461" s="6">
        <f>DAY(Input_Table[[#This Row],[DATE]])</f>
        <v>27</v>
      </c>
      <c r="M461" s="6" t="str">
        <f>TEXT(Input_Table[[#This Row],[DATE]],"mmmm")</f>
        <v>February</v>
      </c>
      <c r="N461" s="6">
        <f>YEAR(Input_Table[[#This Row],[DATE]])</f>
        <v>2019</v>
      </c>
    </row>
    <row r="462" spans="1:14" x14ac:dyDescent="0.3">
      <c r="A462" s="2">
        <f>_xlfn.XLOOKUP(B462,SuperMarket_Analysis[Invoice ID],SuperMarket_Analysis[Date])</f>
        <v>43522</v>
      </c>
      <c r="B462" s="6" t="s">
        <v>493</v>
      </c>
      <c r="C462" s="7">
        <f>_xlfn.XLOOKUP(B462,SuperMarket_Analysis[Invoice ID],SuperMarket_Analysis[Quantity])</f>
        <v>5</v>
      </c>
      <c r="D462" s="6" t="str">
        <f>_xlfn.XLOOKUP('Input data'!B462,'SuperMarket Analysis'!A:A,'SuperMarket Analysis'!F:F)</f>
        <v>Food and beverages</v>
      </c>
      <c r="E462" s="6" t="str">
        <f>_xlfn.XLOOKUP(B462,'SuperMarket Analysis'!A:A,'SuperMarket Analysis'!M:M)</f>
        <v>Cash</v>
      </c>
      <c r="F462" s="6">
        <f>0.05*Input_Table[[#This Row],[TOTAL C.O.G.S]]</f>
        <v>10.130000000000001</v>
      </c>
      <c r="G462" s="6" t="str">
        <f>_xlfn.XLOOKUP(Input_Table[[#This Row],[INVOICE ID]],'SuperMarket Analysis'!A:A,'SuperMarket Analysis'!B:B)</f>
        <v>Giza</v>
      </c>
      <c r="H462" s="6" t="str">
        <f>_xlfn.XLOOKUP(Input_Table[[#This Row],[INVOICE ID]],'SuperMarket Analysis'!A:A,'SuperMarket Analysis'!F:F)</f>
        <v>Food and beverages</v>
      </c>
      <c r="I462" s="12">
        <f>_xlfn.XLOOKUP(Input_Table[[#This Row],[INVOICE ID]],'SuperMarket Analysis'!A:A,'SuperMarket Analysis'!G:G)</f>
        <v>40.520000000000003</v>
      </c>
      <c r="J462" s="12">
        <f>_xlfn.XLOOKUP(Input_Table[[#This Row],[INVOICE ID]],'SuperMarket Analysis'!A:A,'SuperMarket Analysis'!N:N)</f>
        <v>202.6</v>
      </c>
      <c r="K462" s="12">
        <f>_xlfn.XLOOKUP(Input_Table[[#This Row],[INVOICE ID]],'SuperMarket Analysis'!A:A,'SuperMarket Analysis'!J:J)</f>
        <v>212.73</v>
      </c>
      <c r="L462" s="6">
        <f>DAY(Input_Table[[#This Row],[DATE]])</f>
        <v>26</v>
      </c>
      <c r="M462" s="6" t="str">
        <f>TEXT(Input_Table[[#This Row],[DATE]],"mmmm")</f>
        <v>February</v>
      </c>
      <c r="N462" s="6">
        <f>YEAR(Input_Table[[#This Row],[DATE]])</f>
        <v>2019</v>
      </c>
    </row>
    <row r="463" spans="1:14" x14ac:dyDescent="0.3">
      <c r="A463" s="2">
        <f>_xlfn.XLOOKUP(B463,SuperMarket_Analysis[Invoice ID],SuperMarket_Analysis[Date])</f>
        <v>43539</v>
      </c>
      <c r="B463" s="6" t="s">
        <v>494</v>
      </c>
      <c r="C463" s="7">
        <f>_xlfn.XLOOKUP(B463,SuperMarket_Analysis[Invoice ID],SuperMarket_Analysis[Quantity])</f>
        <v>10</v>
      </c>
      <c r="D463" s="6" t="str">
        <f>_xlfn.XLOOKUP('Input data'!B463,'SuperMarket Analysis'!A:A,'SuperMarket Analysis'!F:F)</f>
        <v>Food and beverages</v>
      </c>
      <c r="E463" s="6" t="str">
        <f>_xlfn.XLOOKUP(B463,'SuperMarket Analysis'!A:A,'SuperMarket Analysis'!M:M)</f>
        <v>Credit card</v>
      </c>
      <c r="F463" s="6">
        <f>0.05*Input_Table[[#This Row],[TOTAL C.O.G.S]]</f>
        <v>36.524999999999999</v>
      </c>
      <c r="G463" s="6" t="str">
        <f>_xlfn.XLOOKUP(Input_Table[[#This Row],[INVOICE ID]],'SuperMarket Analysis'!A:A,'SuperMarket Analysis'!B:B)</f>
        <v>Cairo</v>
      </c>
      <c r="H463" s="6" t="str">
        <f>_xlfn.XLOOKUP(Input_Table[[#This Row],[INVOICE ID]],'SuperMarket Analysis'!A:A,'SuperMarket Analysis'!F:F)</f>
        <v>Food and beverages</v>
      </c>
      <c r="I463" s="12">
        <f>_xlfn.XLOOKUP(Input_Table[[#This Row],[INVOICE ID]],'SuperMarket Analysis'!A:A,'SuperMarket Analysis'!G:G)</f>
        <v>73.05</v>
      </c>
      <c r="J463" s="12">
        <f>_xlfn.XLOOKUP(Input_Table[[#This Row],[INVOICE ID]],'SuperMarket Analysis'!A:A,'SuperMarket Analysis'!N:N)</f>
        <v>730.5</v>
      </c>
      <c r="K463" s="12">
        <f>_xlfn.XLOOKUP(Input_Table[[#This Row],[INVOICE ID]],'SuperMarket Analysis'!A:A,'SuperMarket Analysis'!J:J)</f>
        <v>767.02499999999998</v>
      </c>
      <c r="L463" s="6">
        <f>DAY(Input_Table[[#This Row],[DATE]])</f>
        <v>15</v>
      </c>
      <c r="M463" s="6" t="str">
        <f>TEXT(Input_Table[[#This Row],[DATE]],"mmmm")</f>
        <v>March</v>
      </c>
      <c r="N463" s="6">
        <f>YEAR(Input_Table[[#This Row],[DATE]])</f>
        <v>2019</v>
      </c>
    </row>
    <row r="464" spans="1:14" x14ac:dyDescent="0.3">
      <c r="A464" s="2">
        <f>_xlfn.XLOOKUP(B464,SuperMarket_Analysis[Invoice ID],SuperMarket_Analysis[Date])</f>
        <v>43489</v>
      </c>
      <c r="B464" s="6" t="s">
        <v>495</v>
      </c>
      <c r="C464" s="7">
        <f>_xlfn.XLOOKUP(B464,SuperMarket_Analysis[Invoice ID],SuperMarket_Analysis[Quantity])</f>
        <v>4</v>
      </c>
      <c r="D464" s="6" t="str">
        <f>_xlfn.XLOOKUP('Input data'!B464,'SuperMarket Analysis'!A:A,'SuperMarket Analysis'!F:F)</f>
        <v>Sports and travel</v>
      </c>
      <c r="E464" s="6" t="str">
        <f>_xlfn.XLOOKUP(B464,'SuperMarket Analysis'!A:A,'SuperMarket Analysis'!M:M)</f>
        <v>Cash</v>
      </c>
      <c r="F464" s="6">
        <f>0.05*Input_Table[[#This Row],[TOTAL C.O.G.S]]</f>
        <v>14.790000000000001</v>
      </c>
      <c r="G464" s="6" t="str">
        <f>_xlfn.XLOOKUP(Input_Table[[#This Row],[INVOICE ID]],'SuperMarket Analysis'!A:A,'SuperMarket Analysis'!B:B)</f>
        <v>Giza</v>
      </c>
      <c r="H464" s="6" t="str">
        <f>_xlfn.XLOOKUP(Input_Table[[#This Row],[INVOICE ID]],'SuperMarket Analysis'!A:A,'SuperMarket Analysis'!F:F)</f>
        <v>Sports and travel</v>
      </c>
      <c r="I464" s="12">
        <f>_xlfn.XLOOKUP(Input_Table[[#This Row],[INVOICE ID]],'SuperMarket Analysis'!A:A,'SuperMarket Analysis'!G:G)</f>
        <v>73.95</v>
      </c>
      <c r="J464" s="12">
        <f>_xlfn.XLOOKUP(Input_Table[[#This Row],[INVOICE ID]],'SuperMarket Analysis'!A:A,'SuperMarket Analysis'!N:N)</f>
        <v>295.8</v>
      </c>
      <c r="K464" s="12">
        <f>_xlfn.XLOOKUP(Input_Table[[#This Row],[INVOICE ID]],'SuperMarket Analysis'!A:A,'SuperMarket Analysis'!J:J)</f>
        <v>310.58999999999997</v>
      </c>
      <c r="L464" s="6">
        <f>DAY(Input_Table[[#This Row],[DATE]])</f>
        <v>24</v>
      </c>
      <c r="M464" s="6" t="str">
        <f>TEXT(Input_Table[[#This Row],[DATE]],"mmmm")</f>
        <v>January</v>
      </c>
      <c r="N464" s="6">
        <f>YEAR(Input_Table[[#This Row],[DATE]])</f>
        <v>2019</v>
      </c>
    </row>
    <row r="465" spans="1:14" x14ac:dyDescent="0.3">
      <c r="A465" s="2">
        <f>_xlfn.XLOOKUP(B465,SuperMarket_Analysis[Invoice ID],SuperMarket_Analysis[Date])</f>
        <v>43518</v>
      </c>
      <c r="B465" s="6" t="s">
        <v>496</v>
      </c>
      <c r="C465" s="7">
        <f>_xlfn.XLOOKUP(B465,SuperMarket_Analysis[Invoice ID],SuperMarket_Analysis[Quantity])</f>
        <v>1</v>
      </c>
      <c r="D465" s="6" t="str">
        <f>_xlfn.XLOOKUP('Input data'!B465,'SuperMarket Analysis'!A:A,'SuperMarket Analysis'!F:F)</f>
        <v>Food and beverages</v>
      </c>
      <c r="E465" s="6" t="str">
        <f>_xlfn.XLOOKUP(B465,'SuperMarket Analysis'!A:A,'SuperMarket Analysis'!M:M)</f>
        <v>Cash</v>
      </c>
      <c r="F465" s="6">
        <f>0.05*Input_Table[[#This Row],[TOTAL C.O.G.S]]</f>
        <v>1.131</v>
      </c>
      <c r="G465" s="6" t="str">
        <f>_xlfn.XLOOKUP(Input_Table[[#This Row],[INVOICE ID]],'SuperMarket Analysis'!A:A,'SuperMarket Analysis'!B:B)</f>
        <v>Giza</v>
      </c>
      <c r="H465" s="6" t="str">
        <f>_xlfn.XLOOKUP(Input_Table[[#This Row],[INVOICE ID]],'SuperMarket Analysis'!A:A,'SuperMarket Analysis'!F:F)</f>
        <v>Food and beverages</v>
      </c>
      <c r="I465" s="12">
        <f>_xlfn.XLOOKUP(Input_Table[[#This Row],[INVOICE ID]],'SuperMarket Analysis'!A:A,'SuperMarket Analysis'!G:G)</f>
        <v>22.62</v>
      </c>
      <c r="J465" s="12">
        <f>_xlfn.XLOOKUP(Input_Table[[#This Row],[INVOICE ID]],'SuperMarket Analysis'!A:A,'SuperMarket Analysis'!N:N)</f>
        <v>22.62</v>
      </c>
      <c r="K465" s="12">
        <f>_xlfn.XLOOKUP(Input_Table[[#This Row],[INVOICE ID]],'SuperMarket Analysis'!A:A,'SuperMarket Analysis'!J:J)</f>
        <v>23.751000000000001</v>
      </c>
      <c r="L465" s="6">
        <f>DAY(Input_Table[[#This Row],[DATE]])</f>
        <v>22</v>
      </c>
      <c r="M465" s="6" t="str">
        <f>TEXT(Input_Table[[#This Row],[DATE]],"mmmm")</f>
        <v>February</v>
      </c>
      <c r="N465" s="6">
        <f>YEAR(Input_Table[[#This Row],[DATE]])</f>
        <v>2019</v>
      </c>
    </row>
    <row r="466" spans="1:14" x14ac:dyDescent="0.3">
      <c r="A466" s="2">
        <f>_xlfn.XLOOKUP(B466,SuperMarket_Analysis[Invoice ID],SuperMarket_Analysis[Date])</f>
        <v>43539</v>
      </c>
      <c r="B466" s="6" t="s">
        <v>497</v>
      </c>
      <c r="C466" s="7">
        <f>_xlfn.XLOOKUP(B466,SuperMarket_Analysis[Invoice ID],SuperMarket_Analysis[Quantity])</f>
        <v>5</v>
      </c>
      <c r="D466" s="6" t="str">
        <f>_xlfn.XLOOKUP('Input data'!B466,'SuperMarket Analysis'!A:A,'SuperMarket Analysis'!F:F)</f>
        <v>Food and beverages</v>
      </c>
      <c r="E466" s="6" t="str">
        <f>_xlfn.XLOOKUP(B466,'SuperMarket Analysis'!A:A,'SuperMarket Analysis'!M:M)</f>
        <v>Credit card</v>
      </c>
      <c r="F466" s="6">
        <f>0.05*Input_Table[[#This Row],[TOTAL C.O.G.S]]</f>
        <v>12.835000000000001</v>
      </c>
      <c r="G466" s="6" t="str">
        <f>_xlfn.XLOOKUP(Input_Table[[#This Row],[INVOICE ID]],'SuperMarket Analysis'!A:A,'SuperMarket Analysis'!B:B)</f>
        <v>Alex</v>
      </c>
      <c r="H466" s="6" t="str">
        <f>_xlfn.XLOOKUP(Input_Table[[#This Row],[INVOICE ID]],'SuperMarket Analysis'!A:A,'SuperMarket Analysis'!F:F)</f>
        <v>Food and beverages</v>
      </c>
      <c r="I466" s="12">
        <f>_xlfn.XLOOKUP(Input_Table[[#This Row],[INVOICE ID]],'SuperMarket Analysis'!A:A,'SuperMarket Analysis'!G:G)</f>
        <v>51.34</v>
      </c>
      <c r="J466" s="12">
        <f>_xlfn.XLOOKUP(Input_Table[[#This Row],[INVOICE ID]],'SuperMarket Analysis'!A:A,'SuperMarket Analysis'!N:N)</f>
        <v>256.7</v>
      </c>
      <c r="K466" s="12">
        <f>_xlfn.XLOOKUP(Input_Table[[#This Row],[INVOICE ID]],'SuperMarket Analysis'!A:A,'SuperMarket Analysis'!J:J)</f>
        <v>269.53500000000003</v>
      </c>
      <c r="L466" s="6">
        <f>DAY(Input_Table[[#This Row],[DATE]])</f>
        <v>15</v>
      </c>
      <c r="M466" s="6" t="str">
        <f>TEXT(Input_Table[[#This Row],[DATE]],"mmmm")</f>
        <v>March</v>
      </c>
      <c r="N466" s="6">
        <f>YEAR(Input_Table[[#This Row],[DATE]])</f>
        <v>2019</v>
      </c>
    </row>
    <row r="467" spans="1:14" x14ac:dyDescent="0.3">
      <c r="A467" s="2">
        <f>_xlfn.XLOOKUP(B467,SuperMarket_Analysis[Invoice ID],SuperMarket_Analysis[Date])</f>
        <v>43547</v>
      </c>
      <c r="B467" s="6" t="s">
        <v>498</v>
      </c>
      <c r="C467" s="7">
        <f>_xlfn.XLOOKUP(B467,SuperMarket_Analysis[Invoice ID],SuperMarket_Analysis[Quantity])</f>
        <v>10</v>
      </c>
      <c r="D467" s="6" t="str">
        <f>_xlfn.XLOOKUP('Input data'!B467,'SuperMarket Analysis'!A:A,'SuperMarket Analysis'!F:F)</f>
        <v>Sports and travel</v>
      </c>
      <c r="E467" s="6" t="str">
        <f>_xlfn.XLOOKUP(B467,'SuperMarket Analysis'!A:A,'SuperMarket Analysis'!M:M)</f>
        <v>Credit card</v>
      </c>
      <c r="F467" s="6">
        <f>0.05*Input_Table[[#This Row],[TOTAL C.O.G.S]]</f>
        <v>27.275000000000002</v>
      </c>
      <c r="G467" s="6" t="str">
        <f>_xlfn.XLOOKUP(Input_Table[[#This Row],[INVOICE ID]],'SuperMarket Analysis'!A:A,'SuperMarket Analysis'!B:B)</f>
        <v>Giza</v>
      </c>
      <c r="H467" s="6" t="str">
        <f>_xlfn.XLOOKUP(Input_Table[[#This Row],[INVOICE ID]],'SuperMarket Analysis'!A:A,'SuperMarket Analysis'!F:F)</f>
        <v>Sports and travel</v>
      </c>
      <c r="I467" s="12">
        <f>_xlfn.XLOOKUP(Input_Table[[#This Row],[INVOICE ID]],'SuperMarket Analysis'!A:A,'SuperMarket Analysis'!G:G)</f>
        <v>54.55</v>
      </c>
      <c r="J467" s="12">
        <f>_xlfn.XLOOKUP(Input_Table[[#This Row],[INVOICE ID]],'SuperMarket Analysis'!A:A,'SuperMarket Analysis'!N:N)</f>
        <v>545.5</v>
      </c>
      <c r="K467" s="12">
        <f>_xlfn.XLOOKUP(Input_Table[[#This Row],[INVOICE ID]],'SuperMarket Analysis'!A:A,'SuperMarket Analysis'!J:J)</f>
        <v>572.77499999999998</v>
      </c>
      <c r="L467" s="6">
        <f>DAY(Input_Table[[#This Row],[DATE]])</f>
        <v>23</v>
      </c>
      <c r="M467" s="6" t="str">
        <f>TEXT(Input_Table[[#This Row],[DATE]],"mmmm")</f>
        <v>March</v>
      </c>
      <c r="N467" s="6">
        <f>YEAR(Input_Table[[#This Row],[DATE]])</f>
        <v>2019</v>
      </c>
    </row>
    <row r="468" spans="1:14" x14ac:dyDescent="0.3">
      <c r="A468" s="2">
        <f>_xlfn.XLOOKUP(B468,SuperMarket_Analysis[Invoice ID],SuperMarket_Analysis[Date])</f>
        <v>43519</v>
      </c>
      <c r="B468" s="6" t="s">
        <v>499</v>
      </c>
      <c r="C468" s="7">
        <f>_xlfn.XLOOKUP(B468,SuperMarket_Analysis[Invoice ID],SuperMarket_Analysis[Quantity])</f>
        <v>7</v>
      </c>
      <c r="D468" s="6" t="str">
        <f>_xlfn.XLOOKUP('Input data'!B468,'SuperMarket Analysis'!A:A,'SuperMarket Analysis'!F:F)</f>
        <v>Health and beauty</v>
      </c>
      <c r="E468" s="6" t="str">
        <f>_xlfn.XLOOKUP(B468,'SuperMarket Analysis'!A:A,'SuperMarket Analysis'!M:M)</f>
        <v>Credit card</v>
      </c>
      <c r="F468" s="6">
        <f>0.05*Input_Table[[#This Row],[TOTAL C.O.G.S]]</f>
        <v>13.002500000000001</v>
      </c>
      <c r="G468" s="6" t="str">
        <f>_xlfn.XLOOKUP(Input_Table[[#This Row],[INVOICE ID]],'SuperMarket Analysis'!A:A,'SuperMarket Analysis'!B:B)</f>
        <v>Giza</v>
      </c>
      <c r="H468" s="6" t="str">
        <f>_xlfn.XLOOKUP(Input_Table[[#This Row],[INVOICE ID]],'SuperMarket Analysis'!A:A,'SuperMarket Analysis'!F:F)</f>
        <v>Health and beauty</v>
      </c>
      <c r="I468" s="12">
        <f>_xlfn.XLOOKUP(Input_Table[[#This Row],[INVOICE ID]],'SuperMarket Analysis'!A:A,'SuperMarket Analysis'!G:G)</f>
        <v>37.15</v>
      </c>
      <c r="J468" s="12">
        <f>_xlfn.XLOOKUP(Input_Table[[#This Row],[INVOICE ID]],'SuperMarket Analysis'!A:A,'SuperMarket Analysis'!N:N)</f>
        <v>260.05</v>
      </c>
      <c r="K468" s="12">
        <f>_xlfn.XLOOKUP(Input_Table[[#This Row],[INVOICE ID]],'SuperMarket Analysis'!A:A,'SuperMarket Analysis'!J:J)</f>
        <v>273.05250000000001</v>
      </c>
      <c r="L468" s="6">
        <f>DAY(Input_Table[[#This Row],[DATE]])</f>
        <v>23</v>
      </c>
      <c r="M468" s="6" t="str">
        <f>TEXT(Input_Table[[#This Row],[DATE]],"mmmm")</f>
        <v>February</v>
      </c>
      <c r="N468" s="6">
        <f>YEAR(Input_Table[[#This Row],[DATE]])</f>
        <v>2019</v>
      </c>
    </row>
    <row r="469" spans="1:14" x14ac:dyDescent="0.3">
      <c r="A469" s="2">
        <f>_xlfn.XLOOKUP(B469,SuperMarket_Analysis[Invoice ID],SuperMarket_Analysis[Date])</f>
        <v>43541</v>
      </c>
      <c r="B469" s="6" t="s">
        <v>500</v>
      </c>
      <c r="C469" s="7">
        <f>_xlfn.XLOOKUP(B469,SuperMarket_Analysis[Invoice ID],SuperMarket_Analysis[Quantity])</f>
        <v>6</v>
      </c>
      <c r="D469" s="6" t="str">
        <f>_xlfn.XLOOKUP('Input data'!B469,'SuperMarket Analysis'!A:A,'SuperMarket Analysis'!F:F)</f>
        <v>Sports and travel</v>
      </c>
      <c r="E469" s="6" t="str">
        <f>_xlfn.XLOOKUP(B469,'SuperMarket Analysis'!A:A,'SuperMarket Analysis'!M:M)</f>
        <v>Cash</v>
      </c>
      <c r="F469" s="6">
        <f>0.05*Input_Table[[#This Row],[TOTAL C.O.G.S]]</f>
        <v>11.106000000000002</v>
      </c>
      <c r="G469" s="6" t="str">
        <f>_xlfn.XLOOKUP(Input_Table[[#This Row],[INVOICE ID]],'SuperMarket Analysis'!A:A,'SuperMarket Analysis'!B:B)</f>
        <v>Cairo</v>
      </c>
      <c r="H469" s="6" t="str">
        <f>_xlfn.XLOOKUP(Input_Table[[#This Row],[INVOICE ID]],'SuperMarket Analysis'!A:A,'SuperMarket Analysis'!F:F)</f>
        <v>Sports and travel</v>
      </c>
      <c r="I469" s="12">
        <f>_xlfn.XLOOKUP(Input_Table[[#This Row],[INVOICE ID]],'SuperMarket Analysis'!A:A,'SuperMarket Analysis'!G:G)</f>
        <v>37.020000000000003</v>
      </c>
      <c r="J469" s="12">
        <f>_xlfn.XLOOKUP(Input_Table[[#This Row],[INVOICE ID]],'SuperMarket Analysis'!A:A,'SuperMarket Analysis'!N:N)</f>
        <v>222.12</v>
      </c>
      <c r="K469" s="12">
        <f>_xlfn.XLOOKUP(Input_Table[[#This Row],[INVOICE ID]],'SuperMarket Analysis'!A:A,'SuperMarket Analysis'!J:J)</f>
        <v>233.226</v>
      </c>
      <c r="L469" s="6">
        <f>DAY(Input_Table[[#This Row],[DATE]])</f>
        <v>17</v>
      </c>
      <c r="M469" s="6" t="str">
        <f>TEXT(Input_Table[[#This Row],[DATE]],"mmmm")</f>
        <v>March</v>
      </c>
      <c r="N469" s="6">
        <f>YEAR(Input_Table[[#This Row],[DATE]])</f>
        <v>2019</v>
      </c>
    </row>
    <row r="470" spans="1:14" x14ac:dyDescent="0.3">
      <c r="A470" s="2">
        <f>_xlfn.XLOOKUP(B470,SuperMarket_Analysis[Invoice ID],SuperMarket_Analysis[Date])</f>
        <v>43481</v>
      </c>
      <c r="B470" s="6" t="s">
        <v>501</v>
      </c>
      <c r="C470" s="7">
        <f>_xlfn.XLOOKUP(B470,SuperMarket_Analysis[Invoice ID],SuperMarket_Analysis[Quantity])</f>
        <v>1</v>
      </c>
      <c r="D470" s="6" t="str">
        <f>_xlfn.XLOOKUP('Input data'!B470,'SuperMarket Analysis'!A:A,'SuperMarket Analysis'!F:F)</f>
        <v>Food and beverages</v>
      </c>
      <c r="E470" s="6" t="str">
        <f>_xlfn.XLOOKUP(B470,'SuperMarket Analysis'!A:A,'SuperMarket Analysis'!M:M)</f>
        <v>Ewallet</v>
      </c>
      <c r="F470" s="6">
        <f>0.05*Input_Table[[#This Row],[TOTAL C.O.G.S]]</f>
        <v>1.079</v>
      </c>
      <c r="G470" s="6" t="str">
        <f>_xlfn.XLOOKUP(Input_Table[[#This Row],[INVOICE ID]],'SuperMarket Analysis'!A:A,'SuperMarket Analysis'!B:B)</f>
        <v>Giza</v>
      </c>
      <c r="H470" s="6" t="str">
        <f>_xlfn.XLOOKUP(Input_Table[[#This Row],[INVOICE ID]],'SuperMarket Analysis'!A:A,'SuperMarket Analysis'!F:F)</f>
        <v>Food and beverages</v>
      </c>
      <c r="I470" s="12">
        <f>_xlfn.XLOOKUP(Input_Table[[#This Row],[INVOICE ID]],'SuperMarket Analysis'!A:A,'SuperMarket Analysis'!G:G)</f>
        <v>21.58</v>
      </c>
      <c r="J470" s="12">
        <f>_xlfn.XLOOKUP(Input_Table[[#This Row],[INVOICE ID]],'SuperMarket Analysis'!A:A,'SuperMarket Analysis'!N:N)</f>
        <v>21.58</v>
      </c>
      <c r="K470" s="12">
        <f>_xlfn.XLOOKUP(Input_Table[[#This Row],[INVOICE ID]],'SuperMarket Analysis'!A:A,'SuperMarket Analysis'!J:J)</f>
        <v>22.658999999999999</v>
      </c>
      <c r="L470" s="6">
        <f>DAY(Input_Table[[#This Row],[DATE]])</f>
        <v>16</v>
      </c>
      <c r="M470" s="6" t="str">
        <f>TEXT(Input_Table[[#This Row],[DATE]],"mmmm")</f>
        <v>January</v>
      </c>
      <c r="N470" s="6">
        <f>YEAR(Input_Table[[#This Row],[DATE]])</f>
        <v>2019</v>
      </c>
    </row>
    <row r="471" spans="1:14" x14ac:dyDescent="0.3">
      <c r="A471" s="2">
        <f>_xlfn.XLOOKUP(B471,SuperMarket_Analysis[Invoice ID],SuperMarket_Analysis[Date])</f>
        <v>43479</v>
      </c>
      <c r="B471" s="6" t="s">
        <v>502</v>
      </c>
      <c r="C471" s="7">
        <f>_xlfn.XLOOKUP(B471,SuperMarket_Analysis[Invoice ID],SuperMarket_Analysis[Quantity])</f>
        <v>1</v>
      </c>
      <c r="D471" s="6" t="str">
        <f>_xlfn.XLOOKUP('Input data'!B471,'SuperMarket Analysis'!A:A,'SuperMarket Analysis'!F:F)</f>
        <v>Electronic accessories</v>
      </c>
      <c r="E471" s="6" t="str">
        <f>_xlfn.XLOOKUP(B471,'SuperMarket Analysis'!A:A,'SuperMarket Analysis'!M:M)</f>
        <v>Cash</v>
      </c>
      <c r="F471" s="6">
        <f>0.05*Input_Table[[#This Row],[TOTAL C.O.G.S]]</f>
        <v>4.9420000000000002</v>
      </c>
      <c r="G471" s="6" t="str">
        <f>_xlfn.XLOOKUP(Input_Table[[#This Row],[INVOICE ID]],'SuperMarket Analysis'!A:A,'SuperMarket Analysis'!B:B)</f>
        <v>Giza</v>
      </c>
      <c r="H471" s="6" t="str">
        <f>_xlfn.XLOOKUP(Input_Table[[#This Row],[INVOICE ID]],'SuperMarket Analysis'!A:A,'SuperMarket Analysis'!F:F)</f>
        <v>Electronic accessories</v>
      </c>
      <c r="I471" s="12">
        <f>_xlfn.XLOOKUP(Input_Table[[#This Row],[INVOICE ID]],'SuperMarket Analysis'!A:A,'SuperMarket Analysis'!G:G)</f>
        <v>98.84</v>
      </c>
      <c r="J471" s="12">
        <f>_xlfn.XLOOKUP(Input_Table[[#This Row],[INVOICE ID]],'SuperMarket Analysis'!A:A,'SuperMarket Analysis'!N:N)</f>
        <v>98.84</v>
      </c>
      <c r="K471" s="12">
        <f>_xlfn.XLOOKUP(Input_Table[[#This Row],[INVOICE ID]],'SuperMarket Analysis'!A:A,'SuperMarket Analysis'!J:J)</f>
        <v>103.782</v>
      </c>
      <c r="L471" s="6">
        <f>DAY(Input_Table[[#This Row],[DATE]])</f>
        <v>14</v>
      </c>
      <c r="M471" s="6" t="str">
        <f>TEXT(Input_Table[[#This Row],[DATE]],"mmmm")</f>
        <v>January</v>
      </c>
      <c r="N471" s="6">
        <f>YEAR(Input_Table[[#This Row],[DATE]])</f>
        <v>2019</v>
      </c>
    </row>
    <row r="472" spans="1:14" x14ac:dyDescent="0.3">
      <c r="A472" s="2">
        <f>_xlfn.XLOOKUP(B472,SuperMarket_Analysis[Invoice ID],SuperMarket_Analysis[Date])</f>
        <v>43496</v>
      </c>
      <c r="B472" s="6" t="s">
        <v>503</v>
      </c>
      <c r="C472" s="7">
        <f>_xlfn.XLOOKUP(B472,SuperMarket_Analysis[Invoice ID],SuperMarket_Analysis[Quantity])</f>
        <v>6</v>
      </c>
      <c r="D472" s="6" t="str">
        <f>_xlfn.XLOOKUP('Input data'!B472,'SuperMarket Analysis'!A:A,'SuperMarket Analysis'!F:F)</f>
        <v>Home and lifestyle</v>
      </c>
      <c r="E472" s="6" t="str">
        <f>_xlfn.XLOOKUP(B472,'SuperMarket Analysis'!A:A,'SuperMarket Analysis'!M:M)</f>
        <v>Ewallet</v>
      </c>
      <c r="F472" s="6">
        <f>0.05*Input_Table[[#This Row],[TOTAL C.O.G.S]]</f>
        <v>25.131</v>
      </c>
      <c r="G472" s="6" t="str">
        <f>_xlfn.XLOOKUP(Input_Table[[#This Row],[INVOICE ID]],'SuperMarket Analysis'!A:A,'SuperMarket Analysis'!B:B)</f>
        <v>Giza</v>
      </c>
      <c r="H472" s="6" t="str">
        <f>_xlfn.XLOOKUP(Input_Table[[#This Row],[INVOICE ID]],'SuperMarket Analysis'!A:A,'SuperMarket Analysis'!F:F)</f>
        <v>Home and lifestyle</v>
      </c>
      <c r="I472" s="12">
        <f>_xlfn.XLOOKUP(Input_Table[[#This Row],[INVOICE ID]],'SuperMarket Analysis'!A:A,'SuperMarket Analysis'!G:G)</f>
        <v>83.77</v>
      </c>
      <c r="J472" s="12">
        <f>_xlfn.XLOOKUP(Input_Table[[#This Row],[INVOICE ID]],'SuperMarket Analysis'!A:A,'SuperMarket Analysis'!N:N)</f>
        <v>502.62</v>
      </c>
      <c r="K472" s="12">
        <f>_xlfn.XLOOKUP(Input_Table[[#This Row],[INVOICE ID]],'SuperMarket Analysis'!A:A,'SuperMarket Analysis'!J:J)</f>
        <v>527.75099999999998</v>
      </c>
      <c r="L472" s="6">
        <f>DAY(Input_Table[[#This Row],[DATE]])</f>
        <v>31</v>
      </c>
      <c r="M472" s="6" t="str">
        <f>TEXT(Input_Table[[#This Row],[DATE]],"mmmm")</f>
        <v>January</v>
      </c>
      <c r="N472" s="6">
        <f>YEAR(Input_Table[[#This Row],[DATE]])</f>
        <v>2019</v>
      </c>
    </row>
    <row r="473" spans="1:14" x14ac:dyDescent="0.3">
      <c r="A473" s="2">
        <f>_xlfn.XLOOKUP(B473,SuperMarket_Analysis[Invoice ID],SuperMarket_Analysis[Date])</f>
        <v>43539</v>
      </c>
      <c r="B473" s="6" t="s">
        <v>504</v>
      </c>
      <c r="C473" s="7">
        <f>_xlfn.XLOOKUP(B473,SuperMarket_Analysis[Invoice ID],SuperMarket_Analysis[Quantity])</f>
        <v>4</v>
      </c>
      <c r="D473" s="6" t="str">
        <f>_xlfn.XLOOKUP('Input data'!B473,'SuperMarket Analysis'!A:A,'SuperMarket Analysis'!F:F)</f>
        <v>Sports and travel</v>
      </c>
      <c r="E473" s="6" t="str">
        <f>_xlfn.XLOOKUP(B473,'SuperMarket Analysis'!A:A,'SuperMarket Analysis'!M:M)</f>
        <v>Cash</v>
      </c>
      <c r="F473" s="6">
        <f>0.05*Input_Table[[#This Row],[TOTAL C.O.G.S]]</f>
        <v>8.01</v>
      </c>
      <c r="G473" s="6" t="str">
        <f>_xlfn.XLOOKUP(Input_Table[[#This Row],[INVOICE ID]],'SuperMarket Analysis'!A:A,'SuperMarket Analysis'!B:B)</f>
        <v>Alex</v>
      </c>
      <c r="H473" s="6" t="str">
        <f>_xlfn.XLOOKUP(Input_Table[[#This Row],[INVOICE ID]],'SuperMarket Analysis'!A:A,'SuperMarket Analysis'!F:F)</f>
        <v>Sports and travel</v>
      </c>
      <c r="I473" s="12">
        <f>_xlfn.XLOOKUP(Input_Table[[#This Row],[INVOICE ID]],'SuperMarket Analysis'!A:A,'SuperMarket Analysis'!G:G)</f>
        <v>40.049999999999997</v>
      </c>
      <c r="J473" s="12">
        <f>_xlfn.XLOOKUP(Input_Table[[#This Row],[INVOICE ID]],'SuperMarket Analysis'!A:A,'SuperMarket Analysis'!N:N)</f>
        <v>160.19999999999999</v>
      </c>
      <c r="K473" s="12">
        <f>_xlfn.XLOOKUP(Input_Table[[#This Row],[INVOICE ID]],'SuperMarket Analysis'!A:A,'SuperMarket Analysis'!J:J)</f>
        <v>168.21</v>
      </c>
      <c r="L473" s="6">
        <f>DAY(Input_Table[[#This Row],[DATE]])</f>
        <v>15</v>
      </c>
      <c r="M473" s="6" t="str">
        <f>TEXT(Input_Table[[#This Row],[DATE]],"mmmm")</f>
        <v>March</v>
      </c>
      <c r="N473" s="6">
        <f>YEAR(Input_Table[[#This Row],[DATE]])</f>
        <v>2019</v>
      </c>
    </row>
    <row r="474" spans="1:14" x14ac:dyDescent="0.3">
      <c r="A474" s="2">
        <f>_xlfn.XLOOKUP(B474,SuperMarket_Analysis[Invoice ID],SuperMarket_Analysis[Date])</f>
        <v>43520</v>
      </c>
      <c r="B474" s="6" t="s">
        <v>505</v>
      </c>
      <c r="C474" s="7">
        <f>_xlfn.XLOOKUP(B474,SuperMarket_Analysis[Invoice ID],SuperMarket_Analysis[Quantity])</f>
        <v>10</v>
      </c>
      <c r="D474" s="6" t="str">
        <f>_xlfn.XLOOKUP('Input data'!B474,'SuperMarket Analysis'!A:A,'SuperMarket Analysis'!F:F)</f>
        <v>Fashion accessories</v>
      </c>
      <c r="E474" s="6" t="str">
        <f>_xlfn.XLOOKUP(B474,'SuperMarket Analysis'!A:A,'SuperMarket Analysis'!M:M)</f>
        <v>Credit card</v>
      </c>
      <c r="F474" s="6">
        <f>0.05*Input_Table[[#This Row],[TOTAL C.O.G.S]]</f>
        <v>21.565000000000001</v>
      </c>
      <c r="G474" s="6" t="str">
        <f>_xlfn.XLOOKUP(Input_Table[[#This Row],[INVOICE ID]],'SuperMarket Analysis'!A:A,'SuperMarket Analysis'!B:B)</f>
        <v>Alex</v>
      </c>
      <c r="H474" s="6" t="str">
        <f>_xlfn.XLOOKUP(Input_Table[[#This Row],[INVOICE ID]],'SuperMarket Analysis'!A:A,'SuperMarket Analysis'!F:F)</f>
        <v>Fashion accessories</v>
      </c>
      <c r="I474" s="12">
        <f>_xlfn.XLOOKUP(Input_Table[[#This Row],[INVOICE ID]],'SuperMarket Analysis'!A:A,'SuperMarket Analysis'!G:G)</f>
        <v>43.13</v>
      </c>
      <c r="J474" s="12">
        <f>_xlfn.XLOOKUP(Input_Table[[#This Row],[INVOICE ID]],'SuperMarket Analysis'!A:A,'SuperMarket Analysis'!N:N)</f>
        <v>431.3</v>
      </c>
      <c r="K474" s="12">
        <f>_xlfn.XLOOKUP(Input_Table[[#This Row],[INVOICE ID]],'SuperMarket Analysis'!A:A,'SuperMarket Analysis'!J:J)</f>
        <v>452.86500000000001</v>
      </c>
      <c r="L474" s="6">
        <f>DAY(Input_Table[[#This Row],[DATE]])</f>
        <v>24</v>
      </c>
      <c r="M474" s="6" t="str">
        <f>TEXT(Input_Table[[#This Row],[DATE]],"mmmm")</f>
        <v>February</v>
      </c>
      <c r="N474" s="6">
        <f>YEAR(Input_Table[[#This Row],[DATE]])</f>
        <v>2019</v>
      </c>
    </row>
    <row r="475" spans="1:14" x14ac:dyDescent="0.3">
      <c r="A475" s="2">
        <f>_xlfn.XLOOKUP(B475,SuperMarket_Analysis[Invoice ID],SuperMarket_Analysis[Date])</f>
        <v>43546</v>
      </c>
      <c r="B475" s="6" t="s">
        <v>506</v>
      </c>
      <c r="C475" s="7">
        <f>_xlfn.XLOOKUP(B475,SuperMarket_Analysis[Invoice ID],SuperMarket_Analysis[Quantity])</f>
        <v>8</v>
      </c>
      <c r="D475" s="6" t="str">
        <f>_xlfn.XLOOKUP('Input data'!B475,'SuperMarket Analysis'!A:A,'SuperMarket Analysis'!F:F)</f>
        <v>Health and beauty</v>
      </c>
      <c r="E475" s="6" t="str">
        <f>_xlfn.XLOOKUP(B475,'SuperMarket Analysis'!A:A,'SuperMarket Analysis'!M:M)</f>
        <v>Cash</v>
      </c>
      <c r="F475" s="6">
        <f>0.05*Input_Table[[#This Row],[TOTAL C.O.G.S]]</f>
        <v>29.027999999999999</v>
      </c>
      <c r="G475" s="6" t="str">
        <f>_xlfn.XLOOKUP(Input_Table[[#This Row],[INVOICE ID]],'SuperMarket Analysis'!A:A,'SuperMarket Analysis'!B:B)</f>
        <v>Cairo</v>
      </c>
      <c r="H475" s="6" t="str">
        <f>_xlfn.XLOOKUP(Input_Table[[#This Row],[INVOICE ID]],'SuperMarket Analysis'!A:A,'SuperMarket Analysis'!F:F)</f>
        <v>Health and beauty</v>
      </c>
      <c r="I475" s="12">
        <f>_xlfn.XLOOKUP(Input_Table[[#This Row],[INVOICE ID]],'SuperMarket Analysis'!A:A,'SuperMarket Analysis'!G:G)</f>
        <v>72.569999999999993</v>
      </c>
      <c r="J475" s="12">
        <f>_xlfn.XLOOKUP(Input_Table[[#This Row],[INVOICE ID]],'SuperMarket Analysis'!A:A,'SuperMarket Analysis'!N:N)</f>
        <v>580.55999999999995</v>
      </c>
      <c r="K475" s="12">
        <f>_xlfn.XLOOKUP(Input_Table[[#This Row],[INVOICE ID]],'SuperMarket Analysis'!A:A,'SuperMarket Analysis'!J:J)</f>
        <v>609.58799999999997</v>
      </c>
      <c r="L475" s="6">
        <f>DAY(Input_Table[[#This Row],[DATE]])</f>
        <v>22</v>
      </c>
      <c r="M475" s="6" t="str">
        <f>TEXT(Input_Table[[#This Row],[DATE]],"mmmm")</f>
        <v>March</v>
      </c>
      <c r="N475" s="6">
        <f>YEAR(Input_Table[[#This Row],[DATE]])</f>
        <v>2019</v>
      </c>
    </row>
    <row r="476" spans="1:14" x14ac:dyDescent="0.3">
      <c r="A476" s="2">
        <f>_xlfn.XLOOKUP(B476,SuperMarket_Analysis[Invoice ID],SuperMarket_Analysis[Date])</f>
        <v>43489</v>
      </c>
      <c r="B476" s="6" t="s">
        <v>507</v>
      </c>
      <c r="C476" s="7">
        <f>_xlfn.XLOOKUP(B476,SuperMarket_Analysis[Invoice ID],SuperMarket_Analysis[Quantity])</f>
        <v>5</v>
      </c>
      <c r="D476" s="6" t="str">
        <f>_xlfn.XLOOKUP('Input data'!B476,'SuperMarket Analysis'!A:A,'SuperMarket Analysis'!F:F)</f>
        <v>Electronic accessories</v>
      </c>
      <c r="E476" s="6" t="str">
        <f>_xlfn.XLOOKUP(B476,'SuperMarket Analysis'!A:A,'SuperMarket Analysis'!M:M)</f>
        <v>Cash</v>
      </c>
      <c r="F476" s="6">
        <f>0.05*Input_Table[[#This Row],[TOTAL C.O.G.S]]</f>
        <v>16.11</v>
      </c>
      <c r="G476" s="6" t="str">
        <f>_xlfn.XLOOKUP(Input_Table[[#This Row],[INVOICE ID]],'SuperMarket Analysis'!A:A,'SuperMarket Analysis'!B:B)</f>
        <v>Alex</v>
      </c>
      <c r="H476" s="6" t="str">
        <f>_xlfn.XLOOKUP(Input_Table[[#This Row],[INVOICE ID]],'SuperMarket Analysis'!A:A,'SuperMarket Analysis'!F:F)</f>
        <v>Electronic accessories</v>
      </c>
      <c r="I476" s="12">
        <f>_xlfn.XLOOKUP(Input_Table[[#This Row],[INVOICE ID]],'SuperMarket Analysis'!A:A,'SuperMarket Analysis'!G:G)</f>
        <v>64.44</v>
      </c>
      <c r="J476" s="12">
        <f>_xlfn.XLOOKUP(Input_Table[[#This Row],[INVOICE ID]],'SuperMarket Analysis'!A:A,'SuperMarket Analysis'!N:N)</f>
        <v>322.2</v>
      </c>
      <c r="K476" s="12">
        <f>_xlfn.XLOOKUP(Input_Table[[#This Row],[INVOICE ID]],'SuperMarket Analysis'!A:A,'SuperMarket Analysis'!J:J)</f>
        <v>338.31</v>
      </c>
      <c r="L476" s="6">
        <f>DAY(Input_Table[[#This Row],[DATE]])</f>
        <v>24</v>
      </c>
      <c r="M476" s="6" t="str">
        <f>TEXT(Input_Table[[#This Row],[DATE]],"mmmm")</f>
        <v>January</v>
      </c>
      <c r="N476" s="6">
        <f>YEAR(Input_Table[[#This Row],[DATE]])</f>
        <v>2019</v>
      </c>
    </row>
    <row r="477" spans="1:14" x14ac:dyDescent="0.3">
      <c r="A477" s="2">
        <f>_xlfn.XLOOKUP(B477,SuperMarket_Analysis[Invoice ID],SuperMarket_Analysis[Date])</f>
        <v>43538</v>
      </c>
      <c r="B477" s="6" t="s">
        <v>508</v>
      </c>
      <c r="C477" s="7">
        <f>_xlfn.XLOOKUP(B477,SuperMarket_Analysis[Invoice ID],SuperMarket_Analysis[Quantity])</f>
        <v>3</v>
      </c>
      <c r="D477" s="6" t="str">
        <f>_xlfn.XLOOKUP('Input data'!B477,'SuperMarket Analysis'!A:A,'SuperMarket Analysis'!F:F)</f>
        <v>Health and beauty</v>
      </c>
      <c r="E477" s="6" t="str">
        <f>_xlfn.XLOOKUP(B477,'SuperMarket Analysis'!A:A,'SuperMarket Analysis'!M:M)</f>
        <v>Credit card</v>
      </c>
      <c r="F477" s="6">
        <f>0.05*Input_Table[[#This Row],[TOTAL C.O.G.S]]</f>
        <v>9.777000000000001</v>
      </c>
      <c r="G477" s="6" t="str">
        <f>_xlfn.XLOOKUP(Input_Table[[#This Row],[INVOICE ID]],'SuperMarket Analysis'!A:A,'SuperMarket Analysis'!B:B)</f>
        <v>Alex</v>
      </c>
      <c r="H477" s="6" t="str">
        <f>_xlfn.XLOOKUP(Input_Table[[#This Row],[INVOICE ID]],'SuperMarket Analysis'!A:A,'SuperMarket Analysis'!F:F)</f>
        <v>Health and beauty</v>
      </c>
      <c r="I477" s="12">
        <f>_xlfn.XLOOKUP(Input_Table[[#This Row],[INVOICE ID]],'SuperMarket Analysis'!A:A,'SuperMarket Analysis'!G:G)</f>
        <v>65.180000000000007</v>
      </c>
      <c r="J477" s="12">
        <f>_xlfn.XLOOKUP(Input_Table[[#This Row],[INVOICE ID]],'SuperMarket Analysis'!A:A,'SuperMarket Analysis'!N:N)</f>
        <v>195.54</v>
      </c>
      <c r="K477" s="12">
        <f>_xlfn.XLOOKUP(Input_Table[[#This Row],[INVOICE ID]],'SuperMarket Analysis'!A:A,'SuperMarket Analysis'!J:J)</f>
        <v>205.31700000000001</v>
      </c>
      <c r="L477" s="6">
        <f>DAY(Input_Table[[#This Row],[DATE]])</f>
        <v>14</v>
      </c>
      <c r="M477" s="6" t="str">
        <f>TEXT(Input_Table[[#This Row],[DATE]],"mmmm")</f>
        <v>March</v>
      </c>
      <c r="N477" s="6">
        <f>YEAR(Input_Table[[#This Row],[DATE]])</f>
        <v>2019</v>
      </c>
    </row>
    <row r="478" spans="1:14" x14ac:dyDescent="0.3">
      <c r="A478" s="2">
        <f>_xlfn.XLOOKUP(B478,SuperMarket_Analysis[Invoice ID],SuperMarket_Analysis[Date])</f>
        <v>43488</v>
      </c>
      <c r="B478" s="6" t="s">
        <v>509</v>
      </c>
      <c r="C478" s="7">
        <f>_xlfn.XLOOKUP(B478,SuperMarket_Analysis[Invoice ID],SuperMarket_Analysis[Quantity])</f>
        <v>5</v>
      </c>
      <c r="D478" s="6" t="str">
        <f>_xlfn.XLOOKUP('Input data'!B478,'SuperMarket Analysis'!A:A,'SuperMarket Analysis'!F:F)</f>
        <v>Sports and travel</v>
      </c>
      <c r="E478" s="6" t="str">
        <f>_xlfn.XLOOKUP(B478,'SuperMarket Analysis'!A:A,'SuperMarket Analysis'!M:M)</f>
        <v>Credit card</v>
      </c>
      <c r="F478" s="6">
        <f>0.05*Input_Table[[#This Row],[TOTAL C.O.G.S]]</f>
        <v>8.3150000000000013</v>
      </c>
      <c r="G478" s="6" t="str">
        <f>_xlfn.XLOOKUP(Input_Table[[#This Row],[INVOICE ID]],'SuperMarket Analysis'!A:A,'SuperMarket Analysis'!B:B)</f>
        <v>Alex</v>
      </c>
      <c r="H478" s="6" t="str">
        <f>_xlfn.XLOOKUP(Input_Table[[#This Row],[INVOICE ID]],'SuperMarket Analysis'!A:A,'SuperMarket Analysis'!F:F)</f>
        <v>Sports and travel</v>
      </c>
      <c r="I478" s="12">
        <f>_xlfn.XLOOKUP(Input_Table[[#This Row],[INVOICE ID]],'SuperMarket Analysis'!A:A,'SuperMarket Analysis'!G:G)</f>
        <v>33.26</v>
      </c>
      <c r="J478" s="12">
        <f>_xlfn.XLOOKUP(Input_Table[[#This Row],[INVOICE ID]],'SuperMarket Analysis'!A:A,'SuperMarket Analysis'!N:N)</f>
        <v>166.3</v>
      </c>
      <c r="K478" s="12">
        <f>_xlfn.XLOOKUP(Input_Table[[#This Row],[INVOICE ID]],'SuperMarket Analysis'!A:A,'SuperMarket Analysis'!J:J)</f>
        <v>174.61500000000001</v>
      </c>
      <c r="L478" s="6">
        <f>DAY(Input_Table[[#This Row],[DATE]])</f>
        <v>23</v>
      </c>
      <c r="M478" s="6" t="str">
        <f>TEXT(Input_Table[[#This Row],[DATE]],"mmmm")</f>
        <v>January</v>
      </c>
      <c r="N478" s="6">
        <f>YEAR(Input_Table[[#This Row],[DATE]])</f>
        <v>2019</v>
      </c>
    </row>
    <row r="479" spans="1:14" x14ac:dyDescent="0.3">
      <c r="A479" s="2">
        <f>_xlfn.XLOOKUP(B479,SuperMarket_Analysis[Invoice ID],SuperMarket_Analysis[Date])</f>
        <v>43484</v>
      </c>
      <c r="B479" s="6" t="s">
        <v>510</v>
      </c>
      <c r="C479" s="7">
        <f>_xlfn.XLOOKUP(B479,SuperMarket_Analysis[Invoice ID],SuperMarket_Analysis[Quantity])</f>
        <v>4</v>
      </c>
      <c r="D479" s="6" t="str">
        <f>_xlfn.XLOOKUP('Input data'!B479,'SuperMarket Analysis'!A:A,'SuperMarket Analysis'!F:F)</f>
        <v>Electronic accessories</v>
      </c>
      <c r="E479" s="6" t="str">
        <f>_xlfn.XLOOKUP(B479,'SuperMarket Analysis'!A:A,'SuperMarket Analysis'!M:M)</f>
        <v>Ewallet</v>
      </c>
      <c r="F479" s="6">
        <f>0.05*Input_Table[[#This Row],[TOTAL C.O.G.S]]</f>
        <v>16.814</v>
      </c>
      <c r="G479" s="6" t="str">
        <f>_xlfn.XLOOKUP(Input_Table[[#This Row],[INVOICE ID]],'SuperMarket Analysis'!A:A,'SuperMarket Analysis'!B:B)</f>
        <v>Giza</v>
      </c>
      <c r="H479" s="6" t="str">
        <f>_xlfn.XLOOKUP(Input_Table[[#This Row],[INVOICE ID]],'SuperMarket Analysis'!A:A,'SuperMarket Analysis'!F:F)</f>
        <v>Electronic accessories</v>
      </c>
      <c r="I479" s="12">
        <f>_xlfn.XLOOKUP(Input_Table[[#This Row],[INVOICE ID]],'SuperMarket Analysis'!A:A,'SuperMarket Analysis'!G:G)</f>
        <v>84.07</v>
      </c>
      <c r="J479" s="12">
        <f>_xlfn.XLOOKUP(Input_Table[[#This Row],[INVOICE ID]],'SuperMarket Analysis'!A:A,'SuperMarket Analysis'!N:N)</f>
        <v>336.28</v>
      </c>
      <c r="K479" s="12">
        <f>_xlfn.XLOOKUP(Input_Table[[#This Row],[INVOICE ID]],'SuperMarket Analysis'!A:A,'SuperMarket Analysis'!J:J)</f>
        <v>353.09399999999999</v>
      </c>
      <c r="L479" s="6">
        <f>DAY(Input_Table[[#This Row],[DATE]])</f>
        <v>19</v>
      </c>
      <c r="M479" s="6" t="str">
        <f>TEXT(Input_Table[[#This Row],[DATE]],"mmmm")</f>
        <v>January</v>
      </c>
      <c r="N479" s="6">
        <f>YEAR(Input_Table[[#This Row],[DATE]])</f>
        <v>2019</v>
      </c>
    </row>
    <row r="480" spans="1:14" x14ac:dyDescent="0.3">
      <c r="A480" s="2">
        <f>_xlfn.XLOOKUP(B480,SuperMarket_Analysis[Invoice ID],SuperMarket_Analysis[Date])</f>
        <v>43492</v>
      </c>
      <c r="B480" s="6" t="s">
        <v>511</v>
      </c>
      <c r="C480" s="7">
        <f>_xlfn.XLOOKUP(B480,SuperMarket_Analysis[Invoice ID],SuperMarket_Analysis[Quantity])</f>
        <v>10</v>
      </c>
      <c r="D480" s="6" t="str">
        <f>_xlfn.XLOOKUP('Input data'!B480,'SuperMarket Analysis'!A:A,'SuperMarket Analysis'!F:F)</f>
        <v>Sports and travel</v>
      </c>
      <c r="E480" s="6" t="str">
        <f>_xlfn.XLOOKUP(B480,'SuperMarket Analysis'!A:A,'SuperMarket Analysis'!M:M)</f>
        <v>Ewallet</v>
      </c>
      <c r="F480" s="6">
        <f>0.05*Input_Table[[#This Row],[TOTAL C.O.G.S]]</f>
        <v>17.184999999999999</v>
      </c>
      <c r="G480" s="6" t="str">
        <f>_xlfn.XLOOKUP(Input_Table[[#This Row],[INVOICE ID]],'SuperMarket Analysis'!A:A,'SuperMarket Analysis'!B:B)</f>
        <v>Cairo</v>
      </c>
      <c r="H480" s="6" t="str">
        <f>_xlfn.XLOOKUP(Input_Table[[#This Row],[INVOICE ID]],'SuperMarket Analysis'!A:A,'SuperMarket Analysis'!F:F)</f>
        <v>Sports and travel</v>
      </c>
      <c r="I480" s="12">
        <f>_xlfn.XLOOKUP(Input_Table[[#This Row],[INVOICE ID]],'SuperMarket Analysis'!A:A,'SuperMarket Analysis'!G:G)</f>
        <v>34.369999999999997</v>
      </c>
      <c r="J480" s="12">
        <f>_xlfn.XLOOKUP(Input_Table[[#This Row],[INVOICE ID]],'SuperMarket Analysis'!A:A,'SuperMarket Analysis'!N:N)</f>
        <v>343.7</v>
      </c>
      <c r="K480" s="12">
        <f>_xlfn.XLOOKUP(Input_Table[[#This Row],[INVOICE ID]],'SuperMarket Analysis'!A:A,'SuperMarket Analysis'!J:J)</f>
        <v>360.88499999999999</v>
      </c>
      <c r="L480" s="6">
        <f>DAY(Input_Table[[#This Row],[DATE]])</f>
        <v>27</v>
      </c>
      <c r="M480" s="6" t="str">
        <f>TEXT(Input_Table[[#This Row],[DATE]],"mmmm")</f>
        <v>January</v>
      </c>
      <c r="N480" s="6">
        <f>YEAR(Input_Table[[#This Row],[DATE]])</f>
        <v>2019</v>
      </c>
    </row>
    <row r="481" spans="1:14" x14ac:dyDescent="0.3">
      <c r="A481" s="2">
        <f>_xlfn.XLOOKUP(B481,SuperMarket_Analysis[Invoice ID],SuperMarket_Analysis[Date])</f>
        <v>43549</v>
      </c>
      <c r="B481" s="6" t="s">
        <v>512</v>
      </c>
      <c r="C481" s="7">
        <f>_xlfn.XLOOKUP(B481,SuperMarket_Analysis[Invoice ID],SuperMarket_Analysis[Quantity])</f>
        <v>1</v>
      </c>
      <c r="D481" s="6" t="str">
        <f>_xlfn.XLOOKUP('Input data'!B481,'SuperMarket Analysis'!A:A,'SuperMarket Analysis'!F:F)</f>
        <v>Electronic accessories</v>
      </c>
      <c r="E481" s="6" t="str">
        <f>_xlfn.XLOOKUP(B481,'SuperMarket Analysis'!A:A,'SuperMarket Analysis'!M:M)</f>
        <v>Ewallet</v>
      </c>
      <c r="F481" s="6">
        <f>0.05*Input_Table[[#This Row],[TOTAL C.O.G.S]]</f>
        <v>1.9300000000000002</v>
      </c>
      <c r="G481" s="6" t="str">
        <f>_xlfn.XLOOKUP(Input_Table[[#This Row],[INVOICE ID]],'SuperMarket Analysis'!A:A,'SuperMarket Analysis'!B:B)</f>
        <v>Alex</v>
      </c>
      <c r="H481" s="6" t="str">
        <f>_xlfn.XLOOKUP(Input_Table[[#This Row],[INVOICE ID]],'SuperMarket Analysis'!A:A,'SuperMarket Analysis'!F:F)</f>
        <v>Electronic accessories</v>
      </c>
      <c r="I481" s="12">
        <f>_xlfn.XLOOKUP(Input_Table[[#This Row],[INVOICE ID]],'SuperMarket Analysis'!A:A,'SuperMarket Analysis'!G:G)</f>
        <v>38.6</v>
      </c>
      <c r="J481" s="12">
        <f>_xlfn.XLOOKUP(Input_Table[[#This Row],[INVOICE ID]],'SuperMarket Analysis'!A:A,'SuperMarket Analysis'!N:N)</f>
        <v>38.6</v>
      </c>
      <c r="K481" s="12">
        <f>_xlfn.XLOOKUP(Input_Table[[#This Row],[INVOICE ID]],'SuperMarket Analysis'!A:A,'SuperMarket Analysis'!J:J)</f>
        <v>40.53</v>
      </c>
      <c r="L481" s="6">
        <f>DAY(Input_Table[[#This Row],[DATE]])</f>
        <v>25</v>
      </c>
      <c r="M481" s="6" t="str">
        <f>TEXT(Input_Table[[#This Row],[DATE]],"mmmm")</f>
        <v>March</v>
      </c>
      <c r="N481" s="6">
        <f>YEAR(Input_Table[[#This Row],[DATE]])</f>
        <v>2019</v>
      </c>
    </row>
    <row r="482" spans="1:14" x14ac:dyDescent="0.3">
      <c r="A482" s="2">
        <f>_xlfn.XLOOKUP(B482,SuperMarket_Analysis[Invoice ID],SuperMarket_Analysis[Date])</f>
        <v>43520</v>
      </c>
      <c r="B482" s="6" t="s">
        <v>513</v>
      </c>
      <c r="C482" s="7">
        <f>_xlfn.XLOOKUP(B482,SuperMarket_Analysis[Invoice ID],SuperMarket_Analysis[Quantity])</f>
        <v>8</v>
      </c>
      <c r="D482" s="6" t="str">
        <f>_xlfn.XLOOKUP('Input data'!B482,'SuperMarket Analysis'!A:A,'SuperMarket Analysis'!F:F)</f>
        <v>Food and beverages</v>
      </c>
      <c r="E482" s="6" t="str">
        <f>_xlfn.XLOOKUP(B482,'SuperMarket Analysis'!A:A,'SuperMarket Analysis'!M:M)</f>
        <v>Cash</v>
      </c>
      <c r="F482" s="6">
        <f>0.05*Input_Table[[#This Row],[TOTAL C.O.G.S]]</f>
        <v>26.388000000000002</v>
      </c>
      <c r="G482" s="6" t="str">
        <f>_xlfn.XLOOKUP(Input_Table[[#This Row],[INVOICE ID]],'SuperMarket Analysis'!A:A,'SuperMarket Analysis'!B:B)</f>
        <v>Giza</v>
      </c>
      <c r="H482" s="6" t="str">
        <f>_xlfn.XLOOKUP(Input_Table[[#This Row],[INVOICE ID]],'SuperMarket Analysis'!A:A,'SuperMarket Analysis'!F:F)</f>
        <v>Food and beverages</v>
      </c>
      <c r="I482" s="12">
        <f>_xlfn.XLOOKUP(Input_Table[[#This Row],[INVOICE ID]],'SuperMarket Analysis'!A:A,'SuperMarket Analysis'!G:G)</f>
        <v>65.97</v>
      </c>
      <c r="J482" s="12">
        <f>_xlfn.XLOOKUP(Input_Table[[#This Row],[INVOICE ID]],'SuperMarket Analysis'!A:A,'SuperMarket Analysis'!N:N)</f>
        <v>527.76</v>
      </c>
      <c r="K482" s="12">
        <f>_xlfn.XLOOKUP(Input_Table[[#This Row],[INVOICE ID]],'SuperMarket Analysis'!A:A,'SuperMarket Analysis'!J:J)</f>
        <v>554.14800000000002</v>
      </c>
      <c r="L482" s="6">
        <f>DAY(Input_Table[[#This Row],[DATE]])</f>
        <v>24</v>
      </c>
      <c r="M482" s="6" t="str">
        <f>TEXT(Input_Table[[#This Row],[DATE]],"mmmm")</f>
        <v>February</v>
      </c>
      <c r="N482" s="6">
        <f>YEAR(Input_Table[[#This Row],[DATE]])</f>
        <v>2019</v>
      </c>
    </row>
    <row r="483" spans="1:14" x14ac:dyDescent="0.3">
      <c r="A483" s="2">
        <f>_xlfn.XLOOKUP(B483,SuperMarket_Analysis[Invoice ID],SuperMarket_Analysis[Date])</f>
        <v>43510</v>
      </c>
      <c r="B483" s="6" t="s">
        <v>514</v>
      </c>
      <c r="C483" s="7">
        <f>_xlfn.XLOOKUP(B483,SuperMarket_Analysis[Invoice ID],SuperMarket_Analysis[Quantity])</f>
        <v>10</v>
      </c>
      <c r="D483" s="6" t="str">
        <f>_xlfn.XLOOKUP('Input data'!B483,'SuperMarket Analysis'!A:A,'SuperMarket Analysis'!F:F)</f>
        <v>Electronic accessories</v>
      </c>
      <c r="E483" s="6" t="str">
        <f>_xlfn.XLOOKUP(B483,'SuperMarket Analysis'!A:A,'SuperMarket Analysis'!M:M)</f>
        <v>Cash</v>
      </c>
      <c r="F483" s="6">
        <f>0.05*Input_Table[[#This Row],[TOTAL C.O.G.S]]</f>
        <v>16.400000000000002</v>
      </c>
      <c r="G483" s="6" t="str">
        <f>_xlfn.XLOOKUP(Input_Table[[#This Row],[INVOICE ID]],'SuperMarket Analysis'!A:A,'SuperMarket Analysis'!B:B)</f>
        <v>Giza</v>
      </c>
      <c r="H483" s="6" t="str">
        <f>_xlfn.XLOOKUP(Input_Table[[#This Row],[INVOICE ID]],'SuperMarket Analysis'!A:A,'SuperMarket Analysis'!F:F)</f>
        <v>Electronic accessories</v>
      </c>
      <c r="I483" s="12">
        <f>_xlfn.XLOOKUP(Input_Table[[#This Row],[INVOICE ID]],'SuperMarket Analysis'!A:A,'SuperMarket Analysis'!G:G)</f>
        <v>32.799999999999997</v>
      </c>
      <c r="J483" s="12">
        <f>_xlfn.XLOOKUP(Input_Table[[#This Row],[INVOICE ID]],'SuperMarket Analysis'!A:A,'SuperMarket Analysis'!N:N)</f>
        <v>328</v>
      </c>
      <c r="K483" s="12">
        <f>_xlfn.XLOOKUP(Input_Table[[#This Row],[INVOICE ID]],'SuperMarket Analysis'!A:A,'SuperMarket Analysis'!J:J)</f>
        <v>344.4</v>
      </c>
      <c r="L483" s="6">
        <f>DAY(Input_Table[[#This Row],[DATE]])</f>
        <v>14</v>
      </c>
      <c r="M483" s="6" t="str">
        <f>TEXT(Input_Table[[#This Row],[DATE]],"mmmm")</f>
        <v>February</v>
      </c>
      <c r="N483" s="6">
        <f>YEAR(Input_Table[[#This Row],[DATE]])</f>
        <v>2019</v>
      </c>
    </row>
    <row r="484" spans="1:14" x14ac:dyDescent="0.3">
      <c r="A484" s="2">
        <f>_xlfn.XLOOKUP(B484,SuperMarket_Analysis[Invoice ID],SuperMarket_Analysis[Date])</f>
        <v>43494</v>
      </c>
      <c r="B484" s="6" t="s">
        <v>515</v>
      </c>
      <c r="C484" s="7">
        <f>_xlfn.XLOOKUP(B484,SuperMarket_Analysis[Invoice ID],SuperMarket_Analysis[Quantity])</f>
        <v>5</v>
      </c>
      <c r="D484" s="6" t="str">
        <f>_xlfn.XLOOKUP('Input data'!B484,'SuperMarket Analysis'!A:A,'SuperMarket Analysis'!F:F)</f>
        <v>Sports and travel</v>
      </c>
      <c r="E484" s="6" t="str">
        <f>_xlfn.XLOOKUP(B484,'SuperMarket Analysis'!A:A,'SuperMarket Analysis'!M:M)</f>
        <v>Ewallet</v>
      </c>
      <c r="F484" s="6">
        <f>0.05*Input_Table[[#This Row],[TOTAL C.O.G.S]]</f>
        <v>9.2850000000000001</v>
      </c>
      <c r="G484" s="6" t="str">
        <f>_xlfn.XLOOKUP(Input_Table[[#This Row],[INVOICE ID]],'SuperMarket Analysis'!A:A,'SuperMarket Analysis'!B:B)</f>
        <v>Alex</v>
      </c>
      <c r="H484" s="6" t="str">
        <f>_xlfn.XLOOKUP(Input_Table[[#This Row],[INVOICE ID]],'SuperMarket Analysis'!A:A,'SuperMarket Analysis'!F:F)</f>
        <v>Sports and travel</v>
      </c>
      <c r="I484" s="12">
        <f>_xlfn.XLOOKUP(Input_Table[[#This Row],[INVOICE ID]],'SuperMarket Analysis'!A:A,'SuperMarket Analysis'!G:G)</f>
        <v>37.14</v>
      </c>
      <c r="J484" s="12">
        <f>_xlfn.XLOOKUP(Input_Table[[#This Row],[INVOICE ID]],'SuperMarket Analysis'!A:A,'SuperMarket Analysis'!N:N)</f>
        <v>185.7</v>
      </c>
      <c r="K484" s="12">
        <f>_xlfn.XLOOKUP(Input_Table[[#This Row],[INVOICE ID]],'SuperMarket Analysis'!A:A,'SuperMarket Analysis'!J:J)</f>
        <v>194.98500000000001</v>
      </c>
      <c r="L484" s="6">
        <f>DAY(Input_Table[[#This Row],[DATE]])</f>
        <v>29</v>
      </c>
      <c r="M484" s="6" t="str">
        <f>TEXT(Input_Table[[#This Row],[DATE]],"mmmm")</f>
        <v>January</v>
      </c>
      <c r="N484" s="6">
        <f>YEAR(Input_Table[[#This Row],[DATE]])</f>
        <v>2019</v>
      </c>
    </row>
    <row r="485" spans="1:14" x14ac:dyDescent="0.3">
      <c r="A485" s="2">
        <f>_xlfn.XLOOKUP(B485,SuperMarket_Analysis[Invoice ID],SuperMarket_Analysis[Date])</f>
        <v>43493</v>
      </c>
      <c r="B485" s="6" t="s">
        <v>516</v>
      </c>
      <c r="C485" s="7">
        <f>_xlfn.XLOOKUP(B485,SuperMarket_Analysis[Invoice ID],SuperMarket_Analysis[Quantity])</f>
        <v>10</v>
      </c>
      <c r="D485" s="6" t="str">
        <f>_xlfn.XLOOKUP('Input data'!B485,'SuperMarket Analysis'!A:A,'SuperMarket Analysis'!F:F)</f>
        <v>Home and lifestyle</v>
      </c>
      <c r="E485" s="6" t="str">
        <f>_xlfn.XLOOKUP(B485,'SuperMarket Analysis'!A:A,'SuperMarket Analysis'!M:M)</f>
        <v>Cash</v>
      </c>
      <c r="F485" s="6">
        <f>0.05*Input_Table[[#This Row],[TOTAL C.O.G.S]]</f>
        <v>30.189999999999998</v>
      </c>
      <c r="G485" s="6" t="str">
        <f>_xlfn.XLOOKUP(Input_Table[[#This Row],[INVOICE ID]],'SuperMarket Analysis'!A:A,'SuperMarket Analysis'!B:B)</f>
        <v>Cairo</v>
      </c>
      <c r="H485" s="6" t="str">
        <f>_xlfn.XLOOKUP(Input_Table[[#This Row],[INVOICE ID]],'SuperMarket Analysis'!A:A,'SuperMarket Analysis'!F:F)</f>
        <v>Home and lifestyle</v>
      </c>
      <c r="I485" s="12">
        <f>_xlfn.XLOOKUP(Input_Table[[#This Row],[INVOICE ID]],'SuperMarket Analysis'!A:A,'SuperMarket Analysis'!G:G)</f>
        <v>60.38</v>
      </c>
      <c r="J485" s="12">
        <f>_xlfn.XLOOKUP(Input_Table[[#This Row],[INVOICE ID]],'SuperMarket Analysis'!A:A,'SuperMarket Analysis'!N:N)</f>
        <v>603.79999999999995</v>
      </c>
      <c r="K485" s="12">
        <f>_xlfn.XLOOKUP(Input_Table[[#This Row],[INVOICE ID]],'SuperMarket Analysis'!A:A,'SuperMarket Analysis'!J:J)</f>
        <v>633.99</v>
      </c>
      <c r="L485" s="6">
        <f>DAY(Input_Table[[#This Row],[DATE]])</f>
        <v>28</v>
      </c>
      <c r="M485" s="6" t="str">
        <f>TEXT(Input_Table[[#This Row],[DATE]],"mmmm")</f>
        <v>January</v>
      </c>
      <c r="N485" s="6">
        <f>YEAR(Input_Table[[#This Row],[DATE]])</f>
        <v>2019</v>
      </c>
    </row>
    <row r="486" spans="1:14" x14ac:dyDescent="0.3">
      <c r="A486" s="2">
        <f>_xlfn.XLOOKUP(B486,SuperMarket_Analysis[Invoice ID],SuperMarket_Analysis[Date])</f>
        <v>43550</v>
      </c>
      <c r="B486" s="6" t="s">
        <v>517</v>
      </c>
      <c r="C486" s="7">
        <f>_xlfn.XLOOKUP(B486,SuperMarket_Analysis[Invoice ID],SuperMarket_Analysis[Quantity])</f>
        <v>10</v>
      </c>
      <c r="D486" s="6" t="str">
        <f>_xlfn.XLOOKUP('Input data'!B486,'SuperMarket Analysis'!A:A,'SuperMarket Analysis'!F:F)</f>
        <v>Sports and travel</v>
      </c>
      <c r="E486" s="6" t="str">
        <f>_xlfn.XLOOKUP(B486,'SuperMarket Analysis'!A:A,'SuperMarket Analysis'!M:M)</f>
        <v>Credit card</v>
      </c>
      <c r="F486" s="6">
        <f>0.05*Input_Table[[#This Row],[TOTAL C.O.G.S]]</f>
        <v>18.490000000000002</v>
      </c>
      <c r="G486" s="6" t="str">
        <f>_xlfn.XLOOKUP(Input_Table[[#This Row],[INVOICE ID]],'SuperMarket Analysis'!A:A,'SuperMarket Analysis'!B:B)</f>
        <v>Giza</v>
      </c>
      <c r="H486" s="6" t="str">
        <f>_xlfn.XLOOKUP(Input_Table[[#This Row],[INVOICE ID]],'SuperMarket Analysis'!A:A,'SuperMarket Analysis'!F:F)</f>
        <v>Sports and travel</v>
      </c>
      <c r="I486" s="12">
        <f>_xlfn.XLOOKUP(Input_Table[[#This Row],[INVOICE ID]],'SuperMarket Analysis'!A:A,'SuperMarket Analysis'!G:G)</f>
        <v>36.979999999999997</v>
      </c>
      <c r="J486" s="12">
        <f>_xlfn.XLOOKUP(Input_Table[[#This Row],[INVOICE ID]],'SuperMarket Analysis'!A:A,'SuperMarket Analysis'!N:N)</f>
        <v>369.8</v>
      </c>
      <c r="K486" s="12">
        <f>_xlfn.XLOOKUP(Input_Table[[#This Row],[INVOICE ID]],'SuperMarket Analysis'!A:A,'SuperMarket Analysis'!J:J)</f>
        <v>388.29</v>
      </c>
      <c r="L486" s="6">
        <f>DAY(Input_Table[[#This Row],[DATE]])</f>
        <v>26</v>
      </c>
      <c r="M486" s="6" t="str">
        <f>TEXT(Input_Table[[#This Row],[DATE]],"mmmm")</f>
        <v>March</v>
      </c>
      <c r="N486" s="6">
        <f>YEAR(Input_Table[[#This Row],[DATE]])</f>
        <v>2019</v>
      </c>
    </row>
    <row r="487" spans="1:14" x14ac:dyDescent="0.3">
      <c r="A487" s="2">
        <f>_xlfn.XLOOKUP(B487,SuperMarket_Analysis[Invoice ID],SuperMarket_Analysis[Date])</f>
        <v>43548</v>
      </c>
      <c r="B487" s="6" t="s">
        <v>518</v>
      </c>
      <c r="C487" s="7">
        <f>_xlfn.XLOOKUP(B487,SuperMarket_Analysis[Invoice ID],SuperMarket_Analysis[Quantity])</f>
        <v>4</v>
      </c>
      <c r="D487" s="6" t="str">
        <f>_xlfn.XLOOKUP('Input data'!B487,'SuperMarket Analysis'!A:A,'SuperMarket Analysis'!F:F)</f>
        <v>Sports and travel</v>
      </c>
      <c r="E487" s="6" t="str">
        <f>_xlfn.XLOOKUP(B487,'SuperMarket Analysis'!A:A,'SuperMarket Analysis'!M:M)</f>
        <v>Ewallet</v>
      </c>
      <c r="F487" s="6">
        <f>0.05*Input_Table[[#This Row],[TOTAL C.O.G.S]]</f>
        <v>9.8980000000000015</v>
      </c>
      <c r="G487" s="6" t="str">
        <f>_xlfn.XLOOKUP(Input_Table[[#This Row],[INVOICE ID]],'SuperMarket Analysis'!A:A,'SuperMarket Analysis'!B:B)</f>
        <v>Cairo</v>
      </c>
      <c r="H487" s="6" t="str">
        <f>_xlfn.XLOOKUP(Input_Table[[#This Row],[INVOICE ID]],'SuperMarket Analysis'!A:A,'SuperMarket Analysis'!F:F)</f>
        <v>Sports and travel</v>
      </c>
      <c r="I487" s="12">
        <f>_xlfn.XLOOKUP(Input_Table[[#This Row],[INVOICE ID]],'SuperMarket Analysis'!A:A,'SuperMarket Analysis'!G:G)</f>
        <v>49.49</v>
      </c>
      <c r="J487" s="12">
        <f>_xlfn.XLOOKUP(Input_Table[[#This Row],[INVOICE ID]],'SuperMarket Analysis'!A:A,'SuperMarket Analysis'!N:N)</f>
        <v>197.96</v>
      </c>
      <c r="K487" s="12">
        <f>_xlfn.XLOOKUP(Input_Table[[#This Row],[INVOICE ID]],'SuperMarket Analysis'!A:A,'SuperMarket Analysis'!J:J)</f>
        <v>207.858</v>
      </c>
      <c r="L487" s="6">
        <f>DAY(Input_Table[[#This Row],[DATE]])</f>
        <v>24</v>
      </c>
      <c r="M487" s="6" t="str">
        <f>TEXT(Input_Table[[#This Row],[DATE]],"mmmm")</f>
        <v>March</v>
      </c>
      <c r="N487" s="6">
        <f>YEAR(Input_Table[[#This Row],[DATE]])</f>
        <v>2019</v>
      </c>
    </row>
    <row r="488" spans="1:14" x14ac:dyDescent="0.3">
      <c r="A488" s="2">
        <f>_xlfn.XLOOKUP(B488,SuperMarket_Analysis[Invoice ID],SuperMarket_Analysis[Date])</f>
        <v>43489</v>
      </c>
      <c r="B488" s="6" t="s">
        <v>519</v>
      </c>
      <c r="C488" s="7">
        <f>_xlfn.XLOOKUP(B488,SuperMarket_Analysis[Invoice ID],SuperMarket_Analysis[Quantity])</f>
        <v>10</v>
      </c>
      <c r="D488" s="6" t="str">
        <f>_xlfn.XLOOKUP('Input data'!B488,'SuperMarket Analysis'!A:A,'SuperMarket Analysis'!F:F)</f>
        <v>Fashion accessories</v>
      </c>
      <c r="E488" s="6" t="str">
        <f>_xlfn.XLOOKUP(B488,'SuperMarket Analysis'!A:A,'SuperMarket Analysis'!M:M)</f>
        <v>Cash</v>
      </c>
      <c r="F488" s="6">
        <f>0.05*Input_Table[[#This Row],[TOTAL C.O.G.S]]</f>
        <v>20.545000000000002</v>
      </c>
      <c r="G488" s="6" t="str">
        <f>_xlfn.XLOOKUP(Input_Table[[#This Row],[INVOICE ID]],'SuperMarket Analysis'!A:A,'SuperMarket Analysis'!B:B)</f>
        <v>Cairo</v>
      </c>
      <c r="H488" s="6" t="str">
        <f>_xlfn.XLOOKUP(Input_Table[[#This Row],[INVOICE ID]],'SuperMarket Analysis'!A:A,'SuperMarket Analysis'!F:F)</f>
        <v>Fashion accessories</v>
      </c>
      <c r="I488" s="12">
        <f>_xlfn.XLOOKUP(Input_Table[[#This Row],[INVOICE ID]],'SuperMarket Analysis'!A:A,'SuperMarket Analysis'!G:G)</f>
        <v>41.09</v>
      </c>
      <c r="J488" s="12">
        <f>_xlfn.XLOOKUP(Input_Table[[#This Row],[INVOICE ID]],'SuperMarket Analysis'!A:A,'SuperMarket Analysis'!N:N)</f>
        <v>410.9</v>
      </c>
      <c r="K488" s="12">
        <f>_xlfn.XLOOKUP(Input_Table[[#This Row],[INVOICE ID]],'SuperMarket Analysis'!A:A,'SuperMarket Analysis'!J:J)</f>
        <v>431.44499999999999</v>
      </c>
      <c r="L488" s="6">
        <f>DAY(Input_Table[[#This Row],[DATE]])</f>
        <v>24</v>
      </c>
      <c r="M488" s="6" t="str">
        <f>TEXT(Input_Table[[#This Row],[DATE]],"mmmm")</f>
        <v>January</v>
      </c>
      <c r="N488" s="6">
        <f>YEAR(Input_Table[[#This Row],[DATE]])</f>
        <v>2019</v>
      </c>
    </row>
    <row r="489" spans="1:14" x14ac:dyDescent="0.3">
      <c r="A489" s="2">
        <f>_xlfn.XLOOKUP(B489,SuperMarket_Analysis[Invoice ID],SuperMarket_Analysis[Date])</f>
        <v>43521</v>
      </c>
      <c r="B489" s="6" t="s">
        <v>520</v>
      </c>
      <c r="C489" s="7">
        <f>_xlfn.XLOOKUP(B489,SuperMarket_Analysis[Invoice ID],SuperMarket_Analysis[Quantity])</f>
        <v>4</v>
      </c>
      <c r="D489" s="6" t="str">
        <f>_xlfn.XLOOKUP('Input data'!B489,'SuperMarket Analysis'!A:A,'SuperMarket Analysis'!F:F)</f>
        <v>Fashion accessories</v>
      </c>
      <c r="E489" s="6" t="str">
        <f>_xlfn.XLOOKUP(B489,'SuperMarket Analysis'!A:A,'SuperMarket Analysis'!M:M)</f>
        <v>Ewallet</v>
      </c>
      <c r="F489" s="6">
        <f>0.05*Input_Table[[#This Row],[TOTAL C.O.G.S]]</f>
        <v>7.43</v>
      </c>
      <c r="G489" s="6" t="str">
        <f>_xlfn.XLOOKUP(Input_Table[[#This Row],[INVOICE ID]],'SuperMarket Analysis'!A:A,'SuperMarket Analysis'!B:B)</f>
        <v>Alex</v>
      </c>
      <c r="H489" s="6" t="str">
        <f>_xlfn.XLOOKUP(Input_Table[[#This Row],[INVOICE ID]],'SuperMarket Analysis'!A:A,'SuperMarket Analysis'!F:F)</f>
        <v>Fashion accessories</v>
      </c>
      <c r="I489" s="12">
        <f>_xlfn.XLOOKUP(Input_Table[[#This Row],[INVOICE ID]],'SuperMarket Analysis'!A:A,'SuperMarket Analysis'!G:G)</f>
        <v>37.15</v>
      </c>
      <c r="J489" s="12">
        <f>_xlfn.XLOOKUP(Input_Table[[#This Row],[INVOICE ID]],'SuperMarket Analysis'!A:A,'SuperMarket Analysis'!N:N)</f>
        <v>148.6</v>
      </c>
      <c r="K489" s="12">
        <f>_xlfn.XLOOKUP(Input_Table[[#This Row],[INVOICE ID]],'SuperMarket Analysis'!A:A,'SuperMarket Analysis'!J:J)</f>
        <v>156.03</v>
      </c>
      <c r="L489" s="6">
        <f>DAY(Input_Table[[#This Row],[DATE]])</f>
        <v>25</v>
      </c>
      <c r="M489" s="6" t="str">
        <f>TEXT(Input_Table[[#This Row],[DATE]],"mmmm")</f>
        <v>February</v>
      </c>
      <c r="N489" s="6">
        <f>YEAR(Input_Table[[#This Row],[DATE]])</f>
        <v>2019</v>
      </c>
    </row>
    <row r="490" spans="1:14" x14ac:dyDescent="0.3">
      <c r="A490" s="2">
        <f>_xlfn.XLOOKUP(B490,SuperMarket_Analysis[Invoice ID],SuperMarket_Analysis[Date])</f>
        <v>43510</v>
      </c>
      <c r="B490" s="6" t="s">
        <v>521</v>
      </c>
      <c r="C490" s="7">
        <f>_xlfn.XLOOKUP(B490,SuperMarket_Analysis[Invoice ID],SuperMarket_Analysis[Quantity])</f>
        <v>1</v>
      </c>
      <c r="D490" s="6" t="str">
        <f>_xlfn.XLOOKUP('Input data'!B490,'SuperMarket Analysis'!A:A,'SuperMarket Analysis'!F:F)</f>
        <v>Home and lifestyle</v>
      </c>
      <c r="E490" s="6" t="str">
        <f>_xlfn.XLOOKUP(B490,'SuperMarket Analysis'!A:A,'SuperMarket Analysis'!M:M)</f>
        <v>Cash</v>
      </c>
      <c r="F490" s="6">
        <f>0.05*Input_Table[[#This Row],[TOTAL C.O.G.S]]</f>
        <v>1.1480000000000001</v>
      </c>
      <c r="G490" s="6" t="str">
        <f>_xlfn.XLOOKUP(Input_Table[[#This Row],[INVOICE ID]],'SuperMarket Analysis'!A:A,'SuperMarket Analysis'!B:B)</f>
        <v>Giza</v>
      </c>
      <c r="H490" s="6" t="str">
        <f>_xlfn.XLOOKUP(Input_Table[[#This Row],[INVOICE ID]],'SuperMarket Analysis'!A:A,'SuperMarket Analysis'!F:F)</f>
        <v>Home and lifestyle</v>
      </c>
      <c r="I490" s="12">
        <f>_xlfn.XLOOKUP(Input_Table[[#This Row],[INVOICE ID]],'SuperMarket Analysis'!A:A,'SuperMarket Analysis'!G:G)</f>
        <v>22.96</v>
      </c>
      <c r="J490" s="12">
        <f>_xlfn.XLOOKUP(Input_Table[[#This Row],[INVOICE ID]],'SuperMarket Analysis'!A:A,'SuperMarket Analysis'!N:N)</f>
        <v>22.96</v>
      </c>
      <c r="K490" s="12">
        <f>_xlfn.XLOOKUP(Input_Table[[#This Row],[INVOICE ID]],'SuperMarket Analysis'!A:A,'SuperMarket Analysis'!J:J)</f>
        <v>24.108000000000001</v>
      </c>
      <c r="L490" s="6">
        <f>DAY(Input_Table[[#This Row],[DATE]])</f>
        <v>14</v>
      </c>
      <c r="M490" s="6" t="str">
        <f>TEXT(Input_Table[[#This Row],[DATE]],"mmmm")</f>
        <v>February</v>
      </c>
      <c r="N490" s="6">
        <f>YEAR(Input_Table[[#This Row],[DATE]])</f>
        <v>2019</v>
      </c>
    </row>
    <row r="491" spans="1:14" x14ac:dyDescent="0.3">
      <c r="A491" s="2">
        <f>_xlfn.XLOOKUP(B491,SuperMarket_Analysis[Invoice ID],SuperMarket_Analysis[Date])</f>
        <v>43550</v>
      </c>
      <c r="B491" s="6" t="s">
        <v>522</v>
      </c>
      <c r="C491" s="7">
        <f>_xlfn.XLOOKUP(B491,SuperMarket_Analysis[Invoice ID],SuperMarket_Analysis[Quantity])</f>
        <v>9</v>
      </c>
      <c r="D491" s="6" t="str">
        <f>_xlfn.XLOOKUP('Input data'!B491,'SuperMarket Analysis'!A:A,'SuperMarket Analysis'!F:F)</f>
        <v>Home and lifestyle</v>
      </c>
      <c r="E491" s="6" t="str">
        <f>_xlfn.XLOOKUP(B491,'SuperMarket Analysis'!A:A,'SuperMarket Analysis'!M:M)</f>
        <v>Ewallet</v>
      </c>
      <c r="F491" s="6">
        <f>0.05*Input_Table[[#This Row],[TOTAL C.O.G.S]]</f>
        <v>34.956000000000003</v>
      </c>
      <c r="G491" s="6" t="str">
        <f>_xlfn.XLOOKUP(Input_Table[[#This Row],[INVOICE ID]],'SuperMarket Analysis'!A:A,'SuperMarket Analysis'!B:B)</f>
        <v>Cairo</v>
      </c>
      <c r="H491" s="6" t="str">
        <f>_xlfn.XLOOKUP(Input_Table[[#This Row],[INVOICE ID]],'SuperMarket Analysis'!A:A,'SuperMarket Analysis'!F:F)</f>
        <v>Home and lifestyle</v>
      </c>
      <c r="I491" s="12">
        <f>_xlfn.XLOOKUP(Input_Table[[#This Row],[INVOICE ID]],'SuperMarket Analysis'!A:A,'SuperMarket Analysis'!G:G)</f>
        <v>77.680000000000007</v>
      </c>
      <c r="J491" s="12">
        <f>_xlfn.XLOOKUP(Input_Table[[#This Row],[INVOICE ID]],'SuperMarket Analysis'!A:A,'SuperMarket Analysis'!N:N)</f>
        <v>699.12</v>
      </c>
      <c r="K491" s="12">
        <f>_xlfn.XLOOKUP(Input_Table[[#This Row],[INVOICE ID]],'SuperMarket Analysis'!A:A,'SuperMarket Analysis'!J:J)</f>
        <v>734.07600000000002</v>
      </c>
      <c r="L491" s="6">
        <f>DAY(Input_Table[[#This Row],[DATE]])</f>
        <v>26</v>
      </c>
      <c r="M491" s="6" t="str">
        <f>TEXT(Input_Table[[#This Row],[DATE]],"mmmm")</f>
        <v>March</v>
      </c>
      <c r="N491" s="6">
        <f>YEAR(Input_Table[[#This Row],[DATE]])</f>
        <v>2019</v>
      </c>
    </row>
    <row r="492" spans="1:14" x14ac:dyDescent="0.3">
      <c r="A492" s="2">
        <f>_xlfn.XLOOKUP(B492,SuperMarket_Analysis[Invoice ID],SuperMarket_Analysis[Date])</f>
        <v>43480</v>
      </c>
      <c r="B492" s="6" t="s">
        <v>523</v>
      </c>
      <c r="C492" s="7">
        <f>_xlfn.XLOOKUP(B492,SuperMarket_Analysis[Invoice ID],SuperMarket_Analysis[Quantity])</f>
        <v>2</v>
      </c>
      <c r="D492" s="6" t="str">
        <f>_xlfn.XLOOKUP('Input data'!B492,'SuperMarket Analysis'!A:A,'SuperMarket Analysis'!F:F)</f>
        <v>Fashion accessories</v>
      </c>
      <c r="E492" s="6" t="str">
        <f>_xlfn.XLOOKUP(B492,'SuperMarket Analysis'!A:A,'SuperMarket Analysis'!M:M)</f>
        <v>Ewallet</v>
      </c>
      <c r="F492" s="6">
        <f>0.05*Input_Table[[#This Row],[TOTAL C.O.G.S]]</f>
        <v>3.4700000000000006</v>
      </c>
      <c r="G492" s="6" t="str">
        <f>_xlfn.XLOOKUP(Input_Table[[#This Row],[INVOICE ID]],'SuperMarket Analysis'!A:A,'SuperMarket Analysis'!B:B)</f>
        <v>Cairo</v>
      </c>
      <c r="H492" s="6" t="str">
        <f>_xlfn.XLOOKUP(Input_Table[[#This Row],[INVOICE ID]],'SuperMarket Analysis'!A:A,'SuperMarket Analysis'!F:F)</f>
        <v>Fashion accessories</v>
      </c>
      <c r="I492" s="12">
        <f>_xlfn.XLOOKUP(Input_Table[[#This Row],[INVOICE ID]],'SuperMarket Analysis'!A:A,'SuperMarket Analysis'!G:G)</f>
        <v>34.700000000000003</v>
      </c>
      <c r="J492" s="12">
        <f>_xlfn.XLOOKUP(Input_Table[[#This Row],[INVOICE ID]],'SuperMarket Analysis'!A:A,'SuperMarket Analysis'!N:N)</f>
        <v>69.400000000000006</v>
      </c>
      <c r="K492" s="12">
        <f>_xlfn.XLOOKUP(Input_Table[[#This Row],[INVOICE ID]],'SuperMarket Analysis'!A:A,'SuperMarket Analysis'!J:J)</f>
        <v>72.87</v>
      </c>
      <c r="L492" s="6">
        <f>DAY(Input_Table[[#This Row],[DATE]])</f>
        <v>15</v>
      </c>
      <c r="M492" s="6" t="str">
        <f>TEXT(Input_Table[[#This Row],[DATE]],"mmmm")</f>
        <v>January</v>
      </c>
      <c r="N492" s="6">
        <f>YEAR(Input_Table[[#This Row],[DATE]])</f>
        <v>2019</v>
      </c>
    </row>
    <row r="493" spans="1:14" x14ac:dyDescent="0.3">
      <c r="A493" s="2">
        <f>_xlfn.XLOOKUP(B493,SuperMarket_Analysis[Invoice ID],SuperMarket_Analysis[Date])</f>
        <v>43511</v>
      </c>
      <c r="B493" s="6" t="s">
        <v>524</v>
      </c>
      <c r="C493" s="7">
        <f>_xlfn.XLOOKUP(B493,SuperMarket_Analysis[Invoice ID],SuperMarket_Analysis[Quantity])</f>
        <v>10</v>
      </c>
      <c r="D493" s="6" t="str">
        <f>_xlfn.XLOOKUP('Input data'!B493,'SuperMarket Analysis'!A:A,'SuperMarket Analysis'!F:F)</f>
        <v>Fashion accessories</v>
      </c>
      <c r="E493" s="6" t="str">
        <f>_xlfn.XLOOKUP(B493,'SuperMarket Analysis'!A:A,'SuperMarket Analysis'!M:M)</f>
        <v>Credit card</v>
      </c>
      <c r="F493" s="6">
        <f>0.05*Input_Table[[#This Row],[TOTAL C.O.G.S]]</f>
        <v>9.83</v>
      </c>
      <c r="G493" s="6" t="str">
        <f>_xlfn.XLOOKUP(Input_Table[[#This Row],[INVOICE ID]],'SuperMarket Analysis'!A:A,'SuperMarket Analysis'!B:B)</f>
        <v>Alex</v>
      </c>
      <c r="H493" s="6" t="str">
        <f>_xlfn.XLOOKUP(Input_Table[[#This Row],[INVOICE ID]],'SuperMarket Analysis'!A:A,'SuperMarket Analysis'!F:F)</f>
        <v>Fashion accessories</v>
      </c>
      <c r="I493" s="12">
        <f>_xlfn.XLOOKUP(Input_Table[[#This Row],[INVOICE ID]],'SuperMarket Analysis'!A:A,'SuperMarket Analysis'!G:G)</f>
        <v>19.66</v>
      </c>
      <c r="J493" s="12">
        <f>_xlfn.XLOOKUP(Input_Table[[#This Row],[INVOICE ID]],'SuperMarket Analysis'!A:A,'SuperMarket Analysis'!N:N)</f>
        <v>196.6</v>
      </c>
      <c r="K493" s="12">
        <f>_xlfn.XLOOKUP(Input_Table[[#This Row],[INVOICE ID]],'SuperMarket Analysis'!A:A,'SuperMarket Analysis'!J:J)</f>
        <v>206.43</v>
      </c>
      <c r="L493" s="6">
        <f>DAY(Input_Table[[#This Row],[DATE]])</f>
        <v>15</v>
      </c>
      <c r="M493" s="6" t="str">
        <f>TEXT(Input_Table[[#This Row],[DATE]],"mmmm")</f>
        <v>February</v>
      </c>
      <c r="N493" s="6">
        <f>YEAR(Input_Table[[#This Row],[DATE]])</f>
        <v>2019</v>
      </c>
    </row>
    <row r="494" spans="1:14" x14ac:dyDescent="0.3">
      <c r="A494" s="2">
        <f>_xlfn.XLOOKUP(B494,SuperMarket_Analysis[Invoice ID],SuperMarket_Analysis[Date])</f>
        <v>43524</v>
      </c>
      <c r="B494" s="6" t="s">
        <v>525</v>
      </c>
      <c r="C494" s="7">
        <f>_xlfn.XLOOKUP(B494,SuperMarket_Analysis[Invoice ID],SuperMarket_Analysis[Quantity])</f>
        <v>8</v>
      </c>
      <c r="D494" s="6" t="str">
        <f>_xlfn.XLOOKUP('Input data'!B494,'SuperMarket Analysis'!A:A,'SuperMarket Analysis'!F:F)</f>
        <v>Health and beauty</v>
      </c>
      <c r="E494" s="6" t="str">
        <f>_xlfn.XLOOKUP(B494,'SuperMarket Analysis'!A:A,'SuperMarket Analysis'!M:M)</f>
        <v>Ewallet</v>
      </c>
      <c r="F494" s="6">
        <f>0.05*Input_Table[[#This Row],[TOTAL C.O.G.S]]</f>
        <v>10.128</v>
      </c>
      <c r="G494" s="6" t="str">
        <f>_xlfn.XLOOKUP(Input_Table[[#This Row],[INVOICE ID]],'SuperMarket Analysis'!A:A,'SuperMarket Analysis'!B:B)</f>
        <v>Cairo</v>
      </c>
      <c r="H494" s="6" t="str">
        <f>_xlfn.XLOOKUP(Input_Table[[#This Row],[INVOICE ID]],'SuperMarket Analysis'!A:A,'SuperMarket Analysis'!F:F)</f>
        <v>Health and beauty</v>
      </c>
      <c r="I494" s="12">
        <f>_xlfn.XLOOKUP(Input_Table[[#This Row],[INVOICE ID]],'SuperMarket Analysis'!A:A,'SuperMarket Analysis'!G:G)</f>
        <v>25.32</v>
      </c>
      <c r="J494" s="12">
        <f>_xlfn.XLOOKUP(Input_Table[[#This Row],[INVOICE ID]],'SuperMarket Analysis'!A:A,'SuperMarket Analysis'!N:N)</f>
        <v>202.56</v>
      </c>
      <c r="K494" s="12">
        <f>_xlfn.XLOOKUP(Input_Table[[#This Row],[INVOICE ID]],'SuperMarket Analysis'!A:A,'SuperMarket Analysis'!J:J)</f>
        <v>212.68799999999999</v>
      </c>
      <c r="L494" s="6">
        <f>DAY(Input_Table[[#This Row],[DATE]])</f>
        <v>28</v>
      </c>
      <c r="M494" s="6" t="str">
        <f>TEXT(Input_Table[[#This Row],[DATE]],"mmmm")</f>
        <v>February</v>
      </c>
      <c r="N494" s="6">
        <f>YEAR(Input_Table[[#This Row],[DATE]])</f>
        <v>2019</v>
      </c>
    </row>
    <row r="495" spans="1:14" x14ac:dyDescent="0.3">
      <c r="A495" s="2">
        <f>_xlfn.XLOOKUP(B495,SuperMarket_Analysis[Invoice ID],SuperMarket_Analysis[Date])</f>
        <v>43509</v>
      </c>
      <c r="B495" s="6" t="s">
        <v>526</v>
      </c>
      <c r="C495" s="7">
        <f>_xlfn.XLOOKUP(B495,SuperMarket_Analysis[Invoice ID],SuperMarket_Analysis[Quantity])</f>
        <v>10</v>
      </c>
      <c r="D495" s="6" t="str">
        <f>_xlfn.XLOOKUP('Input data'!B495,'SuperMarket Analysis'!A:A,'SuperMarket Analysis'!F:F)</f>
        <v>Home and lifestyle</v>
      </c>
      <c r="E495" s="6" t="str">
        <f>_xlfn.XLOOKUP(B495,'SuperMarket Analysis'!A:A,'SuperMarket Analysis'!M:M)</f>
        <v>Credit card</v>
      </c>
      <c r="F495" s="6">
        <f>0.05*Input_Table[[#This Row],[TOTAL C.O.G.S]]</f>
        <v>6.0600000000000005</v>
      </c>
      <c r="G495" s="6" t="str">
        <f>_xlfn.XLOOKUP(Input_Table[[#This Row],[INVOICE ID]],'SuperMarket Analysis'!A:A,'SuperMarket Analysis'!B:B)</f>
        <v>Giza</v>
      </c>
      <c r="H495" s="6" t="str">
        <f>_xlfn.XLOOKUP(Input_Table[[#This Row],[INVOICE ID]],'SuperMarket Analysis'!A:A,'SuperMarket Analysis'!F:F)</f>
        <v>Home and lifestyle</v>
      </c>
      <c r="I495" s="12">
        <f>_xlfn.XLOOKUP(Input_Table[[#This Row],[INVOICE ID]],'SuperMarket Analysis'!A:A,'SuperMarket Analysis'!G:G)</f>
        <v>12.12</v>
      </c>
      <c r="J495" s="12">
        <f>_xlfn.XLOOKUP(Input_Table[[#This Row],[INVOICE ID]],'SuperMarket Analysis'!A:A,'SuperMarket Analysis'!N:N)</f>
        <v>121.2</v>
      </c>
      <c r="K495" s="12">
        <f>_xlfn.XLOOKUP(Input_Table[[#This Row],[INVOICE ID]],'SuperMarket Analysis'!A:A,'SuperMarket Analysis'!J:J)</f>
        <v>127.26</v>
      </c>
      <c r="L495" s="6">
        <f>DAY(Input_Table[[#This Row],[DATE]])</f>
        <v>13</v>
      </c>
      <c r="M495" s="6" t="str">
        <f>TEXT(Input_Table[[#This Row],[DATE]],"mmmm")</f>
        <v>February</v>
      </c>
      <c r="N495" s="6">
        <f>YEAR(Input_Table[[#This Row],[DATE]])</f>
        <v>2019</v>
      </c>
    </row>
    <row r="496" spans="1:14" x14ac:dyDescent="0.3">
      <c r="A496" s="2">
        <f>_xlfn.XLOOKUP(B496,SuperMarket_Analysis[Invoice ID],SuperMarket_Analysis[Date])</f>
        <v>43491</v>
      </c>
      <c r="B496" s="6" t="s">
        <v>527</v>
      </c>
      <c r="C496" s="7">
        <f>_xlfn.XLOOKUP(B496,SuperMarket_Analysis[Invoice ID],SuperMarket_Analysis[Quantity])</f>
        <v>2</v>
      </c>
      <c r="D496" s="6" t="str">
        <f>_xlfn.XLOOKUP('Input data'!B496,'SuperMarket Analysis'!A:A,'SuperMarket Analysis'!F:F)</f>
        <v>Fashion accessories</v>
      </c>
      <c r="E496" s="6" t="str">
        <f>_xlfn.XLOOKUP(B496,'SuperMarket Analysis'!A:A,'SuperMarket Analysis'!M:M)</f>
        <v>Ewallet</v>
      </c>
      <c r="F496" s="6">
        <f>0.05*Input_Table[[#This Row],[TOTAL C.O.G.S]]</f>
        <v>9.9890000000000008</v>
      </c>
      <c r="G496" s="6" t="str">
        <f>_xlfn.XLOOKUP(Input_Table[[#This Row],[INVOICE ID]],'SuperMarket Analysis'!A:A,'SuperMarket Analysis'!B:B)</f>
        <v>Cairo</v>
      </c>
      <c r="H496" s="6" t="str">
        <f>_xlfn.XLOOKUP(Input_Table[[#This Row],[INVOICE ID]],'SuperMarket Analysis'!A:A,'SuperMarket Analysis'!F:F)</f>
        <v>Fashion accessories</v>
      </c>
      <c r="I496" s="12">
        <f>_xlfn.XLOOKUP(Input_Table[[#This Row],[INVOICE ID]],'SuperMarket Analysis'!A:A,'SuperMarket Analysis'!G:G)</f>
        <v>99.89</v>
      </c>
      <c r="J496" s="12">
        <f>_xlfn.XLOOKUP(Input_Table[[#This Row],[INVOICE ID]],'SuperMarket Analysis'!A:A,'SuperMarket Analysis'!N:N)</f>
        <v>199.78</v>
      </c>
      <c r="K496" s="12">
        <f>_xlfn.XLOOKUP(Input_Table[[#This Row],[INVOICE ID]],'SuperMarket Analysis'!A:A,'SuperMarket Analysis'!J:J)</f>
        <v>209.76900000000001</v>
      </c>
      <c r="L496" s="6">
        <f>DAY(Input_Table[[#This Row],[DATE]])</f>
        <v>26</v>
      </c>
      <c r="M496" s="6" t="str">
        <f>TEXT(Input_Table[[#This Row],[DATE]],"mmmm")</f>
        <v>January</v>
      </c>
      <c r="N496" s="6">
        <f>YEAR(Input_Table[[#This Row],[DATE]])</f>
        <v>2019</v>
      </c>
    </row>
    <row r="497" spans="1:14" x14ac:dyDescent="0.3">
      <c r="A497" s="2">
        <f>_xlfn.XLOOKUP(B497,SuperMarket_Analysis[Invoice ID],SuperMarket_Analysis[Date])</f>
        <v>43495</v>
      </c>
      <c r="B497" s="6" t="s">
        <v>528</v>
      </c>
      <c r="C497" s="7">
        <f>_xlfn.XLOOKUP(B497,SuperMarket_Analysis[Invoice ID],SuperMarket_Analysis[Quantity])</f>
        <v>8</v>
      </c>
      <c r="D497" s="6" t="str">
        <f>_xlfn.XLOOKUP('Input data'!B497,'SuperMarket Analysis'!A:A,'SuperMarket Analysis'!F:F)</f>
        <v>Sports and travel</v>
      </c>
      <c r="E497" s="6" t="str">
        <f>_xlfn.XLOOKUP(B497,'SuperMarket Analysis'!A:A,'SuperMarket Analysis'!M:M)</f>
        <v>Cash</v>
      </c>
      <c r="F497" s="6">
        <f>0.05*Input_Table[[#This Row],[TOTAL C.O.G.S]]</f>
        <v>30.368000000000002</v>
      </c>
      <c r="G497" s="6" t="str">
        <f>_xlfn.XLOOKUP(Input_Table[[#This Row],[INVOICE ID]],'SuperMarket Analysis'!A:A,'SuperMarket Analysis'!B:B)</f>
        <v>Cairo</v>
      </c>
      <c r="H497" s="6" t="str">
        <f>_xlfn.XLOOKUP(Input_Table[[#This Row],[INVOICE ID]],'SuperMarket Analysis'!A:A,'SuperMarket Analysis'!F:F)</f>
        <v>Sports and travel</v>
      </c>
      <c r="I497" s="12">
        <f>_xlfn.XLOOKUP(Input_Table[[#This Row],[INVOICE ID]],'SuperMarket Analysis'!A:A,'SuperMarket Analysis'!G:G)</f>
        <v>75.92</v>
      </c>
      <c r="J497" s="12">
        <f>_xlfn.XLOOKUP(Input_Table[[#This Row],[INVOICE ID]],'SuperMarket Analysis'!A:A,'SuperMarket Analysis'!N:N)</f>
        <v>607.36</v>
      </c>
      <c r="K497" s="12">
        <f>_xlfn.XLOOKUP(Input_Table[[#This Row],[INVOICE ID]],'SuperMarket Analysis'!A:A,'SuperMarket Analysis'!J:J)</f>
        <v>637.72799999999995</v>
      </c>
      <c r="L497" s="6">
        <f>DAY(Input_Table[[#This Row],[DATE]])</f>
        <v>30</v>
      </c>
      <c r="M497" s="6" t="str">
        <f>TEXT(Input_Table[[#This Row],[DATE]],"mmmm")</f>
        <v>January</v>
      </c>
      <c r="N497" s="6">
        <f>YEAR(Input_Table[[#This Row],[DATE]])</f>
        <v>2019</v>
      </c>
    </row>
    <row r="498" spans="1:14" x14ac:dyDescent="0.3">
      <c r="A498" s="2">
        <f>_xlfn.XLOOKUP(B498,SuperMarket_Analysis[Invoice ID],SuperMarket_Analysis[Date])</f>
        <v>43492</v>
      </c>
      <c r="B498" s="6" t="s">
        <v>529</v>
      </c>
      <c r="C498" s="7">
        <f>_xlfn.XLOOKUP(B498,SuperMarket_Analysis[Invoice ID],SuperMarket_Analysis[Quantity])</f>
        <v>2</v>
      </c>
      <c r="D498" s="6" t="str">
        <f>_xlfn.XLOOKUP('Input data'!B498,'SuperMarket Analysis'!A:A,'SuperMarket Analysis'!F:F)</f>
        <v>Electronic accessories</v>
      </c>
      <c r="E498" s="6" t="str">
        <f>_xlfn.XLOOKUP(B498,'SuperMarket Analysis'!A:A,'SuperMarket Analysis'!M:M)</f>
        <v>Cash</v>
      </c>
      <c r="F498" s="6">
        <f>0.05*Input_Table[[#This Row],[TOTAL C.O.G.S]]</f>
        <v>6.3220000000000001</v>
      </c>
      <c r="G498" s="6" t="str">
        <f>_xlfn.XLOOKUP(Input_Table[[#This Row],[INVOICE ID]],'SuperMarket Analysis'!A:A,'SuperMarket Analysis'!B:B)</f>
        <v>Giza</v>
      </c>
      <c r="H498" s="6" t="str">
        <f>_xlfn.XLOOKUP(Input_Table[[#This Row],[INVOICE ID]],'SuperMarket Analysis'!A:A,'SuperMarket Analysis'!F:F)</f>
        <v>Electronic accessories</v>
      </c>
      <c r="I498" s="12">
        <f>_xlfn.XLOOKUP(Input_Table[[#This Row],[INVOICE ID]],'SuperMarket Analysis'!A:A,'SuperMarket Analysis'!G:G)</f>
        <v>63.22</v>
      </c>
      <c r="J498" s="12">
        <f>_xlfn.XLOOKUP(Input_Table[[#This Row],[INVOICE ID]],'SuperMarket Analysis'!A:A,'SuperMarket Analysis'!N:N)</f>
        <v>126.44</v>
      </c>
      <c r="K498" s="12">
        <f>_xlfn.XLOOKUP(Input_Table[[#This Row],[INVOICE ID]],'SuperMarket Analysis'!A:A,'SuperMarket Analysis'!J:J)</f>
        <v>132.762</v>
      </c>
      <c r="L498" s="6">
        <f>DAY(Input_Table[[#This Row],[DATE]])</f>
        <v>27</v>
      </c>
      <c r="M498" s="6" t="str">
        <f>TEXT(Input_Table[[#This Row],[DATE]],"mmmm")</f>
        <v>January</v>
      </c>
      <c r="N498" s="6">
        <f>YEAR(Input_Table[[#This Row],[DATE]])</f>
        <v>2019</v>
      </c>
    </row>
    <row r="499" spans="1:14" x14ac:dyDescent="0.3">
      <c r="A499" s="2">
        <f>_xlfn.XLOOKUP(B499,SuperMarket_Analysis[Invoice ID],SuperMarket_Analysis[Date])</f>
        <v>43495</v>
      </c>
      <c r="B499" s="6" t="s">
        <v>530</v>
      </c>
      <c r="C499" s="7">
        <f>_xlfn.XLOOKUP(B499,SuperMarket_Analysis[Invoice ID],SuperMarket_Analysis[Quantity])</f>
        <v>6</v>
      </c>
      <c r="D499" s="6" t="str">
        <f>_xlfn.XLOOKUP('Input data'!B499,'SuperMarket Analysis'!A:A,'SuperMarket Analysis'!F:F)</f>
        <v>Food and beverages</v>
      </c>
      <c r="E499" s="6" t="str">
        <f>_xlfn.XLOOKUP(B499,'SuperMarket Analysis'!A:A,'SuperMarket Analysis'!M:M)</f>
        <v>Cash</v>
      </c>
      <c r="F499" s="6">
        <f>0.05*Input_Table[[#This Row],[TOTAL C.O.G.S]]</f>
        <v>27.072000000000003</v>
      </c>
      <c r="G499" s="6" t="str">
        <f>_xlfn.XLOOKUP(Input_Table[[#This Row],[INVOICE ID]],'SuperMarket Analysis'!A:A,'SuperMarket Analysis'!B:B)</f>
        <v>Giza</v>
      </c>
      <c r="H499" s="6" t="str">
        <f>_xlfn.XLOOKUP(Input_Table[[#This Row],[INVOICE ID]],'SuperMarket Analysis'!A:A,'SuperMarket Analysis'!F:F)</f>
        <v>Food and beverages</v>
      </c>
      <c r="I499" s="12">
        <f>_xlfn.XLOOKUP(Input_Table[[#This Row],[INVOICE ID]],'SuperMarket Analysis'!A:A,'SuperMarket Analysis'!G:G)</f>
        <v>90.24</v>
      </c>
      <c r="J499" s="12">
        <f>_xlfn.XLOOKUP(Input_Table[[#This Row],[INVOICE ID]],'SuperMarket Analysis'!A:A,'SuperMarket Analysis'!N:N)</f>
        <v>541.44000000000005</v>
      </c>
      <c r="K499" s="12">
        <f>_xlfn.XLOOKUP(Input_Table[[#This Row],[INVOICE ID]],'SuperMarket Analysis'!A:A,'SuperMarket Analysis'!J:J)</f>
        <v>568.51199999999994</v>
      </c>
      <c r="L499" s="6">
        <f>DAY(Input_Table[[#This Row],[DATE]])</f>
        <v>30</v>
      </c>
      <c r="M499" s="6" t="str">
        <f>TEXT(Input_Table[[#This Row],[DATE]],"mmmm")</f>
        <v>January</v>
      </c>
      <c r="N499" s="6">
        <f>YEAR(Input_Table[[#This Row],[DATE]])</f>
        <v>2019</v>
      </c>
    </row>
    <row r="500" spans="1:14" x14ac:dyDescent="0.3">
      <c r="A500" s="2">
        <f>_xlfn.XLOOKUP(B500,SuperMarket_Analysis[Invoice ID],SuperMarket_Analysis[Date])</f>
        <v>43484</v>
      </c>
      <c r="B500" s="6" t="s">
        <v>531</v>
      </c>
      <c r="C500" s="7">
        <f>_xlfn.XLOOKUP(B500,SuperMarket_Analysis[Invoice ID],SuperMarket_Analysis[Quantity])</f>
        <v>1</v>
      </c>
      <c r="D500" s="6" t="str">
        <f>_xlfn.XLOOKUP('Input data'!B500,'SuperMarket Analysis'!A:A,'SuperMarket Analysis'!F:F)</f>
        <v>Sports and travel</v>
      </c>
      <c r="E500" s="6" t="str">
        <f>_xlfn.XLOOKUP(B500,'SuperMarket Analysis'!A:A,'SuperMarket Analysis'!M:M)</f>
        <v>Cash</v>
      </c>
      <c r="F500" s="6">
        <f>0.05*Input_Table[[#This Row],[TOTAL C.O.G.S]]</f>
        <v>4.9065000000000003</v>
      </c>
      <c r="G500" s="6" t="str">
        <f>_xlfn.XLOOKUP(Input_Table[[#This Row],[INVOICE ID]],'SuperMarket Analysis'!A:A,'SuperMarket Analysis'!B:B)</f>
        <v>Cairo</v>
      </c>
      <c r="H500" s="6" t="str">
        <f>_xlfn.XLOOKUP(Input_Table[[#This Row],[INVOICE ID]],'SuperMarket Analysis'!A:A,'SuperMarket Analysis'!F:F)</f>
        <v>Sports and travel</v>
      </c>
      <c r="I500" s="12">
        <f>_xlfn.XLOOKUP(Input_Table[[#This Row],[INVOICE ID]],'SuperMarket Analysis'!A:A,'SuperMarket Analysis'!G:G)</f>
        <v>98.13</v>
      </c>
      <c r="J500" s="12">
        <f>_xlfn.XLOOKUP(Input_Table[[#This Row],[INVOICE ID]],'SuperMarket Analysis'!A:A,'SuperMarket Analysis'!N:N)</f>
        <v>98.13</v>
      </c>
      <c r="K500" s="12">
        <f>_xlfn.XLOOKUP(Input_Table[[#This Row],[INVOICE ID]],'SuperMarket Analysis'!A:A,'SuperMarket Analysis'!J:J)</f>
        <v>103.0365</v>
      </c>
      <c r="L500" s="6">
        <f>DAY(Input_Table[[#This Row],[DATE]])</f>
        <v>19</v>
      </c>
      <c r="M500" s="6" t="str">
        <f>TEXT(Input_Table[[#This Row],[DATE]],"mmmm")</f>
        <v>January</v>
      </c>
      <c r="N500" s="6">
        <f>YEAR(Input_Table[[#This Row],[DATE]])</f>
        <v>2019</v>
      </c>
    </row>
    <row r="501" spans="1:14" x14ac:dyDescent="0.3">
      <c r="A501" s="2">
        <f>_xlfn.XLOOKUP(B501,SuperMarket_Analysis[Invoice ID],SuperMarket_Analysis[Date])</f>
        <v>43490</v>
      </c>
      <c r="B501" s="6" t="s">
        <v>532</v>
      </c>
      <c r="C501" s="7">
        <f>_xlfn.XLOOKUP(B501,SuperMarket_Analysis[Invoice ID],SuperMarket_Analysis[Quantity])</f>
        <v>8</v>
      </c>
      <c r="D501" s="6" t="str">
        <f>_xlfn.XLOOKUP('Input data'!B501,'SuperMarket Analysis'!A:A,'SuperMarket Analysis'!F:F)</f>
        <v>Sports and travel</v>
      </c>
      <c r="E501" s="6" t="str">
        <f>_xlfn.XLOOKUP(B501,'SuperMarket Analysis'!A:A,'SuperMarket Analysis'!M:M)</f>
        <v>Cash</v>
      </c>
      <c r="F501" s="6">
        <f>0.05*Input_Table[[#This Row],[TOTAL C.O.G.S]]</f>
        <v>20.608000000000004</v>
      </c>
      <c r="G501" s="6" t="str">
        <f>_xlfn.XLOOKUP(Input_Table[[#This Row],[INVOICE ID]],'SuperMarket Analysis'!A:A,'SuperMarket Analysis'!B:B)</f>
        <v>Alex</v>
      </c>
      <c r="H501" s="6" t="str">
        <f>_xlfn.XLOOKUP(Input_Table[[#This Row],[INVOICE ID]],'SuperMarket Analysis'!A:A,'SuperMarket Analysis'!F:F)</f>
        <v>Sports and travel</v>
      </c>
      <c r="I501" s="12">
        <f>_xlfn.XLOOKUP(Input_Table[[#This Row],[INVOICE ID]],'SuperMarket Analysis'!A:A,'SuperMarket Analysis'!G:G)</f>
        <v>51.52</v>
      </c>
      <c r="J501" s="12">
        <f>_xlfn.XLOOKUP(Input_Table[[#This Row],[INVOICE ID]],'SuperMarket Analysis'!A:A,'SuperMarket Analysis'!N:N)</f>
        <v>412.16</v>
      </c>
      <c r="K501" s="12">
        <f>_xlfn.XLOOKUP(Input_Table[[#This Row],[INVOICE ID]],'SuperMarket Analysis'!A:A,'SuperMarket Analysis'!J:J)</f>
        <v>432.76799999999997</v>
      </c>
      <c r="L501" s="6">
        <f>DAY(Input_Table[[#This Row],[DATE]])</f>
        <v>25</v>
      </c>
      <c r="M501" s="6" t="str">
        <f>TEXT(Input_Table[[#This Row],[DATE]],"mmmm")</f>
        <v>January</v>
      </c>
      <c r="N501" s="6">
        <f>YEAR(Input_Table[[#This Row],[DATE]])</f>
        <v>2019</v>
      </c>
    </row>
    <row r="502" spans="1:14" x14ac:dyDescent="0.3">
      <c r="A502" s="2">
        <f>_xlfn.XLOOKUP(B502,SuperMarket_Analysis[Invoice ID],SuperMarket_Analysis[Date])</f>
        <v>43515</v>
      </c>
      <c r="B502" s="6" t="s">
        <v>533</v>
      </c>
      <c r="C502" s="7">
        <f>_xlfn.XLOOKUP(B502,SuperMarket_Analysis[Invoice ID],SuperMarket_Analysis[Quantity])</f>
        <v>1</v>
      </c>
      <c r="D502" s="6" t="str">
        <f>_xlfn.XLOOKUP('Input data'!B502,'SuperMarket Analysis'!A:A,'SuperMarket Analysis'!F:F)</f>
        <v>Sports and travel</v>
      </c>
      <c r="E502" s="6" t="str">
        <f>_xlfn.XLOOKUP(B502,'SuperMarket Analysis'!A:A,'SuperMarket Analysis'!M:M)</f>
        <v>Credit card</v>
      </c>
      <c r="F502" s="6">
        <f>0.05*Input_Table[[#This Row],[TOTAL C.O.G.S]]</f>
        <v>3.6985000000000001</v>
      </c>
      <c r="G502" s="6" t="str">
        <f>_xlfn.XLOOKUP(Input_Table[[#This Row],[INVOICE ID]],'SuperMarket Analysis'!A:A,'SuperMarket Analysis'!B:B)</f>
        <v>Cairo</v>
      </c>
      <c r="H502" s="6" t="str">
        <f>_xlfn.XLOOKUP(Input_Table[[#This Row],[INVOICE ID]],'SuperMarket Analysis'!A:A,'SuperMarket Analysis'!F:F)</f>
        <v>Sports and travel</v>
      </c>
      <c r="I502" s="12">
        <f>_xlfn.XLOOKUP(Input_Table[[#This Row],[INVOICE ID]],'SuperMarket Analysis'!A:A,'SuperMarket Analysis'!G:G)</f>
        <v>73.97</v>
      </c>
      <c r="J502" s="12">
        <f>_xlfn.XLOOKUP(Input_Table[[#This Row],[INVOICE ID]],'SuperMarket Analysis'!A:A,'SuperMarket Analysis'!N:N)</f>
        <v>73.97</v>
      </c>
      <c r="K502" s="12">
        <f>_xlfn.XLOOKUP(Input_Table[[#This Row],[INVOICE ID]],'SuperMarket Analysis'!A:A,'SuperMarket Analysis'!J:J)</f>
        <v>77.668499999999995</v>
      </c>
      <c r="L502" s="6">
        <f>DAY(Input_Table[[#This Row],[DATE]])</f>
        <v>19</v>
      </c>
      <c r="M502" s="6" t="str">
        <f>TEXT(Input_Table[[#This Row],[DATE]],"mmmm")</f>
        <v>February</v>
      </c>
      <c r="N502" s="6">
        <f>YEAR(Input_Table[[#This Row],[DATE]])</f>
        <v>2019</v>
      </c>
    </row>
    <row r="503" spans="1:14" x14ac:dyDescent="0.3">
      <c r="A503" s="2">
        <f>_xlfn.XLOOKUP(B503,SuperMarket_Analysis[Invoice ID],SuperMarket_Analysis[Date])</f>
        <v>43479</v>
      </c>
      <c r="B503" s="6" t="s">
        <v>534</v>
      </c>
      <c r="C503" s="7">
        <f>_xlfn.XLOOKUP(B503,SuperMarket_Analysis[Invoice ID],SuperMarket_Analysis[Quantity])</f>
        <v>1</v>
      </c>
      <c r="D503" s="6" t="str">
        <f>_xlfn.XLOOKUP('Input data'!B503,'SuperMarket Analysis'!A:A,'SuperMarket Analysis'!F:F)</f>
        <v>Fashion accessories</v>
      </c>
      <c r="E503" s="6" t="str">
        <f>_xlfn.XLOOKUP(B503,'SuperMarket Analysis'!A:A,'SuperMarket Analysis'!M:M)</f>
        <v>Ewallet</v>
      </c>
      <c r="F503" s="6">
        <f>0.05*Input_Table[[#This Row],[TOTAL C.O.G.S]]</f>
        <v>1.595</v>
      </c>
      <c r="G503" s="6" t="str">
        <f>_xlfn.XLOOKUP(Input_Table[[#This Row],[INVOICE ID]],'SuperMarket Analysis'!A:A,'SuperMarket Analysis'!B:B)</f>
        <v>Giza</v>
      </c>
      <c r="H503" s="6" t="str">
        <f>_xlfn.XLOOKUP(Input_Table[[#This Row],[INVOICE ID]],'SuperMarket Analysis'!A:A,'SuperMarket Analysis'!F:F)</f>
        <v>Fashion accessories</v>
      </c>
      <c r="I503" s="12">
        <f>_xlfn.XLOOKUP(Input_Table[[#This Row],[INVOICE ID]],'SuperMarket Analysis'!A:A,'SuperMarket Analysis'!G:G)</f>
        <v>31.9</v>
      </c>
      <c r="J503" s="12">
        <f>_xlfn.XLOOKUP(Input_Table[[#This Row],[INVOICE ID]],'SuperMarket Analysis'!A:A,'SuperMarket Analysis'!N:N)</f>
        <v>31.9</v>
      </c>
      <c r="K503" s="12">
        <f>_xlfn.XLOOKUP(Input_Table[[#This Row],[INVOICE ID]],'SuperMarket Analysis'!A:A,'SuperMarket Analysis'!J:J)</f>
        <v>33.494999999999997</v>
      </c>
      <c r="L503" s="6">
        <f>DAY(Input_Table[[#This Row],[DATE]])</f>
        <v>14</v>
      </c>
      <c r="M503" s="6" t="str">
        <f>TEXT(Input_Table[[#This Row],[DATE]],"mmmm")</f>
        <v>January</v>
      </c>
      <c r="N503" s="6">
        <f>YEAR(Input_Table[[#This Row],[DATE]])</f>
        <v>2019</v>
      </c>
    </row>
    <row r="504" spans="1:14" x14ac:dyDescent="0.3">
      <c r="A504" s="2">
        <f>_xlfn.XLOOKUP(B504,SuperMarket_Analysis[Invoice ID],SuperMarket_Analysis[Date])</f>
        <v>43521</v>
      </c>
      <c r="B504" s="6" t="s">
        <v>535</v>
      </c>
      <c r="C504" s="7">
        <f>_xlfn.XLOOKUP(B504,SuperMarket_Analysis[Invoice ID],SuperMarket_Analysis[Quantity])</f>
        <v>2</v>
      </c>
      <c r="D504" s="6" t="str">
        <f>_xlfn.XLOOKUP('Input data'!B504,'SuperMarket Analysis'!A:A,'SuperMarket Analysis'!F:F)</f>
        <v>Home and lifestyle</v>
      </c>
      <c r="E504" s="6" t="str">
        <f>_xlfn.XLOOKUP(B504,'SuperMarket Analysis'!A:A,'SuperMarket Analysis'!M:M)</f>
        <v>Ewallet</v>
      </c>
      <c r="F504" s="6">
        <f>0.05*Input_Table[[#This Row],[TOTAL C.O.G.S]]</f>
        <v>6.9400000000000013</v>
      </c>
      <c r="G504" s="6" t="str">
        <f>_xlfn.XLOOKUP(Input_Table[[#This Row],[INVOICE ID]],'SuperMarket Analysis'!A:A,'SuperMarket Analysis'!B:B)</f>
        <v>Giza</v>
      </c>
      <c r="H504" s="6" t="str">
        <f>_xlfn.XLOOKUP(Input_Table[[#This Row],[INVOICE ID]],'SuperMarket Analysis'!A:A,'SuperMarket Analysis'!F:F)</f>
        <v>Home and lifestyle</v>
      </c>
      <c r="I504" s="12">
        <f>_xlfn.XLOOKUP(Input_Table[[#This Row],[INVOICE ID]],'SuperMarket Analysis'!A:A,'SuperMarket Analysis'!G:G)</f>
        <v>69.400000000000006</v>
      </c>
      <c r="J504" s="12">
        <f>_xlfn.XLOOKUP(Input_Table[[#This Row],[INVOICE ID]],'SuperMarket Analysis'!A:A,'SuperMarket Analysis'!N:N)</f>
        <v>138.80000000000001</v>
      </c>
      <c r="K504" s="12">
        <f>_xlfn.XLOOKUP(Input_Table[[#This Row],[INVOICE ID]],'SuperMarket Analysis'!A:A,'SuperMarket Analysis'!J:J)</f>
        <v>145.74</v>
      </c>
      <c r="L504" s="6">
        <f>DAY(Input_Table[[#This Row],[DATE]])</f>
        <v>25</v>
      </c>
      <c r="M504" s="6" t="str">
        <f>TEXT(Input_Table[[#This Row],[DATE]],"mmmm")</f>
        <v>February</v>
      </c>
      <c r="N504" s="6">
        <f>YEAR(Input_Table[[#This Row],[DATE]])</f>
        <v>2019</v>
      </c>
    </row>
    <row r="505" spans="1:14" x14ac:dyDescent="0.3">
      <c r="A505" s="2">
        <f>_xlfn.XLOOKUP(B505,SuperMarket_Analysis[Invoice ID],SuperMarket_Analysis[Date])</f>
        <v>43488</v>
      </c>
      <c r="B505" s="6" t="s">
        <v>536</v>
      </c>
      <c r="C505" s="7">
        <f>_xlfn.XLOOKUP(B505,SuperMarket_Analysis[Invoice ID],SuperMarket_Analysis[Quantity])</f>
        <v>2</v>
      </c>
      <c r="D505" s="6" t="str">
        <f>_xlfn.XLOOKUP('Input data'!B505,'SuperMarket Analysis'!A:A,'SuperMarket Analysis'!F:F)</f>
        <v>Sports and travel</v>
      </c>
      <c r="E505" s="6" t="str">
        <f>_xlfn.XLOOKUP(B505,'SuperMarket Analysis'!A:A,'SuperMarket Analysis'!M:M)</f>
        <v>Cash</v>
      </c>
      <c r="F505" s="6">
        <f>0.05*Input_Table[[#This Row],[TOTAL C.O.G.S]]</f>
        <v>9.3310000000000013</v>
      </c>
      <c r="G505" s="6" t="str">
        <f>_xlfn.XLOOKUP(Input_Table[[#This Row],[INVOICE ID]],'SuperMarket Analysis'!A:A,'SuperMarket Analysis'!B:B)</f>
        <v>Cairo</v>
      </c>
      <c r="H505" s="6" t="str">
        <f>_xlfn.XLOOKUP(Input_Table[[#This Row],[INVOICE ID]],'SuperMarket Analysis'!A:A,'SuperMarket Analysis'!F:F)</f>
        <v>Sports and travel</v>
      </c>
      <c r="I505" s="12">
        <f>_xlfn.XLOOKUP(Input_Table[[#This Row],[INVOICE ID]],'SuperMarket Analysis'!A:A,'SuperMarket Analysis'!G:G)</f>
        <v>93.31</v>
      </c>
      <c r="J505" s="12">
        <f>_xlfn.XLOOKUP(Input_Table[[#This Row],[INVOICE ID]],'SuperMarket Analysis'!A:A,'SuperMarket Analysis'!N:N)</f>
        <v>186.62</v>
      </c>
      <c r="K505" s="12">
        <f>_xlfn.XLOOKUP(Input_Table[[#This Row],[INVOICE ID]],'SuperMarket Analysis'!A:A,'SuperMarket Analysis'!J:J)</f>
        <v>195.95099999999999</v>
      </c>
      <c r="L505" s="6">
        <f>DAY(Input_Table[[#This Row],[DATE]])</f>
        <v>23</v>
      </c>
      <c r="M505" s="6" t="str">
        <f>TEXT(Input_Table[[#This Row],[DATE]],"mmmm")</f>
        <v>January</v>
      </c>
      <c r="N505" s="6">
        <f>YEAR(Input_Table[[#This Row],[DATE]])</f>
        <v>2019</v>
      </c>
    </row>
    <row r="506" spans="1:14" x14ac:dyDescent="0.3">
      <c r="A506" s="2">
        <f>_xlfn.XLOOKUP(B506,SuperMarket_Analysis[Invoice ID],SuperMarket_Analysis[Date])</f>
        <v>43512</v>
      </c>
      <c r="B506" s="6" t="s">
        <v>537</v>
      </c>
      <c r="C506" s="7">
        <f>_xlfn.XLOOKUP(B506,SuperMarket_Analysis[Invoice ID],SuperMarket_Analysis[Quantity])</f>
        <v>1</v>
      </c>
      <c r="D506" s="6" t="str">
        <f>_xlfn.XLOOKUP('Input data'!B506,'SuperMarket Analysis'!A:A,'SuperMarket Analysis'!F:F)</f>
        <v>Sports and travel</v>
      </c>
      <c r="E506" s="6" t="str">
        <f>_xlfn.XLOOKUP(B506,'SuperMarket Analysis'!A:A,'SuperMarket Analysis'!M:M)</f>
        <v>Credit card</v>
      </c>
      <c r="F506" s="6">
        <f>0.05*Input_Table[[#This Row],[TOTAL C.O.G.S]]</f>
        <v>4.4225000000000003</v>
      </c>
      <c r="G506" s="6" t="str">
        <f>_xlfn.XLOOKUP(Input_Table[[#This Row],[INVOICE ID]],'SuperMarket Analysis'!A:A,'SuperMarket Analysis'!B:B)</f>
        <v>Cairo</v>
      </c>
      <c r="H506" s="6" t="str">
        <f>_xlfn.XLOOKUP(Input_Table[[#This Row],[INVOICE ID]],'SuperMarket Analysis'!A:A,'SuperMarket Analysis'!F:F)</f>
        <v>Sports and travel</v>
      </c>
      <c r="I506" s="12">
        <f>_xlfn.XLOOKUP(Input_Table[[#This Row],[INVOICE ID]],'SuperMarket Analysis'!A:A,'SuperMarket Analysis'!G:G)</f>
        <v>88.45</v>
      </c>
      <c r="J506" s="12">
        <f>_xlfn.XLOOKUP(Input_Table[[#This Row],[INVOICE ID]],'SuperMarket Analysis'!A:A,'SuperMarket Analysis'!N:N)</f>
        <v>88.45</v>
      </c>
      <c r="K506" s="12">
        <f>_xlfn.XLOOKUP(Input_Table[[#This Row],[INVOICE ID]],'SuperMarket Analysis'!A:A,'SuperMarket Analysis'!J:J)</f>
        <v>92.872500000000002</v>
      </c>
      <c r="L506" s="6">
        <f>DAY(Input_Table[[#This Row],[DATE]])</f>
        <v>16</v>
      </c>
      <c r="M506" s="6" t="str">
        <f>TEXT(Input_Table[[#This Row],[DATE]],"mmmm")</f>
        <v>February</v>
      </c>
      <c r="N506" s="6">
        <f>YEAR(Input_Table[[#This Row],[DATE]])</f>
        <v>2019</v>
      </c>
    </row>
    <row r="507" spans="1:14" x14ac:dyDescent="0.3">
      <c r="A507" s="2">
        <f>_xlfn.XLOOKUP(B507,SuperMarket_Analysis[Invoice ID],SuperMarket_Analysis[Date])</f>
        <v>43511</v>
      </c>
      <c r="B507" s="6" t="s">
        <v>538</v>
      </c>
      <c r="C507" s="7">
        <f>_xlfn.XLOOKUP(B507,SuperMarket_Analysis[Invoice ID],SuperMarket_Analysis[Quantity])</f>
        <v>8</v>
      </c>
      <c r="D507" s="6" t="str">
        <f>_xlfn.XLOOKUP('Input data'!B507,'SuperMarket Analysis'!A:A,'SuperMarket Analysis'!F:F)</f>
        <v>Electronic accessories</v>
      </c>
      <c r="E507" s="6" t="str">
        <f>_xlfn.XLOOKUP(B507,'SuperMarket Analysis'!A:A,'SuperMarket Analysis'!M:M)</f>
        <v>Ewallet</v>
      </c>
      <c r="F507" s="6">
        <f>0.05*Input_Table[[#This Row],[TOTAL C.O.G.S]]</f>
        <v>9.6720000000000006</v>
      </c>
      <c r="G507" s="6" t="str">
        <f>_xlfn.XLOOKUP(Input_Table[[#This Row],[INVOICE ID]],'SuperMarket Analysis'!A:A,'SuperMarket Analysis'!B:B)</f>
        <v>Alex</v>
      </c>
      <c r="H507" s="6" t="str">
        <f>_xlfn.XLOOKUP(Input_Table[[#This Row],[INVOICE ID]],'SuperMarket Analysis'!A:A,'SuperMarket Analysis'!F:F)</f>
        <v>Electronic accessories</v>
      </c>
      <c r="I507" s="12">
        <f>_xlfn.XLOOKUP(Input_Table[[#This Row],[INVOICE ID]],'SuperMarket Analysis'!A:A,'SuperMarket Analysis'!G:G)</f>
        <v>24.18</v>
      </c>
      <c r="J507" s="12">
        <f>_xlfn.XLOOKUP(Input_Table[[#This Row],[INVOICE ID]],'SuperMarket Analysis'!A:A,'SuperMarket Analysis'!N:N)</f>
        <v>193.44</v>
      </c>
      <c r="K507" s="12">
        <f>_xlfn.XLOOKUP(Input_Table[[#This Row],[INVOICE ID]],'SuperMarket Analysis'!A:A,'SuperMarket Analysis'!J:J)</f>
        <v>203.11199999999999</v>
      </c>
      <c r="L507" s="6">
        <f>DAY(Input_Table[[#This Row],[DATE]])</f>
        <v>15</v>
      </c>
      <c r="M507" s="6" t="str">
        <f>TEXT(Input_Table[[#This Row],[DATE]],"mmmm")</f>
        <v>February</v>
      </c>
      <c r="N507" s="6">
        <f>YEAR(Input_Table[[#This Row],[DATE]])</f>
        <v>2019</v>
      </c>
    </row>
    <row r="508" spans="1:14" x14ac:dyDescent="0.3">
      <c r="A508" s="2">
        <f>_xlfn.XLOOKUP(B508,SuperMarket_Analysis[Invoice ID],SuperMarket_Analysis[Date])</f>
        <v>43488</v>
      </c>
      <c r="B508" s="6" t="s">
        <v>539</v>
      </c>
      <c r="C508" s="7">
        <f>_xlfn.XLOOKUP(B508,SuperMarket_Analysis[Invoice ID],SuperMarket_Analysis[Quantity])</f>
        <v>3</v>
      </c>
      <c r="D508" s="6" t="str">
        <f>_xlfn.XLOOKUP('Input data'!B508,'SuperMarket Analysis'!A:A,'SuperMarket Analysis'!F:F)</f>
        <v>Sports and travel</v>
      </c>
      <c r="E508" s="6" t="str">
        <f>_xlfn.XLOOKUP(B508,'SuperMarket Analysis'!A:A,'SuperMarket Analysis'!M:M)</f>
        <v>Cash</v>
      </c>
      <c r="F508" s="6">
        <f>0.05*Input_Table[[#This Row],[TOTAL C.O.G.S]]</f>
        <v>7.2750000000000004</v>
      </c>
      <c r="G508" s="6" t="str">
        <f>_xlfn.XLOOKUP(Input_Table[[#This Row],[INVOICE ID]],'SuperMarket Analysis'!A:A,'SuperMarket Analysis'!B:B)</f>
        <v>Cairo</v>
      </c>
      <c r="H508" s="6" t="str">
        <f>_xlfn.XLOOKUP(Input_Table[[#This Row],[INVOICE ID]],'SuperMarket Analysis'!A:A,'SuperMarket Analysis'!F:F)</f>
        <v>Sports and travel</v>
      </c>
      <c r="I508" s="12">
        <f>_xlfn.XLOOKUP(Input_Table[[#This Row],[INVOICE ID]],'SuperMarket Analysis'!A:A,'SuperMarket Analysis'!G:G)</f>
        <v>48.5</v>
      </c>
      <c r="J508" s="12">
        <f>_xlfn.XLOOKUP(Input_Table[[#This Row],[INVOICE ID]],'SuperMarket Analysis'!A:A,'SuperMarket Analysis'!N:N)</f>
        <v>145.5</v>
      </c>
      <c r="K508" s="12">
        <f>_xlfn.XLOOKUP(Input_Table[[#This Row],[INVOICE ID]],'SuperMarket Analysis'!A:A,'SuperMarket Analysis'!J:J)</f>
        <v>152.77500000000001</v>
      </c>
      <c r="L508" s="6">
        <f>DAY(Input_Table[[#This Row],[DATE]])</f>
        <v>23</v>
      </c>
      <c r="M508" s="6" t="str">
        <f>TEXT(Input_Table[[#This Row],[DATE]],"mmmm")</f>
        <v>January</v>
      </c>
      <c r="N508" s="6">
        <f>YEAR(Input_Table[[#This Row],[DATE]])</f>
        <v>2019</v>
      </c>
    </row>
    <row r="509" spans="1:14" x14ac:dyDescent="0.3">
      <c r="A509" s="2">
        <f>_xlfn.XLOOKUP(B509,SuperMarket_Analysis[Invoice ID],SuperMarket_Analysis[Date])</f>
        <v>43516</v>
      </c>
      <c r="B509" s="6" t="s">
        <v>540</v>
      </c>
      <c r="C509" s="7">
        <f>_xlfn.XLOOKUP(B509,SuperMarket_Analysis[Invoice ID],SuperMarket_Analysis[Quantity])</f>
        <v>6</v>
      </c>
      <c r="D509" s="6" t="str">
        <f>_xlfn.XLOOKUP('Input data'!B509,'SuperMarket Analysis'!A:A,'SuperMarket Analysis'!F:F)</f>
        <v>Food and beverages</v>
      </c>
      <c r="E509" s="6" t="str">
        <f>_xlfn.XLOOKUP(B509,'SuperMarket Analysis'!A:A,'SuperMarket Analysis'!M:M)</f>
        <v>Credit card</v>
      </c>
      <c r="F509" s="6">
        <f>0.05*Input_Table[[#This Row],[TOTAL C.O.G.S]]</f>
        <v>25.215000000000003</v>
      </c>
      <c r="G509" s="6" t="str">
        <f>_xlfn.XLOOKUP(Input_Table[[#This Row],[INVOICE ID]],'SuperMarket Analysis'!A:A,'SuperMarket Analysis'!B:B)</f>
        <v>Cairo</v>
      </c>
      <c r="H509" s="6" t="str">
        <f>_xlfn.XLOOKUP(Input_Table[[#This Row],[INVOICE ID]],'SuperMarket Analysis'!A:A,'SuperMarket Analysis'!F:F)</f>
        <v>Food and beverages</v>
      </c>
      <c r="I509" s="12">
        <f>_xlfn.XLOOKUP(Input_Table[[#This Row],[INVOICE ID]],'SuperMarket Analysis'!A:A,'SuperMarket Analysis'!G:G)</f>
        <v>84.05</v>
      </c>
      <c r="J509" s="12">
        <f>_xlfn.XLOOKUP(Input_Table[[#This Row],[INVOICE ID]],'SuperMarket Analysis'!A:A,'SuperMarket Analysis'!N:N)</f>
        <v>504.3</v>
      </c>
      <c r="K509" s="12">
        <f>_xlfn.XLOOKUP(Input_Table[[#This Row],[INVOICE ID]],'SuperMarket Analysis'!A:A,'SuperMarket Analysis'!J:J)</f>
        <v>529.51499999999999</v>
      </c>
      <c r="L509" s="6">
        <f>DAY(Input_Table[[#This Row],[DATE]])</f>
        <v>20</v>
      </c>
      <c r="M509" s="6" t="str">
        <f>TEXT(Input_Table[[#This Row],[DATE]],"mmmm")</f>
        <v>February</v>
      </c>
      <c r="N509" s="6">
        <f>YEAR(Input_Table[[#This Row],[DATE]])</f>
        <v>2019</v>
      </c>
    </row>
    <row r="510" spans="1:14" x14ac:dyDescent="0.3">
      <c r="A510" s="2">
        <f>_xlfn.XLOOKUP(B510,SuperMarket_Analysis[Invoice ID],SuperMarket_Analysis[Date])</f>
        <v>43541</v>
      </c>
      <c r="B510" s="6" t="s">
        <v>541</v>
      </c>
      <c r="C510" s="7">
        <f>_xlfn.XLOOKUP(B510,SuperMarket_Analysis[Invoice ID],SuperMarket_Analysis[Quantity])</f>
        <v>5</v>
      </c>
      <c r="D510" s="6" t="str">
        <f>_xlfn.XLOOKUP('Input data'!B510,'SuperMarket Analysis'!A:A,'SuperMarket Analysis'!F:F)</f>
        <v>Health and beauty</v>
      </c>
      <c r="E510" s="6" t="str">
        <f>_xlfn.XLOOKUP(B510,'SuperMarket Analysis'!A:A,'SuperMarket Analysis'!M:M)</f>
        <v>Cash</v>
      </c>
      <c r="F510" s="6">
        <f>0.05*Input_Table[[#This Row],[TOTAL C.O.G.S]]</f>
        <v>15.3225</v>
      </c>
      <c r="G510" s="6" t="str">
        <f>_xlfn.XLOOKUP(Input_Table[[#This Row],[INVOICE ID]],'SuperMarket Analysis'!A:A,'SuperMarket Analysis'!B:B)</f>
        <v>Cairo</v>
      </c>
      <c r="H510" s="6" t="str">
        <f>_xlfn.XLOOKUP(Input_Table[[#This Row],[INVOICE ID]],'SuperMarket Analysis'!A:A,'SuperMarket Analysis'!F:F)</f>
        <v>Health and beauty</v>
      </c>
      <c r="I510" s="12">
        <f>_xlfn.XLOOKUP(Input_Table[[#This Row],[INVOICE ID]],'SuperMarket Analysis'!A:A,'SuperMarket Analysis'!G:G)</f>
        <v>61.29</v>
      </c>
      <c r="J510" s="12">
        <f>_xlfn.XLOOKUP(Input_Table[[#This Row],[INVOICE ID]],'SuperMarket Analysis'!A:A,'SuperMarket Analysis'!N:N)</f>
        <v>306.45</v>
      </c>
      <c r="K510" s="12">
        <f>_xlfn.XLOOKUP(Input_Table[[#This Row],[INVOICE ID]],'SuperMarket Analysis'!A:A,'SuperMarket Analysis'!J:J)</f>
        <v>321.77249999999998</v>
      </c>
      <c r="L510" s="6">
        <f>DAY(Input_Table[[#This Row],[DATE]])</f>
        <v>17</v>
      </c>
      <c r="M510" s="6" t="str">
        <f>TEXT(Input_Table[[#This Row],[DATE]],"mmmm")</f>
        <v>March</v>
      </c>
      <c r="N510" s="6">
        <f>YEAR(Input_Table[[#This Row],[DATE]])</f>
        <v>2019</v>
      </c>
    </row>
    <row r="511" spans="1:14" x14ac:dyDescent="0.3">
      <c r="A511" s="2">
        <f>_xlfn.XLOOKUP(B511,SuperMarket_Analysis[Invoice ID],SuperMarket_Analysis[Date])</f>
        <v>43491</v>
      </c>
      <c r="B511" s="6" t="s">
        <v>542</v>
      </c>
      <c r="C511" s="7">
        <f>_xlfn.XLOOKUP(B511,SuperMarket_Analysis[Invoice ID],SuperMarket_Analysis[Quantity])</f>
        <v>6</v>
      </c>
      <c r="D511" s="6" t="str">
        <f>_xlfn.XLOOKUP('Input data'!B511,'SuperMarket Analysis'!A:A,'SuperMarket Analysis'!F:F)</f>
        <v>Home and lifestyle</v>
      </c>
      <c r="E511" s="6" t="str">
        <f>_xlfn.XLOOKUP(B511,'SuperMarket Analysis'!A:A,'SuperMarket Analysis'!M:M)</f>
        <v>Credit card</v>
      </c>
      <c r="F511" s="6">
        <f>0.05*Input_Table[[#This Row],[TOTAL C.O.G.S]]</f>
        <v>4.7850000000000001</v>
      </c>
      <c r="G511" s="6" t="str">
        <f>_xlfn.XLOOKUP(Input_Table[[#This Row],[INVOICE ID]],'SuperMarket Analysis'!A:A,'SuperMarket Analysis'!B:B)</f>
        <v>Giza</v>
      </c>
      <c r="H511" s="6" t="str">
        <f>_xlfn.XLOOKUP(Input_Table[[#This Row],[INVOICE ID]],'SuperMarket Analysis'!A:A,'SuperMarket Analysis'!F:F)</f>
        <v>Home and lifestyle</v>
      </c>
      <c r="I511" s="12">
        <f>_xlfn.XLOOKUP(Input_Table[[#This Row],[INVOICE ID]],'SuperMarket Analysis'!A:A,'SuperMarket Analysis'!G:G)</f>
        <v>15.95</v>
      </c>
      <c r="J511" s="12">
        <f>_xlfn.XLOOKUP(Input_Table[[#This Row],[INVOICE ID]],'SuperMarket Analysis'!A:A,'SuperMarket Analysis'!N:N)</f>
        <v>95.7</v>
      </c>
      <c r="K511" s="12">
        <f>_xlfn.XLOOKUP(Input_Table[[#This Row],[INVOICE ID]],'SuperMarket Analysis'!A:A,'SuperMarket Analysis'!J:J)</f>
        <v>100.485</v>
      </c>
      <c r="L511" s="6">
        <f>DAY(Input_Table[[#This Row],[DATE]])</f>
        <v>26</v>
      </c>
      <c r="M511" s="6" t="str">
        <f>TEXT(Input_Table[[#This Row],[DATE]],"mmmm")</f>
        <v>January</v>
      </c>
      <c r="N511" s="6">
        <f>YEAR(Input_Table[[#This Row],[DATE]])</f>
        <v>2019</v>
      </c>
    </row>
    <row r="512" spans="1:14" x14ac:dyDescent="0.3">
      <c r="A512" s="2">
        <f>_xlfn.XLOOKUP(B512,SuperMarket_Analysis[Invoice ID],SuperMarket_Analysis[Date])</f>
        <v>43539</v>
      </c>
      <c r="B512" s="6" t="s">
        <v>543</v>
      </c>
      <c r="C512" s="7">
        <f>_xlfn.XLOOKUP(B512,SuperMarket_Analysis[Invoice ID],SuperMarket_Analysis[Quantity])</f>
        <v>7</v>
      </c>
      <c r="D512" s="6" t="str">
        <f>_xlfn.XLOOKUP('Input data'!B512,'SuperMarket Analysis'!A:A,'SuperMarket Analysis'!F:F)</f>
        <v>Sports and travel</v>
      </c>
      <c r="E512" s="6" t="str">
        <f>_xlfn.XLOOKUP(B512,'SuperMarket Analysis'!A:A,'SuperMarket Analysis'!M:M)</f>
        <v>Credit card</v>
      </c>
      <c r="F512" s="6">
        <f>0.05*Input_Table[[#This Row],[TOTAL C.O.G.S]]</f>
        <v>31.759</v>
      </c>
      <c r="G512" s="6" t="str">
        <f>_xlfn.XLOOKUP(Input_Table[[#This Row],[INVOICE ID]],'SuperMarket Analysis'!A:A,'SuperMarket Analysis'!B:B)</f>
        <v>Cairo</v>
      </c>
      <c r="H512" s="6" t="str">
        <f>_xlfn.XLOOKUP(Input_Table[[#This Row],[INVOICE ID]],'SuperMarket Analysis'!A:A,'SuperMarket Analysis'!F:F)</f>
        <v>Sports and travel</v>
      </c>
      <c r="I512" s="12">
        <f>_xlfn.XLOOKUP(Input_Table[[#This Row],[INVOICE ID]],'SuperMarket Analysis'!A:A,'SuperMarket Analysis'!G:G)</f>
        <v>90.74</v>
      </c>
      <c r="J512" s="12">
        <f>_xlfn.XLOOKUP(Input_Table[[#This Row],[INVOICE ID]],'SuperMarket Analysis'!A:A,'SuperMarket Analysis'!N:N)</f>
        <v>635.17999999999995</v>
      </c>
      <c r="K512" s="12">
        <f>_xlfn.XLOOKUP(Input_Table[[#This Row],[INVOICE ID]],'SuperMarket Analysis'!A:A,'SuperMarket Analysis'!J:J)</f>
        <v>666.93899999999996</v>
      </c>
      <c r="L512" s="6">
        <f>DAY(Input_Table[[#This Row],[DATE]])</f>
        <v>15</v>
      </c>
      <c r="M512" s="6" t="str">
        <f>TEXT(Input_Table[[#This Row],[DATE]],"mmmm")</f>
        <v>March</v>
      </c>
      <c r="N512" s="6">
        <f>YEAR(Input_Table[[#This Row],[DATE]])</f>
        <v>2019</v>
      </c>
    </row>
    <row r="513" spans="1:14" x14ac:dyDescent="0.3">
      <c r="A513" s="2">
        <f>_xlfn.XLOOKUP(B513,SuperMarket_Analysis[Invoice ID],SuperMarket_Analysis[Date])</f>
        <v>43482</v>
      </c>
      <c r="B513" s="6" t="s">
        <v>544</v>
      </c>
      <c r="C513" s="7">
        <f>_xlfn.XLOOKUP(B513,SuperMarket_Analysis[Invoice ID],SuperMarket_Analysis[Quantity])</f>
        <v>5</v>
      </c>
      <c r="D513" s="6" t="str">
        <f>_xlfn.XLOOKUP('Input data'!B513,'SuperMarket Analysis'!A:A,'SuperMarket Analysis'!F:F)</f>
        <v>Home and lifestyle</v>
      </c>
      <c r="E513" s="6" t="str">
        <f>_xlfn.XLOOKUP(B513,'SuperMarket Analysis'!A:A,'SuperMarket Analysis'!M:M)</f>
        <v>Ewallet</v>
      </c>
      <c r="F513" s="6">
        <f>0.05*Input_Table[[#This Row],[TOTAL C.O.G.S]]</f>
        <v>10.727500000000001</v>
      </c>
      <c r="G513" s="6" t="str">
        <f>_xlfn.XLOOKUP(Input_Table[[#This Row],[INVOICE ID]],'SuperMarket Analysis'!A:A,'SuperMarket Analysis'!B:B)</f>
        <v>Alex</v>
      </c>
      <c r="H513" s="6" t="str">
        <f>_xlfn.XLOOKUP(Input_Table[[#This Row],[INVOICE ID]],'SuperMarket Analysis'!A:A,'SuperMarket Analysis'!F:F)</f>
        <v>Home and lifestyle</v>
      </c>
      <c r="I513" s="12">
        <f>_xlfn.XLOOKUP(Input_Table[[#This Row],[INVOICE ID]],'SuperMarket Analysis'!A:A,'SuperMarket Analysis'!G:G)</f>
        <v>42.91</v>
      </c>
      <c r="J513" s="12">
        <f>_xlfn.XLOOKUP(Input_Table[[#This Row],[INVOICE ID]],'SuperMarket Analysis'!A:A,'SuperMarket Analysis'!N:N)</f>
        <v>214.55</v>
      </c>
      <c r="K513" s="12">
        <f>_xlfn.XLOOKUP(Input_Table[[#This Row],[INVOICE ID]],'SuperMarket Analysis'!A:A,'SuperMarket Analysis'!J:J)</f>
        <v>225.2775</v>
      </c>
      <c r="L513" s="6">
        <f>DAY(Input_Table[[#This Row],[DATE]])</f>
        <v>17</v>
      </c>
      <c r="M513" s="6" t="str">
        <f>TEXT(Input_Table[[#This Row],[DATE]],"mmmm")</f>
        <v>January</v>
      </c>
      <c r="N513" s="6">
        <f>YEAR(Input_Table[[#This Row],[DATE]])</f>
        <v>2019</v>
      </c>
    </row>
    <row r="514" spans="1:14" x14ac:dyDescent="0.3">
      <c r="A514" s="2">
        <f>_xlfn.XLOOKUP(B514,SuperMarket_Analysis[Invoice ID],SuperMarket_Analysis[Date])</f>
        <v>43512</v>
      </c>
      <c r="B514" s="6" t="s">
        <v>545</v>
      </c>
      <c r="C514" s="7">
        <f>_xlfn.XLOOKUP(B514,SuperMarket_Analysis[Invoice ID],SuperMarket_Analysis[Quantity])</f>
        <v>7</v>
      </c>
      <c r="D514" s="6" t="str">
        <f>_xlfn.XLOOKUP('Input data'!B514,'SuperMarket Analysis'!A:A,'SuperMarket Analysis'!F:F)</f>
        <v>Fashion accessories</v>
      </c>
      <c r="E514" s="6" t="str">
        <f>_xlfn.XLOOKUP(B514,'SuperMarket Analysis'!A:A,'SuperMarket Analysis'!M:M)</f>
        <v>Ewallet</v>
      </c>
      <c r="F514" s="6">
        <f>0.05*Input_Table[[#This Row],[TOTAL C.O.G.S]]</f>
        <v>18.998000000000001</v>
      </c>
      <c r="G514" s="6" t="str">
        <f>_xlfn.XLOOKUP(Input_Table[[#This Row],[INVOICE ID]],'SuperMarket Analysis'!A:A,'SuperMarket Analysis'!B:B)</f>
        <v>Alex</v>
      </c>
      <c r="H514" s="6" t="str">
        <f>_xlfn.XLOOKUP(Input_Table[[#This Row],[INVOICE ID]],'SuperMarket Analysis'!A:A,'SuperMarket Analysis'!F:F)</f>
        <v>Fashion accessories</v>
      </c>
      <c r="I514" s="12">
        <f>_xlfn.XLOOKUP(Input_Table[[#This Row],[INVOICE ID]],'SuperMarket Analysis'!A:A,'SuperMarket Analysis'!G:G)</f>
        <v>54.28</v>
      </c>
      <c r="J514" s="12">
        <f>_xlfn.XLOOKUP(Input_Table[[#This Row],[INVOICE ID]],'SuperMarket Analysis'!A:A,'SuperMarket Analysis'!N:N)</f>
        <v>379.96</v>
      </c>
      <c r="K514" s="12">
        <f>_xlfn.XLOOKUP(Input_Table[[#This Row],[INVOICE ID]],'SuperMarket Analysis'!A:A,'SuperMarket Analysis'!J:J)</f>
        <v>398.95800000000003</v>
      </c>
      <c r="L514" s="6">
        <f>DAY(Input_Table[[#This Row],[DATE]])</f>
        <v>16</v>
      </c>
      <c r="M514" s="6" t="str">
        <f>TEXT(Input_Table[[#This Row],[DATE]],"mmmm")</f>
        <v>February</v>
      </c>
      <c r="N514" s="6">
        <f>YEAR(Input_Table[[#This Row],[DATE]])</f>
        <v>2019</v>
      </c>
    </row>
    <row r="515" spans="1:14" x14ac:dyDescent="0.3">
      <c r="A515" s="2">
        <f>_xlfn.XLOOKUP(B515,SuperMarket_Analysis[Invoice ID],SuperMarket_Analysis[Date])</f>
        <v>43537</v>
      </c>
      <c r="B515" s="6" t="s">
        <v>546</v>
      </c>
      <c r="C515" s="7">
        <f>_xlfn.XLOOKUP(B515,SuperMarket_Analysis[Invoice ID],SuperMarket_Analysis[Quantity])</f>
        <v>7</v>
      </c>
      <c r="D515" s="6" t="str">
        <f>_xlfn.XLOOKUP('Input data'!B515,'SuperMarket Analysis'!A:A,'SuperMarket Analysis'!F:F)</f>
        <v>Electronic accessories</v>
      </c>
      <c r="E515" s="6" t="str">
        <f>_xlfn.XLOOKUP(B515,'SuperMarket Analysis'!A:A,'SuperMarket Analysis'!M:M)</f>
        <v>Cash</v>
      </c>
      <c r="F515" s="6">
        <f>0.05*Input_Table[[#This Row],[TOTAL C.O.G.S]]</f>
        <v>34.842500000000001</v>
      </c>
      <c r="G515" s="6" t="str">
        <f>_xlfn.XLOOKUP(Input_Table[[#This Row],[INVOICE ID]],'SuperMarket Analysis'!A:A,'SuperMarket Analysis'!B:B)</f>
        <v>Alex</v>
      </c>
      <c r="H515" s="6" t="str">
        <f>_xlfn.XLOOKUP(Input_Table[[#This Row],[INVOICE ID]],'SuperMarket Analysis'!A:A,'SuperMarket Analysis'!F:F)</f>
        <v>Electronic accessories</v>
      </c>
      <c r="I515" s="12">
        <f>_xlfn.XLOOKUP(Input_Table[[#This Row],[INVOICE ID]],'SuperMarket Analysis'!A:A,'SuperMarket Analysis'!G:G)</f>
        <v>99.55</v>
      </c>
      <c r="J515" s="12">
        <f>_xlfn.XLOOKUP(Input_Table[[#This Row],[INVOICE ID]],'SuperMarket Analysis'!A:A,'SuperMarket Analysis'!N:N)</f>
        <v>696.85</v>
      </c>
      <c r="K515" s="12">
        <f>_xlfn.XLOOKUP(Input_Table[[#This Row],[INVOICE ID]],'SuperMarket Analysis'!A:A,'SuperMarket Analysis'!J:J)</f>
        <v>731.6925</v>
      </c>
      <c r="L515" s="6">
        <f>DAY(Input_Table[[#This Row],[DATE]])</f>
        <v>13</v>
      </c>
      <c r="M515" s="6" t="str">
        <f>TEXT(Input_Table[[#This Row],[DATE]],"mmmm")</f>
        <v>March</v>
      </c>
      <c r="N515" s="6">
        <f>YEAR(Input_Table[[#This Row],[DATE]])</f>
        <v>2019</v>
      </c>
    </row>
    <row r="516" spans="1:14" x14ac:dyDescent="0.3">
      <c r="A516" s="2">
        <f>_xlfn.XLOOKUP(B516,SuperMarket_Analysis[Invoice ID],SuperMarket_Analysis[Date])</f>
        <v>43493</v>
      </c>
      <c r="B516" s="6" t="s">
        <v>547</v>
      </c>
      <c r="C516" s="7">
        <f>_xlfn.XLOOKUP(B516,SuperMarket_Analysis[Invoice ID],SuperMarket_Analysis[Quantity])</f>
        <v>7</v>
      </c>
      <c r="D516" s="6" t="str">
        <f>_xlfn.XLOOKUP('Input data'!B516,'SuperMarket Analysis'!A:A,'SuperMarket Analysis'!F:F)</f>
        <v>Sports and travel</v>
      </c>
      <c r="E516" s="6" t="str">
        <f>_xlfn.XLOOKUP(B516,'SuperMarket Analysis'!A:A,'SuperMarket Analysis'!M:M)</f>
        <v>Credit card</v>
      </c>
      <c r="F516" s="6">
        <f>0.05*Input_Table[[#This Row],[TOTAL C.O.G.S]]</f>
        <v>20.436500000000002</v>
      </c>
      <c r="G516" s="6" t="str">
        <f>_xlfn.XLOOKUP(Input_Table[[#This Row],[INVOICE ID]],'SuperMarket Analysis'!A:A,'SuperMarket Analysis'!B:B)</f>
        <v>Giza</v>
      </c>
      <c r="H516" s="6" t="str">
        <f>_xlfn.XLOOKUP(Input_Table[[#This Row],[INVOICE ID]],'SuperMarket Analysis'!A:A,'SuperMarket Analysis'!F:F)</f>
        <v>Sports and travel</v>
      </c>
      <c r="I516" s="12">
        <f>_xlfn.XLOOKUP(Input_Table[[#This Row],[INVOICE ID]],'SuperMarket Analysis'!A:A,'SuperMarket Analysis'!G:G)</f>
        <v>58.39</v>
      </c>
      <c r="J516" s="12">
        <f>_xlfn.XLOOKUP(Input_Table[[#This Row],[INVOICE ID]],'SuperMarket Analysis'!A:A,'SuperMarket Analysis'!N:N)</f>
        <v>408.73</v>
      </c>
      <c r="K516" s="12">
        <f>_xlfn.XLOOKUP(Input_Table[[#This Row],[INVOICE ID]],'SuperMarket Analysis'!A:A,'SuperMarket Analysis'!J:J)</f>
        <v>429.16649999999998</v>
      </c>
      <c r="L516" s="6">
        <f>DAY(Input_Table[[#This Row],[DATE]])</f>
        <v>28</v>
      </c>
      <c r="M516" s="6" t="str">
        <f>TEXT(Input_Table[[#This Row],[DATE]],"mmmm")</f>
        <v>January</v>
      </c>
      <c r="N516" s="6">
        <f>YEAR(Input_Table[[#This Row],[DATE]])</f>
        <v>2019</v>
      </c>
    </row>
    <row r="517" spans="1:14" x14ac:dyDescent="0.3">
      <c r="A517" s="2">
        <f>_xlfn.XLOOKUP(B517,SuperMarket_Analysis[Invoice ID],SuperMarket_Analysis[Date])</f>
        <v>43483</v>
      </c>
      <c r="B517" s="6" t="s">
        <v>548</v>
      </c>
      <c r="C517" s="7">
        <f>_xlfn.XLOOKUP(B517,SuperMarket_Analysis[Invoice ID],SuperMarket_Analysis[Quantity])</f>
        <v>1</v>
      </c>
      <c r="D517" s="6" t="str">
        <f>_xlfn.XLOOKUP('Input data'!B517,'SuperMarket Analysis'!A:A,'SuperMarket Analysis'!F:F)</f>
        <v>Fashion accessories</v>
      </c>
      <c r="E517" s="6" t="str">
        <f>_xlfn.XLOOKUP(B517,'SuperMarket Analysis'!A:A,'SuperMarket Analysis'!M:M)</f>
        <v>Ewallet</v>
      </c>
      <c r="F517" s="6">
        <f>0.05*Input_Table[[#This Row],[TOTAL C.O.G.S]]</f>
        <v>2.5735000000000001</v>
      </c>
      <c r="G517" s="6" t="str">
        <f>_xlfn.XLOOKUP(Input_Table[[#This Row],[INVOICE ID]],'SuperMarket Analysis'!A:A,'SuperMarket Analysis'!B:B)</f>
        <v>Giza</v>
      </c>
      <c r="H517" s="6" t="str">
        <f>_xlfn.XLOOKUP(Input_Table[[#This Row],[INVOICE ID]],'SuperMarket Analysis'!A:A,'SuperMarket Analysis'!F:F)</f>
        <v>Fashion accessories</v>
      </c>
      <c r="I517" s="12">
        <f>_xlfn.XLOOKUP(Input_Table[[#This Row],[INVOICE ID]],'SuperMarket Analysis'!A:A,'SuperMarket Analysis'!G:G)</f>
        <v>51.47</v>
      </c>
      <c r="J517" s="12">
        <f>_xlfn.XLOOKUP(Input_Table[[#This Row],[INVOICE ID]],'SuperMarket Analysis'!A:A,'SuperMarket Analysis'!N:N)</f>
        <v>51.47</v>
      </c>
      <c r="K517" s="12">
        <f>_xlfn.XLOOKUP(Input_Table[[#This Row],[INVOICE ID]],'SuperMarket Analysis'!A:A,'SuperMarket Analysis'!J:J)</f>
        <v>54.043500000000002</v>
      </c>
      <c r="L517" s="6">
        <f>DAY(Input_Table[[#This Row],[DATE]])</f>
        <v>18</v>
      </c>
      <c r="M517" s="6" t="str">
        <f>TEXT(Input_Table[[#This Row],[DATE]],"mmmm")</f>
        <v>January</v>
      </c>
      <c r="N517" s="6">
        <f>YEAR(Input_Table[[#This Row],[DATE]])</f>
        <v>2019</v>
      </c>
    </row>
    <row r="518" spans="1:14" x14ac:dyDescent="0.3">
      <c r="A518" s="2">
        <f>_xlfn.XLOOKUP(B518,SuperMarket_Analysis[Invoice ID],SuperMarket_Analysis[Date])</f>
        <v>43543</v>
      </c>
      <c r="B518" s="6" t="s">
        <v>549</v>
      </c>
      <c r="C518" s="7">
        <f>_xlfn.XLOOKUP(B518,SuperMarket_Analysis[Invoice ID],SuperMarket_Analysis[Quantity])</f>
        <v>5</v>
      </c>
      <c r="D518" s="6" t="str">
        <f>_xlfn.XLOOKUP('Input data'!B518,'SuperMarket Analysis'!A:A,'SuperMarket Analysis'!F:F)</f>
        <v>Health and beauty</v>
      </c>
      <c r="E518" s="6" t="str">
        <f>_xlfn.XLOOKUP(B518,'SuperMarket Analysis'!A:A,'SuperMarket Analysis'!M:M)</f>
        <v>Ewallet</v>
      </c>
      <c r="F518" s="6">
        <f>0.05*Input_Table[[#This Row],[TOTAL C.O.G.S]]</f>
        <v>13.715000000000002</v>
      </c>
      <c r="G518" s="6" t="str">
        <f>_xlfn.XLOOKUP(Input_Table[[#This Row],[INVOICE ID]],'SuperMarket Analysis'!A:A,'SuperMarket Analysis'!B:B)</f>
        <v>Cairo</v>
      </c>
      <c r="H518" s="6" t="str">
        <f>_xlfn.XLOOKUP(Input_Table[[#This Row],[INVOICE ID]],'SuperMarket Analysis'!A:A,'SuperMarket Analysis'!F:F)</f>
        <v>Health and beauty</v>
      </c>
      <c r="I518" s="12">
        <f>_xlfn.XLOOKUP(Input_Table[[#This Row],[INVOICE ID]],'SuperMarket Analysis'!A:A,'SuperMarket Analysis'!G:G)</f>
        <v>54.86</v>
      </c>
      <c r="J518" s="12">
        <f>_xlfn.XLOOKUP(Input_Table[[#This Row],[INVOICE ID]],'SuperMarket Analysis'!A:A,'SuperMarket Analysis'!N:N)</f>
        <v>274.3</v>
      </c>
      <c r="K518" s="12">
        <f>_xlfn.XLOOKUP(Input_Table[[#This Row],[INVOICE ID]],'SuperMarket Analysis'!A:A,'SuperMarket Analysis'!J:J)</f>
        <v>288.01499999999999</v>
      </c>
      <c r="L518" s="6">
        <f>DAY(Input_Table[[#This Row],[DATE]])</f>
        <v>19</v>
      </c>
      <c r="M518" s="6" t="str">
        <f>TEXT(Input_Table[[#This Row],[DATE]],"mmmm")</f>
        <v>March</v>
      </c>
      <c r="N518" s="6">
        <f>YEAR(Input_Table[[#This Row],[DATE]])</f>
        <v>2019</v>
      </c>
    </row>
    <row r="519" spans="1:14" x14ac:dyDescent="0.3">
      <c r="A519" s="2">
        <f>_xlfn.XLOOKUP(B519,SuperMarket_Analysis[Invoice ID],SuperMarket_Analysis[Date])</f>
        <v>43539</v>
      </c>
      <c r="B519" s="6" t="s">
        <v>550</v>
      </c>
      <c r="C519" s="7">
        <f>_xlfn.XLOOKUP(B519,SuperMarket_Analysis[Invoice ID],SuperMarket_Analysis[Quantity])</f>
        <v>5</v>
      </c>
      <c r="D519" s="6" t="str">
        <f>_xlfn.XLOOKUP('Input data'!B519,'SuperMarket Analysis'!A:A,'SuperMarket Analysis'!F:F)</f>
        <v>Home and lifestyle</v>
      </c>
      <c r="E519" s="6" t="str">
        <f>_xlfn.XLOOKUP(B519,'SuperMarket Analysis'!A:A,'SuperMarket Analysis'!M:M)</f>
        <v>Credit card</v>
      </c>
      <c r="F519" s="6">
        <f>0.05*Input_Table[[#This Row],[TOTAL C.O.G.S]]</f>
        <v>9.8475000000000001</v>
      </c>
      <c r="G519" s="6" t="str">
        <f>_xlfn.XLOOKUP(Input_Table[[#This Row],[INVOICE ID]],'SuperMarket Analysis'!A:A,'SuperMarket Analysis'!B:B)</f>
        <v>Giza</v>
      </c>
      <c r="H519" s="6" t="str">
        <f>_xlfn.XLOOKUP(Input_Table[[#This Row],[INVOICE ID]],'SuperMarket Analysis'!A:A,'SuperMarket Analysis'!F:F)</f>
        <v>Home and lifestyle</v>
      </c>
      <c r="I519" s="12">
        <f>_xlfn.XLOOKUP(Input_Table[[#This Row],[INVOICE ID]],'SuperMarket Analysis'!A:A,'SuperMarket Analysis'!G:G)</f>
        <v>39.39</v>
      </c>
      <c r="J519" s="12">
        <f>_xlfn.XLOOKUP(Input_Table[[#This Row],[INVOICE ID]],'SuperMarket Analysis'!A:A,'SuperMarket Analysis'!N:N)</f>
        <v>196.95</v>
      </c>
      <c r="K519" s="12">
        <f>_xlfn.XLOOKUP(Input_Table[[#This Row],[INVOICE ID]],'SuperMarket Analysis'!A:A,'SuperMarket Analysis'!J:J)</f>
        <v>206.79750000000001</v>
      </c>
      <c r="L519" s="6">
        <f>DAY(Input_Table[[#This Row],[DATE]])</f>
        <v>15</v>
      </c>
      <c r="M519" s="6" t="str">
        <f>TEXT(Input_Table[[#This Row],[DATE]],"mmmm")</f>
        <v>March</v>
      </c>
      <c r="N519" s="6">
        <f>YEAR(Input_Table[[#This Row],[DATE]])</f>
        <v>2019</v>
      </c>
    </row>
    <row r="520" spans="1:14" x14ac:dyDescent="0.3">
      <c r="A520" s="2">
        <f>_xlfn.XLOOKUP(B520,SuperMarket_Analysis[Invoice ID],SuperMarket_Analysis[Date])</f>
        <v>43521</v>
      </c>
      <c r="B520" s="6" t="s">
        <v>551</v>
      </c>
      <c r="C520" s="7">
        <f>_xlfn.XLOOKUP(B520,SuperMarket_Analysis[Invoice ID],SuperMarket_Analysis[Quantity])</f>
        <v>2</v>
      </c>
      <c r="D520" s="6" t="str">
        <f>_xlfn.XLOOKUP('Input data'!B520,'SuperMarket Analysis'!A:A,'SuperMarket Analysis'!F:F)</f>
        <v>Home and lifestyle</v>
      </c>
      <c r="E520" s="6" t="str">
        <f>_xlfn.XLOOKUP(B520,'SuperMarket Analysis'!A:A,'SuperMarket Analysis'!M:M)</f>
        <v>Ewallet</v>
      </c>
      <c r="F520" s="6">
        <f>0.05*Input_Table[[#This Row],[TOTAL C.O.G.S]]</f>
        <v>3.4729999999999999</v>
      </c>
      <c r="G520" s="6" t="str">
        <f>_xlfn.XLOOKUP(Input_Table[[#This Row],[INVOICE ID]],'SuperMarket Analysis'!A:A,'SuperMarket Analysis'!B:B)</f>
        <v>Alex</v>
      </c>
      <c r="H520" s="6" t="str">
        <f>_xlfn.XLOOKUP(Input_Table[[#This Row],[INVOICE ID]],'SuperMarket Analysis'!A:A,'SuperMarket Analysis'!F:F)</f>
        <v>Home and lifestyle</v>
      </c>
      <c r="I520" s="12">
        <f>_xlfn.XLOOKUP(Input_Table[[#This Row],[INVOICE ID]],'SuperMarket Analysis'!A:A,'SuperMarket Analysis'!G:G)</f>
        <v>34.729999999999997</v>
      </c>
      <c r="J520" s="12">
        <f>_xlfn.XLOOKUP(Input_Table[[#This Row],[INVOICE ID]],'SuperMarket Analysis'!A:A,'SuperMarket Analysis'!N:N)</f>
        <v>69.459999999999994</v>
      </c>
      <c r="K520" s="12">
        <f>_xlfn.XLOOKUP(Input_Table[[#This Row],[INVOICE ID]],'SuperMarket Analysis'!A:A,'SuperMarket Analysis'!J:J)</f>
        <v>72.933000000000007</v>
      </c>
      <c r="L520" s="6">
        <f>DAY(Input_Table[[#This Row],[DATE]])</f>
        <v>25</v>
      </c>
      <c r="M520" s="6" t="str">
        <f>TEXT(Input_Table[[#This Row],[DATE]],"mmmm")</f>
        <v>February</v>
      </c>
      <c r="N520" s="6">
        <f>YEAR(Input_Table[[#This Row],[DATE]])</f>
        <v>2019</v>
      </c>
    </row>
    <row r="521" spans="1:14" x14ac:dyDescent="0.3">
      <c r="A521" s="2">
        <f>_xlfn.XLOOKUP(B521,SuperMarket_Analysis[Invoice ID],SuperMarket_Analysis[Date])</f>
        <v>43545</v>
      </c>
      <c r="B521" s="6" t="s">
        <v>552</v>
      </c>
      <c r="C521" s="7">
        <f>_xlfn.XLOOKUP(B521,SuperMarket_Analysis[Invoice ID],SuperMarket_Analysis[Quantity])</f>
        <v>5</v>
      </c>
      <c r="D521" s="6" t="str">
        <f>_xlfn.XLOOKUP('Input data'!B521,'SuperMarket Analysis'!A:A,'SuperMarket Analysis'!F:F)</f>
        <v>Sports and travel</v>
      </c>
      <c r="E521" s="6" t="str">
        <f>_xlfn.XLOOKUP(B521,'SuperMarket Analysis'!A:A,'SuperMarket Analysis'!M:M)</f>
        <v>Credit card</v>
      </c>
      <c r="F521" s="6">
        <f>0.05*Input_Table[[#This Row],[TOTAL C.O.G.S]]</f>
        <v>17.98</v>
      </c>
      <c r="G521" s="6" t="str">
        <f>_xlfn.XLOOKUP(Input_Table[[#This Row],[INVOICE ID]],'SuperMarket Analysis'!A:A,'SuperMarket Analysis'!B:B)</f>
        <v>Giza</v>
      </c>
      <c r="H521" s="6" t="str">
        <f>_xlfn.XLOOKUP(Input_Table[[#This Row],[INVOICE ID]],'SuperMarket Analysis'!A:A,'SuperMarket Analysis'!F:F)</f>
        <v>Sports and travel</v>
      </c>
      <c r="I521" s="12">
        <f>_xlfn.XLOOKUP(Input_Table[[#This Row],[INVOICE ID]],'SuperMarket Analysis'!A:A,'SuperMarket Analysis'!G:G)</f>
        <v>71.92</v>
      </c>
      <c r="J521" s="12">
        <f>_xlfn.XLOOKUP(Input_Table[[#This Row],[INVOICE ID]],'SuperMarket Analysis'!A:A,'SuperMarket Analysis'!N:N)</f>
        <v>359.6</v>
      </c>
      <c r="K521" s="12">
        <f>_xlfn.XLOOKUP(Input_Table[[#This Row],[INVOICE ID]],'SuperMarket Analysis'!A:A,'SuperMarket Analysis'!J:J)</f>
        <v>377.58</v>
      </c>
      <c r="L521" s="6">
        <f>DAY(Input_Table[[#This Row],[DATE]])</f>
        <v>21</v>
      </c>
      <c r="M521" s="6" t="str">
        <f>TEXT(Input_Table[[#This Row],[DATE]],"mmmm")</f>
        <v>March</v>
      </c>
      <c r="N521" s="6">
        <f>YEAR(Input_Table[[#This Row],[DATE]])</f>
        <v>2019</v>
      </c>
    </row>
    <row r="522" spans="1:14" x14ac:dyDescent="0.3">
      <c r="A522" s="2">
        <f>_xlfn.XLOOKUP(B522,SuperMarket_Analysis[Invoice ID],SuperMarket_Analysis[Date])</f>
        <v>43484</v>
      </c>
      <c r="B522" s="6" t="s">
        <v>553</v>
      </c>
      <c r="C522" s="7">
        <f>_xlfn.XLOOKUP(B522,SuperMarket_Analysis[Invoice ID],SuperMarket_Analysis[Quantity])</f>
        <v>3</v>
      </c>
      <c r="D522" s="6" t="str">
        <f>_xlfn.XLOOKUP('Input data'!B522,'SuperMarket Analysis'!A:A,'SuperMarket Analysis'!F:F)</f>
        <v>Electronic accessories</v>
      </c>
      <c r="E522" s="6" t="str">
        <f>_xlfn.XLOOKUP(B522,'SuperMarket Analysis'!A:A,'SuperMarket Analysis'!M:M)</f>
        <v>Credit card</v>
      </c>
      <c r="F522" s="6">
        <f>0.05*Input_Table[[#This Row],[TOTAL C.O.G.S]]</f>
        <v>6.8565000000000005</v>
      </c>
      <c r="G522" s="6" t="str">
        <f>_xlfn.XLOOKUP(Input_Table[[#This Row],[INVOICE ID]],'SuperMarket Analysis'!A:A,'SuperMarket Analysis'!B:B)</f>
        <v>Cairo</v>
      </c>
      <c r="H522" s="6" t="str">
        <f>_xlfn.XLOOKUP(Input_Table[[#This Row],[INVOICE ID]],'SuperMarket Analysis'!A:A,'SuperMarket Analysis'!F:F)</f>
        <v>Electronic accessories</v>
      </c>
      <c r="I522" s="12">
        <f>_xlfn.XLOOKUP(Input_Table[[#This Row],[INVOICE ID]],'SuperMarket Analysis'!A:A,'SuperMarket Analysis'!G:G)</f>
        <v>45.71</v>
      </c>
      <c r="J522" s="12">
        <f>_xlfn.XLOOKUP(Input_Table[[#This Row],[INVOICE ID]],'SuperMarket Analysis'!A:A,'SuperMarket Analysis'!N:N)</f>
        <v>137.13</v>
      </c>
      <c r="K522" s="12">
        <f>_xlfn.XLOOKUP(Input_Table[[#This Row],[INVOICE ID]],'SuperMarket Analysis'!A:A,'SuperMarket Analysis'!J:J)</f>
        <v>143.98650000000001</v>
      </c>
      <c r="L522" s="6">
        <f>DAY(Input_Table[[#This Row],[DATE]])</f>
        <v>19</v>
      </c>
      <c r="M522" s="6" t="str">
        <f>TEXT(Input_Table[[#This Row],[DATE]],"mmmm")</f>
        <v>January</v>
      </c>
      <c r="N522" s="6">
        <f>YEAR(Input_Table[[#This Row],[DATE]])</f>
        <v>2019</v>
      </c>
    </row>
    <row r="523" spans="1:14" x14ac:dyDescent="0.3">
      <c r="A523" s="2">
        <f>_xlfn.XLOOKUP(B523,SuperMarket_Analysis[Invoice ID],SuperMarket_Analysis[Date])</f>
        <v>43554</v>
      </c>
      <c r="B523" s="6" t="s">
        <v>554</v>
      </c>
      <c r="C523" s="7">
        <f>_xlfn.XLOOKUP(B523,SuperMarket_Analysis[Invoice ID],SuperMarket_Analysis[Quantity])</f>
        <v>6</v>
      </c>
      <c r="D523" s="6" t="str">
        <f>_xlfn.XLOOKUP('Input data'!B523,'SuperMarket Analysis'!A:A,'SuperMarket Analysis'!F:F)</f>
        <v>Home and lifestyle</v>
      </c>
      <c r="E523" s="6" t="str">
        <f>_xlfn.XLOOKUP(B523,'SuperMarket Analysis'!A:A,'SuperMarket Analysis'!M:M)</f>
        <v>Cash</v>
      </c>
      <c r="F523" s="6">
        <f>0.05*Input_Table[[#This Row],[TOTAL C.O.G.S]]</f>
        <v>24.951000000000001</v>
      </c>
      <c r="G523" s="6" t="str">
        <f>_xlfn.XLOOKUP(Input_Table[[#This Row],[INVOICE ID]],'SuperMarket Analysis'!A:A,'SuperMarket Analysis'!B:B)</f>
        <v>Giza</v>
      </c>
      <c r="H523" s="6" t="str">
        <f>_xlfn.XLOOKUP(Input_Table[[#This Row],[INVOICE ID]],'SuperMarket Analysis'!A:A,'SuperMarket Analysis'!F:F)</f>
        <v>Home and lifestyle</v>
      </c>
      <c r="I523" s="12">
        <f>_xlfn.XLOOKUP(Input_Table[[#This Row],[INVOICE ID]],'SuperMarket Analysis'!A:A,'SuperMarket Analysis'!G:G)</f>
        <v>83.17</v>
      </c>
      <c r="J523" s="12">
        <f>_xlfn.XLOOKUP(Input_Table[[#This Row],[INVOICE ID]],'SuperMarket Analysis'!A:A,'SuperMarket Analysis'!N:N)</f>
        <v>499.02</v>
      </c>
      <c r="K523" s="12">
        <f>_xlfn.XLOOKUP(Input_Table[[#This Row],[INVOICE ID]],'SuperMarket Analysis'!A:A,'SuperMarket Analysis'!J:J)</f>
        <v>523.971</v>
      </c>
      <c r="L523" s="6">
        <f>DAY(Input_Table[[#This Row],[DATE]])</f>
        <v>30</v>
      </c>
      <c r="M523" s="6" t="str">
        <f>TEXT(Input_Table[[#This Row],[DATE]],"mmmm")</f>
        <v>March</v>
      </c>
      <c r="N523" s="6">
        <f>YEAR(Input_Table[[#This Row],[DATE]])</f>
        <v>2019</v>
      </c>
    </row>
    <row r="524" spans="1:14" x14ac:dyDescent="0.3">
      <c r="A524" s="2">
        <f>_xlfn.XLOOKUP(B524,SuperMarket_Analysis[Invoice ID],SuperMarket_Analysis[Date])</f>
        <v>43516</v>
      </c>
      <c r="B524" s="6" t="s">
        <v>555</v>
      </c>
      <c r="C524" s="7">
        <f>_xlfn.XLOOKUP(B524,SuperMarket_Analysis[Invoice ID],SuperMarket_Analysis[Quantity])</f>
        <v>6</v>
      </c>
      <c r="D524" s="6" t="str">
        <f>_xlfn.XLOOKUP('Input data'!B524,'SuperMarket Analysis'!A:A,'SuperMarket Analysis'!F:F)</f>
        <v>Home and lifestyle</v>
      </c>
      <c r="E524" s="6" t="str">
        <f>_xlfn.XLOOKUP(B524,'SuperMarket Analysis'!A:A,'SuperMarket Analysis'!M:M)</f>
        <v>Credit card</v>
      </c>
      <c r="F524" s="6">
        <f>0.05*Input_Table[[#This Row],[TOTAL C.O.G.S]]</f>
        <v>11.231999999999999</v>
      </c>
      <c r="G524" s="6" t="str">
        <f>_xlfn.XLOOKUP(Input_Table[[#This Row],[INVOICE ID]],'SuperMarket Analysis'!A:A,'SuperMarket Analysis'!B:B)</f>
        <v>Alex</v>
      </c>
      <c r="H524" s="6" t="str">
        <f>_xlfn.XLOOKUP(Input_Table[[#This Row],[INVOICE ID]],'SuperMarket Analysis'!A:A,'SuperMarket Analysis'!F:F)</f>
        <v>Home and lifestyle</v>
      </c>
      <c r="I524" s="12">
        <f>_xlfn.XLOOKUP(Input_Table[[#This Row],[INVOICE ID]],'SuperMarket Analysis'!A:A,'SuperMarket Analysis'!G:G)</f>
        <v>37.44</v>
      </c>
      <c r="J524" s="12">
        <f>_xlfn.XLOOKUP(Input_Table[[#This Row],[INVOICE ID]],'SuperMarket Analysis'!A:A,'SuperMarket Analysis'!N:N)</f>
        <v>224.64</v>
      </c>
      <c r="K524" s="12">
        <f>_xlfn.XLOOKUP(Input_Table[[#This Row],[INVOICE ID]],'SuperMarket Analysis'!A:A,'SuperMarket Analysis'!J:J)</f>
        <v>235.87200000000001</v>
      </c>
      <c r="L524" s="6">
        <f>DAY(Input_Table[[#This Row],[DATE]])</f>
        <v>20</v>
      </c>
      <c r="M524" s="6" t="str">
        <f>TEXT(Input_Table[[#This Row],[DATE]],"mmmm")</f>
        <v>February</v>
      </c>
      <c r="N524" s="6">
        <f>YEAR(Input_Table[[#This Row],[DATE]])</f>
        <v>2019</v>
      </c>
    </row>
    <row r="525" spans="1:14" x14ac:dyDescent="0.3">
      <c r="A525" s="2">
        <f>_xlfn.XLOOKUP(B525,SuperMarket_Analysis[Invoice ID],SuperMarket_Analysis[Date])</f>
        <v>43554</v>
      </c>
      <c r="B525" s="6" t="s">
        <v>556</v>
      </c>
      <c r="C525" s="7">
        <f>_xlfn.XLOOKUP(B525,SuperMarket_Analysis[Invoice ID],SuperMarket_Analysis[Quantity])</f>
        <v>2</v>
      </c>
      <c r="D525" s="6" t="str">
        <f>_xlfn.XLOOKUP('Input data'!B525,'SuperMarket Analysis'!A:A,'SuperMarket Analysis'!F:F)</f>
        <v>Health and beauty</v>
      </c>
      <c r="E525" s="6" t="str">
        <f>_xlfn.XLOOKUP(B525,'SuperMarket Analysis'!A:A,'SuperMarket Analysis'!M:M)</f>
        <v>Cash</v>
      </c>
      <c r="F525" s="6">
        <f>0.05*Input_Table[[#This Row],[TOTAL C.O.G.S]]</f>
        <v>6.2869999999999999</v>
      </c>
      <c r="G525" s="6" t="str">
        <f>_xlfn.XLOOKUP(Input_Table[[#This Row],[INVOICE ID]],'SuperMarket Analysis'!A:A,'SuperMarket Analysis'!B:B)</f>
        <v>Giza</v>
      </c>
      <c r="H525" s="6" t="str">
        <f>_xlfn.XLOOKUP(Input_Table[[#This Row],[INVOICE ID]],'SuperMarket Analysis'!A:A,'SuperMarket Analysis'!F:F)</f>
        <v>Health and beauty</v>
      </c>
      <c r="I525" s="12">
        <f>_xlfn.XLOOKUP(Input_Table[[#This Row],[INVOICE ID]],'SuperMarket Analysis'!A:A,'SuperMarket Analysis'!G:G)</f>
        <v>62.87</v>
      </c>
      <c r="J525" s="12">
        <f>_xlfn.XLOOKUP(Input_Table[[#This Row],[INVOICE ID]],'SuperMarket Analysis'!A:A,'SuperMarket Analysis'!N:N)</f>
        <v>125.74</v>
      </c>
      <c r="K525" s="12">
        <f>_xlfn.XLOOKUP(Input_Table[[#This Row],[INVOICE ID]],'SuperMarket Analysis'!A:A,'SuperMarket Analysis'!J:J)</f>
        <v>132.02699999999999</v>
      </c>
      <c r="L525" s="6">
        <f>DAY(Input_Table[[#This Row],[DATE]])</f>
        <v>30</v>
      </c>
      <c r="M525" s="6" t="str">
        <f>TEXT(Input_Table[[#This Row],[DATE]],"mmmm")</f>
        <v>March</v>
      </c>
      <c r="N525" s="6">
        <f>YEAR(Input_Table[[#This Row],[DATE]])</f>
        <v>2019</v>
      </c>
    </row>
    <row r="526" spans="1:14" x14ac:dyDescent="0.3">
      <c r="A526" s="2">
        <f>_xlfn.XLOOKUP(B526,SuperMarket_Analysis[Invoice ID],SuperMarket_Analysis[Date])</f>
        <v>43543</v>
      </c>
      <c r="B526" s="6" t="s">
        <v>557</v>
      </c>
      <c r="C526" s="7">
        <f>_xlfn.XLOOKUP(B526,SuperMarket_Analysis[Invoice ID],SuperMarket_Analysis[Quantity])</f>
        <v>6</v>
      </c>
      <c r="D526" s="6" t="str">
        <f>_xlfn.XLOOKUP('Input data'!B526,'SuperMarket Analysis'!A:A,'SuperMarket Analysis'!F:F)</f>
        <v>Food and beverages</v>
      </c>
      <c r="E526" s="6" t="str">
        <f>_xlfn.XLOOKUP(B526,'SuperMarket Analysis'!A:A,'SuperMarket Analysis'!M:M)</f>
        <v>Credit card</v>
      </c>
      <c r="F526" s="6">
        <f>0.05*Input_Table[[#This Row],[TOTAL C.O.G.S]]</f>
        <v>24.513000000000002</v>
      </c>
      <c r="G526" s="6" t="str">
        <f>_xlfn.XLOOKUP(Input_Table[[#This Row],[INVOICE ID]],'SuperMarket Analysis'!A:A,'SuperMarket Analysis'!B:B)</f>
        <v>Alex</v>
      </c>
      <c r="H526" s="6" t="str">
        <f>_xlfn.XLOOKUP(Input_Table[[#This Row],[INVOICE ID]],'SuperMarket Analysis'!A:A,'SuperMarket Analysis'!F:F)</f>
        <v>Food and beverages</v>
      </c>
      <c r="I526" s="12">
        <f>_xlfn.XLOOKUP(Input_Table[[#This Row],[INVOICE ID]],'SuperMarket Analysis'!A:A,'SuperMarket Analysis'!G:G)</f>
        <v>81.709999999999994</v>
      </c>
      <c r="J526" s="12">
        <f>_xlfn.XLOOKUP(Input_Table[[#This Row],[INVOICE ID]],'SuperMarket Analysis'!A:A,'SuperMarket Analysis'!N:N)</f>
        <v>490.26</v>
      </c>
      <c r="K526" s="12">
        <f>_xlfn.XLOOKUP(Input_Table[[#This Row],[INVOICE ID]],'SuperMarket Analysis'!A:A,'SuperMarket Analysis'!J:J)</f>
        <v>514.77300000000002</v>
      </c>
      <c r="L526" s="6">
        <f>DAY(Input_Table[[#This Row],[DATE]])</f>
        <v>19</v>
      </c>
      <c r="M526" s="6" t="str">
        <f>TEXT(Input_Table[[#This Row],[DATE]],"mmmm")</f>
        <v>March</v>
      </c>
      <c r="N526" s="6">
        <f>YEAR(Input_Table[[#This Row],[DATE]])</f>
        <v>2019</v>
      </c>
    </row>
    <row r="527" spans="1:14" x14ac:dyDescent="0.3">
      <c r="A527" s="2">
        <f>_xlfn.XLOOKUP(B527,SuperMarket_Analysis[Invoice ID],SuperMarket_Analysis[Date])</f>
        <v>43478</v>
      </c>
      <c r="B527" s="6" t="s">
        <v>558</v>
      </c>
      <c r="C527" s="7">
        <f>_xlfn.XLOOKUP(B527,SuperMarket_Analysis[Invoice ID],SuperMarket_Analysis[Quantity])</f>
        <v>5</v>
      </c>
      <c r="D527" s="6" t="str">
        <f>_xlfn.XLOOKUP('Input data'!B527,'SuperMarket Analysis'!A:A,'SuperMarket Analysis'!F:F)</f>
        <v>Sports and travel</v>
      </c>
      <c r="E527" s="6" t="str">
        <f>_xlfn.XLOOKUP(B527,'SuperMarket Analysis'!A:A,'SuperMarket Analysis'!M:M)</f>
        <v>Ewallet</v>
      </c>
      <c r="F527" s="6">
        <f>0.05*Input_Table[[#This Row],[TOTAL C.O.G.S]]</f>
        <v>22.852500000000003</v>
      </c>
      <c r="G527" s="6" t="str">
        <f>_xlfn.XLOOKUP(Input_Table[[#This Row],[INVOICE ID]],'SuperMarket Analysis'!A:A,'SuperMarket Analysis'!B:B)</f>
        <v>Alex</v>
      </c>
      <c r="H527" s="6" t="str">
        <f>_xlfn.XLOOKUP(Input_Table[[#This Row],[INVOICE ID]],'SuperMarket Analysis'!A:A,'SuperMarket Analysis'!F:F)</f>
        <v>Sports and travel</v>
      </c>
      <c r="I527" s="12">
        <f>_xlfn.XLOOKUP(Input_Table[[#This Row],[INVOICE ID]],'SuperMarket Analysis'!A:A,'SuperMarket Analysis'!G:G)</f>
        <v>91.41</v>
      </c>
      <c r="J527" s="12">
        <f>_xlfn.XLOOKUP(Input_Table[[#This Row],[INVOICE ID]],'SuperMarket Analysis'!A:A,'SuperMarket Analysis'!N:N)</f>
        <v>457.05</v>
      </c>
      <c r="K527" s="12">
        <f>_xlfn.XLOOKUP(Input_Table[[#This Row],[INVOICE ID]],'SuperMarket Analysis'!A:A,'SuperMarket Analysis'!J:J)</f>
        <v>479.90249999999997</v>
      </c>
      <c r="L527" s="6">
        <f>DAY(Input_Table[[#This Row],[DATE]])</f>
        <v>13</v>
      </c>
      <c r="M527" s="6" t="str">
        <f>TEXT(Input_Table[[#This Row],[DATE]],"mmmm")</f>
        <v>January</v>
      </c>
      <c r="N527" s="6">
        <f>YEAR(Input_Table[[#This Row],[DATE]])</f>
        <v>2019</v>
      </c>
    </row>
    <row r="528" spans="1:14" x14ac:dyDescent="0.3">
      <c r="A528" s="2">
        <f>_xlfn.XLOOKUP(B528,SuperMarket_Analysis[Invoice ID],SuperMarket_Analysis[Date])</f>
        <v>43547</v>
      </c>
      <c r="B528" s="6" t="s">
        <v>559</v>
      </c>
      <c r="C528" s="7">
        <f>_xlfn.XLOOKUP(B528,SuperMarket_Analysis[Invoice ID],SuperMarket_Analysis[Quantity])</f>
        <v>4</v>
      </c>
      <c r="D528" s="6" t="str">
        <f>_xlfn.XLOOKUP('Input data'!B528,'SuperMarket Analysis'!A:A,'SuperMarket Analysis'!F:F)</f>
        <v>Fashion accessories</v>
      </c>
      <c r="E528" s="6" t="str">
        <f>_xlfn.XLOOKUP(B528,'SuperMarket Analysis'!A:A,'SuperMarket Analysis'!M:M)</f>
        <v>Credit card</v>
      </c>
      <c r="F528" s="6">
        <f>0.05*Input_Table[[#This Row],[TOTAL C.O.G.S]]</f>
        <v>7.8420000000000005</v>
      </c>
      <c r="G528" s="6" t="str">
        <f>_xlfn.XLOOKUP(Input_Table[[#This Row],[INVOICE ID]],'SuperMarket Analysis'!A:A,'SuperMarket Analysis'!B:B)</f>
        <v>Cairo</v>
      </c>
      <c r="H528" s="6" t="str">
        <f>_xlfn.XLOOKUP(Input_Table[[#This Row],[INVOICE ID]],'SuperMarket Analysis'!A:A,'SuperMarket Analysis'!F:F)</f>
        <v>Fashion accessories</v>
      </c>
      <c r="I528" s="12">
        <f>_xlfn.XLOOKUP(Input_Table[[#This Row],[INVOICE ID]],'SuperMarket Analysis'!A:A,'SuperMarket Analysis'!G:G)</f>
        <v>39.21</v>
      </c>
      <c r="J528" s="12">
        <f>_xlfn.XLOOKUP(Input_Table[[#This Row],[INVOICE ID]],'SuperMarket Analysis'!A:A,'SuperMarket Analysis'!N:N)</f>
        <v>156.84</v>
      </c>
      <c r="K528" s="12">
        <f>_xlfn.XLOOKUP(Input_Table[[#This Row],[INVOICE ID]],'SuperMarket Analysis'!A:A,'SuperMarket Analysis'!J:J)</f>
        <v>164.68199999999999</v>
      </c>
      <c r="L528" s="6">
        <f>DAY(Input_Table[[#This Row],[DATE]])</f>
        <v>23</v>
      </c>
      <c r="M528" s="6" t="str">
        <f>TEXT(Input_Table[[#This Row],[DATE]],"mmmm")</f>
        <v>March</v>
      </c>
      <c r="N528" s="6">
        <f>YEAR(Input_Table[[#This Row],[DATE]])</f>
        <v>2019</v>
      </c>
    </row>
    <row r="529" spans="1:14" x14ac:dyDescent="0.3">
      <c r="A529" s="2">
        <f>_xlfn.XLOOKUP(B529,SuperMarket_Analysis[Invoice ID],SuperMarket_Analysis[Date])</f>
        <v>43537</v>
      </c>
      <c r="B529" s="6" t="s">
        <v>560</v>
      </c>
      <c r="C529" s="7">
        <f>_xlfn.XLOOKUP(B529,SuperMarket_Analysis[Invoice ID],SuperMarket_Analysis[Quantity])</f>
        <v>2</v>
      </c>
      <c r="D529" s="6" t="str">
        <f>_xlfn.XLOOKUP('Input data'!B529,'SuperMarket Analysis'!A:A,'SuperMarket Analysis'!F:F)</f>
        <v>Fashion accessories</v>
      </c>
      <c r="E529" s="6" t="str">
        <f>_xlfn.XLOOKUP(B529,'SuperMarket Analysis'!A:A,'SuperMarket Analysis'!M:M)</f>
        <v>Ewallet</v>
      </c>
      <c r="F529" s="6">
        <f>0.05*Input_Table[[#This Row],[TOTAL C.O.G.S]]</f>
        <v>5.9860000000000007</v>
      </c>
      <c r="G529" s="6" t="str">
        <f>_xlfn.XLOOKUP(Input_Table[[#This Row],[INVOICE ID]],'SuperMarket Analysis'!A:A,'SuperMarket Analysis'!B:B)</f>
        <v>Cairo</v>
      </c>
      <c r="H529" s="6" t="str">
        <f>_xlfn.XLOOKUP(Input_Table[[#This Row],[INVOICE ID]],'SuperMarket Analysis'!A:A,'SuperMarket Analysis'!F:F)</f>
        <v>Fashion accessories</v>
      </c>
      <c r="I529" s="12">
        <f>_xlfn.XLOOKUP(Input_Table[[#This Row],[INVOICE ID]],'SuperMarket Analysis'!A:A,'SuperMarket Analysis'!G:G)</f>
        <v>59.86</v>
      </c>
      <c r="J529" s="12">
        <f>_xlfn.XLOOKUP(Input_Table[[#This Row],[INVOICE ID]],'SuperMarket Analysis'!A:A,'SuperMarket Analysis'!N:N)</f>
        <v>119.72</v>
      </c>
      <c r="K529" s="12">
        <f>_xlfn.XLOOKUP(Input_Table[[#This Row],[INVOICE ID]],'SuperMarket Analysis'!A:A,'SuperMarket Analysis'!J:J)</f>
        <v>125.706</v>
      </c>
      <c r="L529" s="6">
        <f>DAY(Input_Table[[#This Row],[DATE]])</f>
        <v>13</v>
      </c>
      <c r="M529" s="6" t="str">
        <f>TEXT(Input_Table[[#This Row],[DATE]],"mmmm")</f>
        <v>March</v>
      </c>
      <c r="N529" s="6">
        <f>YEAR(Input_Table[[#This Row],[DATE]])</f>
        <v>2019</v>
      </c>
    </row>
    <row r="530" spans="1:14" x14ac:dyDescent="0.3">
      <c r="A530" s="2">
        <f>_xlfn.XLOOKUP(B530,SuperMarket_Analysis[Invoice ID],SuperMarket_Analysis[Date])</f>
        <v>43541</v>
      </c>
      <c r="B530" s="6" t="s">
        <v>561</v>
      </c>
      <c r="C530" s="7">
        <f>_xlfn.XLOOKUP(B530,SuperMarket_Analysis[Invoice ID],SuperMarket_Analysis[Quantity])</f>
        <v>10</v>
      </c>
      <c r="D530" s="6" t="str">
        <f>_xlfn.XLOOKUP('Input data'!B530,'SuperMarket Analysis'!A:A,'SuperMarket Analysis'!F:F)</f>
        <v>Food and beverages</v>
      </c>
      <c r="E530" s="6" t="str">
        <f>_xlfn.XLOOKUP(B530,'SuperMarket Analysis'!A:A,'SuperMarket Analysis'!M:M)</f>
        <v>Credit card</v>
      </c>
      <c r="F530" s="6">
        <f>0.05*Input_Table[[#This Row],[TOTAL C.O.G.S]]</f>
        <v>27.180000000000003</v>
      </c>
      <c r="G530" s="6" t="str">
        <f>_xlfn.XLOOKUP(Input_Table[[#This Row],[INVOICE ID]],'SuperMarket Analysis'!A:A,'SuperMarket Analysis'!B:B)</f>
        <v>Cairo</v>
      </c>
      <c r="H530" s="6" t="str">
        <f>_xlfn.XLOOKUP(Input_Table[[#This Row],[INVOICE ID]],'SuperMarket Analysis'!A:A,'SuperMarket Analysis'!F:F)</f>
        <v>Food and beverages</v>
      </c>
      <c r="I530" s="12">
        <f>_xlfn.XLOOKUP(Input_Table[[#This Row],[INVOICE ID]],'SuperMarket Analysis'!A:A,'SuperMarket Analysis'!G:G)</f>
        <v>54.36</v>
      </c>
      <c r="J530" s="12">
        <f>_xlfn.XLOOKUP(Input_Table[[#This Row],[INVOICE ID]],'SuperMarket Analysis'!A:A,'SuperMarket Analysis'!N:N)</f>
        <v>543.6</v>
      </c>
      <c r="K530" s="12">
        <f>_xlfn.XLOOKUP(Input_Table[[#This Row],[INVOICE ID]],'SuperMarket Analysis'!A:A,'SuperMarket Analysis'!J:J)</f>
        <v>570.78</v>
      </c>
      <c r="L530" s="6">
        <f>DAY(Input_Table[[#This Row],[DATE]])</f>
        <v>17</v>
      </c>
      <c r="M530" s="6" t="str">
        <f>TEXT(Input_Table[[#This Row],[DATE]],"mmmm")</f>
        <v>March</v>
      </c>
      <c r="N530" s="6">
        <f>YEAR(Input_Table[[#This Row],[DATE]])</f>
        <v>2019</v>
      </c>
    </row>
    <row r="531" spans="1:14" x14ac:dyDescent="0.3">
      <c r="A531" s="2">
        <f>_xlfn.XLOOKUP(B531,SuperMarket_Analysis[Invoice ID],SuperMarket_Analysis[Date])</f>
        <v>43517</v>
      </c>
      <c r="B531" s="6" t="s">
        <v>562</v>
      </c>
      <c r="C531" s="7">
        <f>_xlfn.XLOOKUP(B531,SuperMarket_Analysis[Invoice ID],SuperMarket_Analysis[Quantity])</f>
        <v>9</v>
      </c>
      <c r="D531" s="6" t="str">
        <f>_xlfn.XLOOKUP('Input data'!B531,'SuperMarket Analysis'!A:A,'SuperMarket Analysis'!F:F)</f>
        <v>Sports and travel</v>
      </c>
      <c r="E531" s="6" t="str">
        <f>_xlfn.XLOOKUP(B531,'SuperMarket Analysis'!A:A,'SuperMarket Analysis'!M:M)</f>
        <v>Cash</v>
      </c>
      <c r="F531" s="6">
        <f>0.05*Input_Table[[#This Row],[TOTAL C.O.G.S]]</f>
        <v>44.140500000000003</v>
      </c>
      <c r="G531" s="6" t="str">
        <f>_xlfn.XLOOKUP(Input_Table[[#This Row],[INVOICE ID]],'SuperMarket Analysis'!A:A,'SuperMarket Analysis'!B:B)</f>
        <v>Alex</v>
      </c>
      <c r="H531" s="6" t="str">
        <f>_xlfn.XLOOKUP(Input_Table[[#This Row],[INVOICE ID]],'SuperMarket Analysis'!A:A,'SuperMarket Analysis'!F:F)</f>
        <v>Sports and travel</v>
      </c>
      <c r="I531" s="12">
        <f>_xlfn.XLOOKUP(Input_Table[[#This Row],[INVOICE ID]],'SuperMarket Analysis'!A:A,'SuperMarket Analysis'!G:G)</f>
        <v>98.09</v>
      </c>
      <c r="J531" s="12">
        <f>_xlfn.XLOOKUP(Input_Table[[#This Row],[INVOICE ID]],'SuperMarket Analysis'!A:A,'SuperMarket Analysis'!N:N)</f>
        <v>882.81</v>
      </c>
      <c r="K531" s="12">
        <f>_xlfn.XLOOKUP(Input_Table[[#This Row],[INVOICE ID]],'SuperMarket Analysis'!A:A,'SuperMarket Analysis'!J:J)</f>
        <v>926.95050000000003</v>
      </c>
      <c r="L531" s="6">
        <f>DAY(Input_Table[[#This Row],[DATE]])</f>
        <v>21</v>
      </c>
      <c r="M531" s="6" t="str">
        <f>TEXT(Input_Table[[#This Row],[DATE]],"mmmm")</f>
        <v>February</v>
      </c>
      <c r="N531" s="6">
        <f>YEAR(Input_Table[[#This Row],[DATE]])</f>
        <v>2019</v>
      </c>
    </row>
    <row r="532" spans="1:14" x14ac:dyDescent="0.3">
      <c r="A532" s="2">
        <f>_xlfn.XLOOKUP(B532,SuperMarket_Analysis[Invoice ID],SuperMarket_Analysis[Date])</f>
        <v>43493</v>
      </c>
      <c r="B532" s="6" t="s">
        <v>563</v>
      </c>
      <c r="C532" s="7">
        <f>_xlfn.XLOOKUP(B532,SuperMarket_Analysis[Invoice ID],SuperMarket_Analysis[Quantity])</f>
        <v>6</v>
      </c>
      <c r="D532" s="6" t="str">
        <f>_xlfn.XLOOKUP('Input data'!B532,'SuperMarket Analysis'!A:A,'SuperMarket Analysis'!F:F)</f>
        <v>Health and beauty</v>
      </c>
      <c r="E532" s="6" t="str">
        <f>_xlfn.XLOOKUP(B532,'SuperMarket Analysis'!A:A,'SuperMarket Analysis'!M:M)</f>
        <v>Ewallet</v>
      </c>
      <c r="F532" s="6">
        <f>0.05*Input_Table[[#This Row],[TOTAL C.O.G.S]]</f>
        <v>7.6290000000000013</v>
      </c>
      <c r="G532" s="6" t="str">
        <f>_xlfn.XLOOKUP(Input_Table[[#This Row],[INVOICE ID]],'SuperMarket Analysis'!A:A,'SuperMarket Analysis'!B:B)</f>
        <v>Alex</v>
      </c>
      <c r="H532" s="6" t="str">
        <f>_xlfn.XLOOKUP(Input_Table[[#This Row],[INVOICE ID]],'SuperMarket Analysis'!A:A,'SuperMarket Analysis'!F:F)</f>
        <v>Health and beauty</v>
      </c>
      <c r="I532" s="12">
        <f>_xlfn.XLOOKUP(Input_Table[[#This Row],[INVOICE ID]],'SuperMarket Analysis'!A:A,'SuperMarket Analysis'!G:G)</f>
        <v>25.43</v>
      </c>
      <c r="J532" s="12">
        <f>_xlfn.XLOOKUP(Input_Table[[#This Row],[INVOICE ID]],'SuperMarket Analysis'!A:A,'SuperMarket Analysis'!N:N)</f>
        <v>152.58000000000001</v>
      </c>
      <c r="K532" s="12">
        <f>_xlfn.XLOOKUP(Input_Table[[#This Row],[INVOICE ID]],'SuperMarket Analysis'!A:A,'SuperMarket Analysis'!J:J)</f>
        <v>160.209</v>
      </c>
      <c r="L532" s="6">
        <f>DAY(Input_Table[[#This Row],[DATE]])</f>
        <v>28</v>
      </c>
      <c r="M532" s="6" t="str">
        <f>TEXT(Input_Table[[#This Row],[DATE]],"mmmm")</f>
        <v>January</v>
      </c>
      <c r="N532" s="6">
        <f>YEAR(Input_Table[[#This Row],[DATE]])</f>
        <v>2019</v>
      </c>
    </row>
    <row r="533" spans="1:14" x14ac:dyDescent="0.3">
      <c r="A533" s="2">
        <f>_xlfn.XLOOKUP(B533,SuperMarket_Analysis[Invoice ID],SuperMarket_Analysis[Date])</f>
        <v>43483</v>
      </c>
      <c r="B533" s="6" t="s">
        <v>564</v>
      </c>
      <c r="C533" s="7">
        <f>_xlfn.XLOOKUP(B533,SuperMarket_Analysis[Invoice ID],SuperMarket_Analysis[Quantity])</f>
        <v>8</v>
      </c>
      <c r="D533" s="6" t="str">
        <f>_xlfn.XLOOKUP('Input data'!B533,'SuperMarket Analysis'!A:A,'SuperMarket Analysis'!F:F)</f>
        <v>Fashion accessories</v>
      </c>
      <c r="E533" s="6" t="str">
        <f>_xlfn.XLOOKUP(B533,'SuperMarket Analysis'!A:A,'SuperMarket Analysis'!M:M)</f>
        <v>Credit card</v>
      </c>
      <c r="F533" s="6">
        <f>0.05*Input_Table[[#This Row],[TOTAL C.O.G.S]]</f>
        <v>34.672000000000004</v>
      </c>
      <c r="G533" s="6" t="str">
        <f>_xlfn.XLOOKUP(Input_Table[[#This Row],[INVOICE ID]],'SuperMarket Analysis'!A:A,'SuperMarket Analysis'!B:B)</f>
        <v>Alex</v>
      </c>
      <c r="H533" s="6" t="str">
        <f>_xlfn.XLOOKUP(Input_Table[[#This Row],[INVOICE ID]],'SuperMarket Analysis'!A:A,'SuperMarket Analysis'!F:F)</f>
        <v>Fashion accessories</v>
      </c>
      <c r="I533" s="12">
        <f>_xlfn.XLOOKUP(Input_Table[[#This Row],[INVOICE ID]],'SuperMarket Analysis'!A:A,'SuperMarket Analysis'!G:G)</f>
        <v>86.68</v>
      </c>
      <c r="J533" s="12">
        <f>_xlfn.XLOOKUP(Input_Table[[#This Row],[INVOICE ID]],'SuperMarket Analysis'!A:A,'SuperMarket Analysis'!N:N)</f>
        <v>693.44</v>
      </c>
      <c r="K533" s="12">
        <f>_xlfn.XLOOKUP(Input_Table[[#This Row],[INVOICE ID]],'SuperMarket Analysis'!A:A,'SuperMarket Analysis'!J:J)</f>
        <v>728.11199999999997</v>
      </c>
      <c r="L533" s="6">
        <f>DAY(Input_Table[[#This Row],[DATE]])</f>
        <v>18</v>
      </c>
      <c r="M533" s="6" t="str">
        <f>TEXT(Input_Table[[#This Row],[DATE]],"mmmm")</f>
        <v>January</v>
      </c>
      <c r="N533" s="6">
        <f>YEAR(Input_Table[[#This Row],[DATE]])</f>
        <v>2019</v>
      </c>
    </row>
    <row r="534" spans="1:14" x14ac:dyDescent="0.3">
      <c r="A534" s="2">
        <f>_xlfn.XLOOKUP(B534,SuperMarket_Analysis[Invoice ID],SuperMarket_Analysis[Date])</f>
        <v>43479</v>
      </c>
      <c r="B534" s="6" t="s">
        <v>565</v>
      </c>
      <c r="C534" s="7">
        <f>_xlfn.XLOOKUP(B534,SuperMarket_Analysis[Invoice ID],SuperMarket_Analysis[Quantity])</f>
        <v>10</v>
      </c>
      <c r="D534" s="6" t="str">
        <f>_xlfn.XLOOKUP('Input data'!B534,'SuperMarket Analysis'!A:A,'SuperMarket Analysis'!F:F)</f>
        <v>Electronic accessories</v>
      </c>
      <c r="E534" s="6" t="str">
        <f>_xlfn.XLOOKUP(B534,'SuperMarket Analysis'!A:A,'SuperMarket Analysis'!M:M)</f>
        <v>Ewallet</v>
      </c>
      <c r="F534" s="6">
        <f>0.05*Input_Table[[#This Row],[TOTAL C.O.G.S]]</f>
        <v>11.475000000000001</v>
      </c>
      <c r="G534" s="6" t="str">
        <f>_xlfn.XLOOKUP(Input_Table[[#This Row],[INVOICE ID]],'SuperMarket Analysis'!A:A,'SuperMarket Analysis'!B:B)</f>
        <v>Cairo</v>
      </c>
      <c r="H534" s="6" t="str">
        <f>_xlfn.XLOOKUP(Input_Table[[#This Row],[INVOICE ID]],'SuperMarket Analysis'!A:A,'SuperMarket Analysis'!F:F)</f>
        <v>Electronic accessories</v>
      </c>
      <c r="I534" s="12">
        <f>_xlfn.XLOOKUP(Input_Table[[#This Row],[INVOICE ID]],'SuperMarket Analysis'!A:A,'SuperMarket Analysis'!G:G)</f>
        <v>22.95</v>
      </c>
      <c r="J534" s="12">
        <f>_xlfn.XLOOKUP(Input_Table[[#This Row],[INVOICE ID]],'SuperMarket Analysis'!A:A,'SuperMarket Analysis'!N:N)</f>
        <v>229.5</v>
      </c>
      <c r="K534" s="12">
        <f>_xlfn.XLOOKUP(Input_Table[[#This Row],[INVOICE ID]],'SuperMarket Analysis'!A:A,'SuperMarket Analysis'!J:J)</f>
        <v>240.97499999999999</v>
      </c>
      <c r="L534" s="6">
        <f>DAY(Input_Table[[#This Row],[DATE]])</f>
        <v>14</v>
      </c>
      <c r="M534" s="6" t="str">
        <f>TEXT(Input_Table[[#This Row],[DATE]],"mmmm")</f>
        <v>January</v>
      </c>
      <c r="N534" s="6">
        <f>YEAR(Input_Table[[#This Row],[DATE]])</f>
        <v>2019</v>
      </c>
    </row>
    <row r="535" spans="1:14" x14ac:dyDescent="0.3">
      <c r="A535" s="2">
        <f>_xlfn.XLOOKUP(B535,SuperMarket_Analysis[Invoice ID],SuperMarket_Analysis[Date])</f>
        <v>43550</v>
      </c>
      <c r="B535" s="6" t="s">
        <v>566</v>
      </c>
      <c r="C535" s="7">
        <f>_xlfn.XLOOKUP(B535,SuperMarket_Analysis[Invoice ID],SuperMarket_Analysis[Quantity])</f>
        <v>9</v>
      </c>
      <c r="D535" s="6" t="str">
        <f>_xlfn.XLOOKUP('Input data'!B535,'SuperMarket Analysis'!A:A,'SuperMarket Analysis'!F:F)</f>
        <v>Food and beverages</v>
      </c>
      <c r="E535" s="6" t="str">
        <f>_xlfn.XLOOKUP(B535,'SuperMarket Analysis'!A:A,'SuperMarket Analysis'!M:M)</f>
        <v>Ewallet</v>
      </c>
      <c r="F535" s="6">
        <f>0.05*Input_Table[[#This Row],[TOTAL C.O.G.S]]</f>
        <v>7.3395000000000001</v>
      </c>
      <c r="G535" s="6" t="str">
        <f>_xlfn.XLOOKUP(Input_Table[[#This Row],[INVOICE ID]],'SuperMarket Analysis'!A:A,'SuperMarket Analysis'!B:B)</f>
        <v>Giza</v>
      </c>
      <c r="H535" s="6" t="str">
        <f>_xlfn.XLOOKUP(Input_Table[[#This Row],[INVOICE ID]],'SuperMarket Analysis'!A:A,'SuperMarket Analysis'!F:F)</f>
        <v>Food and beverages</v>
      </c>
      <c r="I535" s="12">
        <f>_xlfn.XLOOKUP(Input_Table[[#This Row],[INVOICE ID]],'SuperMarket Analysis'!A:A,'SuperMarket Analysis'!G:G)</f>
        <v>16.309999999999999</v>
      </c>
      <c r="J535" s="12">
        <f>_xlfn.XLOOKUP(Input_Table[[#This Row],[INVOICE ID]],'SuperMarket Analysis'!A:A,'SuperMarket Analysis'!N:N)</f>
        <v>146.79</v>
      </c>
      <c r="K535" s="12">
        <f>_xlfn.XLOOKUP(Input_Table[[#This Row],[INVOICE ID]],'SuperMarket Analysis'!A:A,'SuperMarket Analysis'!J:J)</f>
        <v>154.12950000000001</v>
      </c>
      <c r="L535" s="6">
        <f>DAY(Input_Table[[#This Row],[DATE]])</f>
        <v>26</v>
      </c>
      <c r="M535" s="6" t="str">
        <f>TEXT(Input_Table[[#This Row],[DATE]],"mmmm")</f>
        <v>March</v>
      </c>
      <c r="N535" s="6">
        <f>YEAR(Input_Table[[#This Row],[DATE]])</f>
        <v>2019</v>
      </c>
    </row>
    <row r="536" spans="1:14" x14ac:dyDescent="0.3">
      <c r="A536" s="2">
        <f>_xlfn.XLOOKUP(B536,SuperMarket_Analysis[Invoice ID],SuperMarket_Analysis[Date])</f>
        <v>43493</v>
      </c>
      <c r="B536" s="6" t="s">
        <v>567</v>
      </c>
      <c r="C536" s="7">
        <f>_xlfn.XLOOKUP(B536,SuperMarket_Analysis[Invoice ID],SuperMarket_Analysis[Quantity])</f>
        <v>5</v>
      </c>
      <c r="D536" s="6" t="str">
        <f>_xlfn.XLOOKUP('Input data'!B536,'SuperMarket Analysis'!A:A,'SuperMarket Analysis'!F:F)</f>
        <v>Home and lifestyle</v>
      </c>
      <c r="E536" s="6" t="str">
        <f>_xlfn.XLOOKUP(B536,'SuperMarket Analysis'!A:A,'SuperMarket Analysis'!M:M)</f>
        <v>Ewallet</v>
      </c>
      <c r="F536" s="6">
        <f>0.05*Input_Table[[#This Row],[TOTAL C.O.G.S]]</f>
        <v>7.08</v>
      </c>
      <c r="G536" s="6" t="str">
        <f>_xlfn.XLOOKUP(Input_Table[[#This Row],[INVOICE ID]],'SuperMarket Analysis'!A:A,'SuperMarket Analysis'!B:B)</f>
        <v>Alex</v>
      </c>
      <c r="H536" s="6" t="str">
        <f>_xlfn.XLOOKUP(Input_Table[[#This Row],[INVOICE ID]],'SuperMarket Analysis'!A:A,'SuperMarket Analysis'!F:F)</f>
        <v>Home and lifestyle</v>
      </c>
      <c r="I536" s="12">
        <f>_xlfn.XLOOKUP(Input_Table[[#This Row],[INVOICE ID]],'SuperMarket Analysis'!A:A,'SuperMarket Analysis'!G:G)</f>
        <v>28.32</v>
      </c>
      <c r="J536" s="12">
        <f>_xlfn.XLOOKUP(Input_Table[[#This Row],[INVOICE ID]],'SuperMarket Analysis'!A:A,'SuperMarket Analysis'!N:N)</f>
        <v>141.6</v>
      </c>
      <c r="K536" s="12">
        <f>_xlfn.XLOOKUP(Input_Table[[#This Row],[INVOICE ID]],'SuperMarket Analysis'!A:A,'SuperMarket Analysis'!J:J)</f>
        <v>148.68</v>
      </c>
      <c r="L536" s="6">
        <f>DAY(Input_Table[[#This Row],[DATE]])</f>
        <v>28</v>
      </c>
      <c r="M536" s="6" t="str">
        <f>TEXT(Input_Table[[#This Row],[DATE]],"mmmm")</f>
        <v>January</v>
      </c>
      <c r="N536" s="6">
        <f>YEAR(Input_Table[[#This Row],[DATE]])</f>
        <v>2019</v>
      </c>
    </row>
    <row r="537" spans="1:14" x14ac:dyDescent="0.3">
      <c r="A537" s="2">
        <f>_xlfn.XLOOKUP(B537,SuperMarket_Analysis[Invoice ID],SuperMarket_Analysis[Date])</f>
        <v>43510</v>
      </c>
      <c r="B537" s="6" t="s">
        <v>568</v>
      </c>
      <c r="C537" s="7">
        <f>_xlfn.XLOOKUP(B537,SuperMarket_Analysis[Invoice ID],SuperMarket_Analysis[Quantity])</f>
        <v>7</v>
      </c>
      <c r="D537" s="6" t="str">
        <f>_xlfn.XLOOKUP('Input data'!B537,'SuperMarket Analysis'!A:A,'SuperMarket Analysis'!F:F)</f>
        <v>Home and lifestyle</v>
      </c>
      <c r="E537" s="6" t="str">
        <f>_xlfn.XLOOKUP(B537,'SuperMarket Analysis'!A:A,'SuperMarket Analysis'!M:M)</f>
        <v>Ewallet</v>
      </c>
      <c r="F537" s="6">
        <f>0.05*Input_Table[[#This Row],[TOTAL C.O.G.S]]</f>
        <v>5.8345000000000002</v>
      </c>
      <c r="G537" s="6" t="str">
        <f>_xlfn.XLOOKUP(Input_Table[[#This Row],[INVOICE ID]],'SuperMarket Analysis'!A:A,'SuperMarket Analysis'!B:B)</f>
        <v>Giza</v>
      </c>
      <c r="H537" s="6" t="str">
        <f>_xlfn.XLOOKUP(Input_Table[[#This Row],[INVOICE ID]],'SuperMarket Analysis'!A:A,'SuperMarket Analysis'!F:F)</f>
        <v>Home and lifestyle</v>
      </c>
      <c r="I537" s="12">
        <f>_xlfn.XLOOKUP(Input_Table[[#This Row],[INVOICE ID]],'SuperMarket Analysis'!A:A,'SuperMarket Analysis'!G:G)</f>
        <v>16.670000000000002</v>
      </c>
      <c r="J537" s="12">
        <f>_xlfn.XLOOKUP(Input_Table[[#This Row],[INVOICE ID]],'SuperMarket Analysis'!A:A,'SuperMarket Analysis'!N:N)</f>
        <v>116.69</v>
      </c>
      <c r="K537" s="12">
        <f>_xlfn.XLOOKUP(Input_Table[[#This Row],[INVOICE ID]],'SuperMarket Analysis'!A:A,'SuperMarket Analysis'!J:J)</f>
        <v>122.5245</v>
      </c>
      <c r="L537" s="6">
        <f>DAY(Input_Table[[#This Row],[DATE]])</f>
        <v>14</v>
      </c>
      <c r="M537" s="6" t="str">
        <f>TEXT(Input_Table[[#This Row],[DATE]],"mmmm")</f>
        <v>February</v>
      </c>
      <c r="N537" s="6">
        <f>YEAR(Input_Table[[#This Row],[DATE]])</f>
        <v>2019</v>
      </c>
    </row>
    <row r="538" spans="1:14" x14ac:dyDescent="0.3">
      <c r="A538" s="2">
        <f>_xlfn.XLOOKUP(B538,SuperMarket_Analysis[Invoice ID],SuperMarket_Analysis[Date])</f>
        <v>43548</v>
      </c>
      <c r="B538" s="6" t="s">
        <v>569</v>
      </c>
      <c r="C538" s="7">
        <f>_xlfn.XLOOKUP(B538,SuperMarket_Analysis[Invoice ID],SuperMarket_Analysis[Quantity])</f>
        <v>1</v>
      </c>
      <c r="D538" s="6" t="str">
        <f>_xlfn.XLOOKUP('Input data'!B538,'SuperMarket Analysis'!A:A,'SuperMarket Analysis'!F:F)</f>
        <v>Fashion accessories</v>
      </c>
      <c r="E538" s="6" t="str">
        <f>_xlfn.XLOOKUP(B538,'SuperMarket Analysis'!A:A,'SuperMarket Analysis'!M:M)</f>
        <v>Credit card</v>
      </c>
      <c r="F538" s="6">
        <f>0.05*Input_Table[[#This Row],[TOTAL C.O.G.S]]</f>
        <v>3.698</v>
      </c>
      <c r="G538" s="6" t="str">
        <f>_xlfn.XLOOKUP(Input_Table[[#This Row],[INVOICE ID]],'SuperMarket Analysis'!A:A,'SuperMarket Analysis'!B:B)</f>
        <v>Cairo</v>
      </c>
      <c r="H538" s="6" t="str">
        <f>_xlfn.XLOOKUP(Input_Table[[#This Row],[INVOICE ID]],'SuperMarket Analysis'!A:A,'SuperMarket Analysis'!F:F)</f>
        <v>Fashion accessories</v>
      </c>
      <c r="I538" s="12">
        <f>_xlfn.XLOOKUP(Input_Table[[#This Row],[INVOICE ID]],'SuperMarket Analysis'!A:A,'SuperMarket Analysis'!G:G)</f>
        <v>73.959999999999994</v>
      </c>
      <c r="J538" s="12">
        <f>_xlfn.XLOOKUP(Input_Table[[#This Row],[INVOICE ID]],'SuperMarket Analysis'!A:A,'SuperMarket Analysis'!N:N)</f>
        <v>73.959999999999994</v>
      </c>
      <c r="K538" s="12">
        <f>_xlfn.XLOOKUP(Input_Table[[#This Row],[INVOICE ID]],'SuperMarket Analysis'!A:A,'SuperMarket Analysis'!J:J)</f>
        <v>77.658000000000001</v>
      </c>
      <c r="L538" s="6">
        <f>DAY(Input_Table[[#This Row],[DATE]])</f>
        <v>24</v>
      </c>
      <c r="M538" s="6" t="str">
        <f>TEXT(Input_Table[[#This Row],[DATE]],"mmmm")</f>
        <v>March</v>
      </c>
      <c r="N538" s="6">
        <f>YEAR(Input_Table[[#This Row],[DATE]])</f>
        <v>2019</v>
      </c>
    </row>
    <row r="539" spans="1:14" x14ac:dyDescent="0.3">
      <c r="A539" s="2">
        <f>_xlfn.XLOOKUP(B539,SuperMarket_Analysis[Invoice ID],SuperMarket_Analysis[Date])</f>
        <v>43548</v>
      </c>
      <c r="B539" s="6" t="s">
        <v>570</v>
      </c>
      <c r="C539" s="7">
        <f>_xlfn.XLOOKUP(B539,SuperMarket_Analysis[Invoice ID],SuperMarket_Analysis[Quantity])</f>
        <v>1</v>
      </c>
      <c r="D539" s="6" t="str">
        <f>_xlfn.XLOOKUP('Input data'!B539,'SuperMarket Analysis'!A:A,'SuperMarket Analysis'!F:F)</f>
        <v>Home and lifestyle</v>
      </c>
      <c r="E539" s="6" t="str">
        <f>_xlfn.XLOOKUP(B539,'SuperMarket Analysis'!A:A,'SuperMarket Analysis'!M:M)</f>
        <v>Ewallet</v>
      </c>
      <c r="F539" s="6">
        <f>0.05*Input_Table[[#This Row],[TOTAL C.O.G.S]]</f>
        <v>4.8970000000000002</v>
      </c>
      <c r="G539" s="6" t="str">
        <f>_xlfn.XLOOKUP(Input_Table[[#This Row],[INVOICE ID]],'SuperMarket Analysis'!A:A,'SuperMarket Analysis'!B:B)</f>
        <v>Alex</v>
      </c>
      <c r="H539" s="6" t="str">
        <f>_xlfn.XLOOKUP(Input_Table[[#This Row],[INVOICE ID]],'SuperMarket Analysis'!A:A,'SuperMarket Analysis'!F:F)</f>
        <v>Home and lifestyle</v>
      </c>
      <c r="I539" s="12">
        <f>_xlfn.XLOOKUP(Input_Table[[#This Row],[INVOICE ID]],'SuperMarket Analysis'!A:A,'SuperMarket Analysis'!G:G)</f>
        <v>97.94</v>
      </c>
      <c r="J539" s="12">
        <f>_xlfn.XLOOKUP(Input_Table[[#This Row],[INVOICE ID]],'SuperMarket Analysis'!A:A,'SuperMarket Analysis'!N:N)</f>
        <v>97.94</v>
      </c>
      <c r="K539" s="12">
        <f>_xlfn.XLOOKUP(Input_Table[[#This Row],[INVOICE ID]],'SuperMarket Analysis'!A:A,'SuperMarket Analysis'!J:J)</f>
        <v>102.837</v>
      </c>
      <c r="L539" s="6">
        <f>DAY(Input_Table[[#This Row],[DATE]])</f>
        <v>24</v>
      </c>
      <c r="M539" s="6" t="str">
        <f>TEXT(Input_Table[[#This Row],[DATE]],"mmmm")</f>
        <v>March</v>
      </c>
      <c r="N539" s="6">
        <f>YEAR(Input_Table[[#This Row],[DATE]])</f>
        <v>2019</v>
      </c>
    </row>
    <row r="540" spans="1:14" x14ac:dyDescent="0.3">
      <c r="A540" s="2">
        <f>_xlfn.XLOOKUP(B540,SuperMarket_Analysis[Invoice ID],SuperMarket_Analysis[Date])</f>
        <v>43551</v>
      </c>
      <c r="B540" s="6" t="s">
        <v>571</v>
      </c>
      <c r="C540" s="7">
        <f>_xlfn.XLOOKUP(B540,SuperMarket_Analysis[Invoice ID],SuperMarket_Analysis[Quantity])</f>
        <v>4</v>
      </c>
      <c r="D540" s="6" t="str">
        <f>_xlfn.XLOOKUP('Input data'!B540,'SuperMarket Analysis'!A:A,'SuperMarket Analysis'!F:F)</f>
        <v>Fashion accessories</v>
      </c>
      <c r="E540" s="6" t="str">
        <f>_xlfn.XLOOKUP(B540,'SuperMarket Analysis'!A:A,'SuperMarket Analysis'!M:M)</f>
        <v>Credit card</v>
      </c>
      <c r="F540" s="6">
        <f>0.05*Input_Table[[#This Row],[TOTAL C.O.G.S]]</f>
        <v>14.61</v>
      </c>
      <c r="G540" s="6" t="str">
        <f>_xlfn.XLOOKUP(Input_Table[[#This Row],[INVOICE ID]],'SuperMarket Analysis'!A:A,'SuperMarket Analysis'!B:B)</f>
        <v>Alex</v>
      </c>
      <c r="H540" s="6" t="str">
        <f>_xlfn.XLOOKUP(Input_Table[[#This Row],[INVOICE ID]],'SuperMarket Analysis'!A:A,'SuperMarket Analysis'!F:F)</f>
        <v>Fashion accessories</v>
      </c>
      <c r="I540" s="12">
        <f>_xlfn.XLOOKUP(Input_Table[[#This Row],[INVOICE ID]],'SuperMarket Analysis'!A:A,'SuperMarket Analysis'!G:G)</f>
        <v>73.05</v>
      </c>
      <c r="J540" s="12">
        <f>_xlfn.XLOOKUP(Input_Table[[#This Row],[INVOICE ID]],'SuperMarket Analysis'!A:A,'SuperMarket Analysis'!N:N)</f>
        <v>292.2</v>
      </c>
      <c r="K540" s="12">
        <f>_xlfn.XLOOKUP(Input_Table[[#This Row],[INVOICE ID]],'SuperMarket Analysis'!A:A,'SuperMarket Analysis'!J:J)</f>
        <v>306.81</v>
      </c>
      <c r="L540" s="6">
        <f>DAY(Input_Table[[#This Row],[DATE]])</f>
        <v>27</v>
      </c>
      <c r="M540" s="6" t="str">
        <f>TEXT(Input_Table[[#This Row],[DATE]],"mmmm")</f>
        <v>March</v>
      </c>
      <c r="N540" s="6">
        <f>YEAR(Input_Table[[#This Row],[DATE]])</f>
        <v>2019</v>
      </c>
    </row>
    <row r="541" spans="1:14" x14ac:dyDescent="0.3">
      <c r="A541" s="2">
        <f>_xlfn.XLOOKUP(B541,SuperMarket_Analysis[Invoice ID],SuperMarket_Analysis[Date])</f>
        <v>43492</v>
      </c>
      <c r="B541" s="6" t="s">
        <v>572</v>
      </c>
      <c r="C541" s="7">
        <f>_xlfn.XLOOKUP(B541,SuperMarket_Analysis[Invoice ID],SuperMarket_Analysis[Quantity])</f>
        <v>6</v>
      </c>
      <c r="D541" s="6" t="str">
        <f>_xlfn.XLOOKUP('Input data'!B541,'SuperMarket Analysis'!A:A,'SuperMarket Analysis'!F:F)</f>
        <v>Food and beverages</v>
      </c>
      <c r="E541" s="6" t="str">
        <f>_xlfn.XLOOKUP(B541,'SuperMarket Analysis'!A:A,'SuperMarket Analysis'!M:M)</f>
        <v>Ewallet</v>
      </c>
      <c r="F541" s="6">
        <f>0.05*Input_Table[[#This Row],[TOTAL C.O.G.S]]</f>
        <v>26.244</v>
      </c>
      <c r="G541" s="6" t="str">
        <f>_xlfn.XLOOKUP(Input_Table[[#This Row],[INVOICE ID]],'SuperMarket Analysis'!A:A,'SuperMarket Analysis'!B:B)</f>
        <v>Giza</v>
      </c>
      <c r="H541" s="6" t="str">
        <f>_xlfn.XLOOKUP(Input_Table[[#This Row],[INVOICE ID]],'SuperMarket Analysis'!A:A,'SuperMarket Analysis'!F:F)</f>
        <v>Food and beverages</v>
      </c>
      <c r="I541" s="12">
        <f>_xlfn.XLOOKUP(Input_Table[[#This Row],[INVOICE ID]],'SuperMarket Analysis'!A:A,'SuperMarket Analysis'!G:G)</f>
        <v>87.48</v>
      </c>
      <c r="J541" s="12">
        <f>_xlfn.XLOOKUP(Input_Table[[#This Row],[INVOICE ID]],'SuperMarket Analysis'!A:A,'SuperMarket Analysis'!N:N)</f>
        <v>524.88</v>
      </c>
      <c r="K541" s="12">
        <f>_xlfn.XLOOKUP(Input_Table[[#This Row],[INVOICE ID]],'SuperMarket Analysis'!A:A,'SuperMarket Analysis'!J:J)</f>
        <v>551.12400000000002</v>
      </c>
      <c r="L541" s="6">
        <f>DAY(Input_Table[[#This Row],[DATE]])</f>
        <v>27</v>
      </c>
      <c r="M541" s="6" t="str">
        <f>TEXT(Input_Table[[#This Row],[DATE]],"mmmm")</f>
        <v>January</v>
      </c>
      <c r="N541" s="6">
        <f>YEAR(Input_Table[[#This Row],[DATE]])</f>
        <v>2019</v>
      </c>
    </row>
    <row r="542" spans="1:14" x14ac:dyDescent="0.3">
      <c r="A542" s="2">
        <f>_xlfn.XLOOKUP(B542,SuperMarket_Analysis[Invoice ID],SuperMarket_Analysis[Date])</f>
        <v>43551</v>
      </c>
      <c r="B542" s="6" t="s">
        <v>573</v>
      </c>
      <c r="C542" s="7">
        <f>_xlfn.XLOOKUP(B542,SuperMarket_Analysis[Invoice ID],SuperMarket_Analysis[Quantity])</f>
        <v>3</v>
      </c>
      <c r="D542" s="6" t="str">
        <f>_xlfn.XLOOKUP('Input data'!B542,'SuperMarket Analysis'!A:A,'SuperMarket Analysis'!F:F)</f>
        <v>Home and lifestyle</v>
      </c>
      <c r="E542" s="6" t="str">
        <f>_xlfn.XLOOKUP(B542,'SuperMarket Analysis'!A:A,'SuperMarket Analysis'!M:M)</f>
        <v>Ewallet</v>
      </c>
      <c r="F542" s="6">
        <f>0.05*Input_Table[[#This Row],[TOTAL C.O.G.S]]</f>
        <v>4.6020000000000003</v>
      </c>
      <c r="G542" s="6" t="str">
        <f>_xlfn.XLOOKUP(Input_Table[[#This Row],[INVOICE ID]],'SuperMarket Analysis'!A:A,'SuperMarket Analysis'!B:B)</f>
        <v>Alex</v>
      </c>
      <c r="H542" s="6" t="str">
        <f>_xlfn.XLOOKUP(Input_Table[[#This Row],[INVOICE ID]],'SuperMarket Analysis'!A:A,'SuperMarket Analysis'!F:F)</f>
        <v>Home and lifestyle</v>
      </c>
      <c r="I542" s="12">
        <f>_xlfn.XLOOKUP(Input_Table[[#This Row],[INVOICE ID]],'SuperMarket Analysis'!A:A,'SuperMarket Analysis'!G:G)</f>
        <v>30.68</v>
      </c>
      <c r="J542" s="12">
        <f>_xlfn.XLOOKUP(Input_Table[[#This Row],[INVOICE ID]],'SuperMarket Analysis'!A:A,'SuperMarket Analysis'!N:N)</f>
        <v>92.04</v>
      </c>
      <c r="K542" s="12">
        <f>_xlfn.XLOOKUP(Input_Table[[#This Row],[INVOICE ID]],'SuperMarket Analysis'!A:A,'SuperMarket Analysis'!J:J)</f>
        <v>96.641999999999996</v>
      </c>
      <c r="L542" s="6">
        <f>DAY(Input_Table[[#This Row],[DATE]])</f>
        <v>27</v>
      </c>
      <c r="M542" s="6" t="str">
        <f>TEXT(Input_Table[[#This Row],[DATE]],"mmmm")</f>
        <v>March</v>
      </c>
      <c r="N542" s="6">
        <f>YEAR(Input_Table[[#This Row],[DATE]])</f>
        <v>2019</v>
      </c>
    </row>
    <row r="543" spans="1:14" x14ac:dyDescent="0.3">
      <c r="A543" s="2">
        <f>_xlfn.XLOOKUP(B543,SuperMarket_Analysis[Invoice ID],SuperMarket_Analysis[Date])</f>
        <v>43484</v>
      </c>
      <c r="B543" s="6" t="s">
        <v>574</v>
      </c>
      <c r="C543" s="7">
        <f>_xlfn.XLOOKUP(B543,SuperMarket_Analysis[Invoice ID],SuperMarket_Analysis[Quantity])</f>
        <v>1</v>
      </c>
      <c r="D543" s="6" t="str">
        <f>_xlfn.XLOOKUP('Input data'!B543,'SuperMarket Analysis'!A:A,'SuperMarket Analysis'!F:F)</f>
        <v>Health and beauty</v>
      </c>
      <c r="E543" s="6" t="str">
        <f>_xlfn.XLOOKUP(B543,'SuperMarket Analysis'!A:A,'SuperMarket Analysis'!M:M)</f>
        <v>Credit card</v>
      </c>
      <c r="F543" s="6">
        <f>0.05*Input_Table[[#This Row],[TOTAL C.O.G.S]]</f>
        <v>3.794</v>
      </c>
      <c r="G543" s="6" t="str">
        <f>_xlfn.XLOOKUP(Input_Table[[#This Row],[INVOICE ID]],'SuperMarket Analysis'!A:A,'SuperMarket Analysis'!B:B)</f>
        <v>Giza</v>
      </c>
      <c r="H543" s="6" t="str">
        <f>_xlfn.XLOOKUP(Input_Table[[#This Row],[INVOICE ID]],'SuperMarket Analysis'!A:A,'SuperMarket Analysis'!F:F)</f>
        <v>Health and beauty</v>
      </c>
      <c r="I543" s="12">
        <f>_xlfn.XLOOKUP(Input_Table[[#This Row],[INVOICE ID]],'SuperMarket Analysis'!A:A,'SuperMarket Analysis'!G:G)</f>
        <v>75.88</v>
      </c>
      <c r="J543" s="12">
        <f>_xlfn.XLOOKUP(Input_Table[[#This Row],[INVOICE ID]],'SuperMarket Analysis'!A:A,'SuperMarket Analysis'!N:N)</f>
        <v>75.88</v>
      </c>
      <c r="K543" s="12">
        <f>_xlfn.XLOOKUP(Input_Table[[#This Row],[INVOICE ID]],'SuperMarket Analysis'!A:A,'SuperMarket Analysis'!J:J)</f>
        <v>79.674000000000007</v>
      </c>
      <c r="L543" s="6">
        <f>DAY(Input_Table[[#This Row],[DATE]])</f>
        <v>19</v>
      </c>
      <c r="M543" s="6" t="str">
        <f>TEXT(Input_Table[[#This Row],[DATE]],"mmmm")</f>
        <v>January</v>
      </c>
      <c r="N543" s="6">
        <f>YEAR(Input_Table[[#This Row],[DATE]])</f>
        <v>2019</v>
      </c>
    </row>
    <row r="544" spans="1:14" x14ac:dyDescent="0.3">
      <c r="A544" s="2">
        <f>_xlfn.XLOOKUP(B544,SuperMarket_Analysis[Invoice ID],SuperMarket_Analysis[Date])</f>
        <v>43496</v>
      </c>
      <c r="B544" s="6" t="s">
        <v>575</v>
      </c>
      <c r="C544" s="7">
        <f>_xlfn.XLOOKUP(B544,SuperMarket_Analysis[Invoice ID],SuperMarket_Analysis[Quantity])</f>
        <v>4</v>
      </c>
      <c r="D544" s="6" t="str">
        <f>_xlfn.XLOOKUP('Input data'!B544,'SuperMarket Analysis'!A:A,'SuperMarket Analysis'!F:F)</f>
        <v>Sports and travel</v>
      </c>
      <c r="E544" s="6" t="str">
        <f>_xlfn.XLOOKUP(B544,'SuperMarket Analysis'!A:A,'SuperMarket Analysis'!M:M)</f>
        <v>Credit card</v>
      </c>
      <c r="F544" s="6">
        <f>0.05*Input_Table[[#This Row],[TOTAL C.O.G.S]]</f>
        <v>4.0360000000000005</v>
      </c>
      <c r="G544" s="6" t="str">
        <f>_xlfn.XLOOKUP(Input_Table[[#This Row],[INVOICE ID]],'SuperMarket Analysis'!A:A,'SuperMarket Analysis'!B:B)</f>
        <v>Cairo</v>
      </c>
      <c r="H544" s="6" t="str">
        <f>_xlfn.XLOOKUP(Input_Table[[#This Row],[INVOICE ID]],'SuperMarket Analysis'!A:A,'SuperMarket Analysis'!F:F)</f>
        <v>Sports and travel</v>
      </c>
      <c r="I544" s="12">
        <f>_xlfn.XLOOKUP(Input_Table[[#This Row],[INVOICE ID]],'SuperMarket Analysis'!A:A,'SuperMarket Analysis'!G:G)</f>
        <v>20.18</v>
      </c>
      <c r="J544" s="12">
        <f>_xlfn.XLOOKUP(Input_Table[[#This Row],[INVOICE ID]],'SuperMarket Analysis'!A:A,'SuperMarket Analysis'!N:N)</f>
        <v>80.72</v>
      </c>
      <c r="K544" s="12">
        <f>_xlfn.XLOOKUP(Input_Table[[#This Row],[INVOICE ID]],'SuperMarket Analysis'!A:A,'SuperMarket Analysis'!J:J)</f>
        <v>84.756</v>
      </c>
      <c r="L544" s="6">
        <f>DAY(Input_Table[[#This Row],[DATE]])</f>
        <v>31</v>
      </c>
      <c r="M544" s="6" t="str">
        <f>TEXT(Input_Table[[#This Row],[DATE]],"mmmm")</f>
        <v>January</v>
      </c>
      <c r="N544" s="6">
        <f>YEAR(Input_Table[[#This Row],[DATE]])</f>
        <v>2019</v>
      </c>
    </row>
    <row r="545" spans="1:14" x14ac:dyDescent="0.3">
      <c r="A545" s="2">
        <f>_xlfn.XLOOKUP(B545,SuperMarket_Analysis[Invoice ID],SuperMarket_Analysis[Date])</f>
        <v>43521</v>
      </c>
      <c r="B545" s="6" t="s">
        <v>576</v>
      </c>
      <c r="C545" s="7">
        <f>_xlfn.XLOOKUP(B545,SuperMarket_Analysis[Invoice ID],SuperMarket_Analysis[Quantity])</f>
        <v>6</v>
      </c>
      <c r="D545" s="6" t="str">
        <f>_xlfn.XLOOKUP('Input data'!B545,'SuperMarket Analysis'!A:A,'SuperMarket Analysis'!F:F)</f>
        <v>Electronic accessories</v>
      </c>
      <c r="E545" s="6" t="str">
        <f>_xlfn.XLOOKUP(B545,'SuperMarket Analysis'!A:A,'SuperMarket Analysis'!M:M)</f>
        <v>Credit card</v>
      </c>
      <c r="F545" s="6">
        <f>0.05*Input_Table[[#This Row],[TOTAL C.O.G.S]]</f>
        <v>5.6310000000000002</v>
      </c>
      <c r="G545" s="6" t="str">
        <f>_xlfn.XLOOKUP(Input_Table[[#This Row],[INVOICE ID]],'SuperMarket Analysis'!A:A,'SuperMarket Analysis'!B:B)</f>
        <v>Giza</v>
      </c>
      <c r="H545" s="6" t="str">
        <f>_xlfn.XLOOKUP(Input_Table[[#This Row],[INVOICE ID]],'SuperMarket Analysis'!A:A,'SuperMarket Analysis'!F:F)</f>
        <v>Electronic accessories</v>
      </c>
      <c r="I545" s="12">
        <f>_xlfn.XLOOKUP(Input_Table[[#This Row],[INVOICE ID]],'SuperMarket Analysis'!A:A,'SuperMarket Analysis'!G:G)</f>
        <v>18.77</v>
      </c>
      <c r="J545" s="12">
        <f>_xlfn.XLOOKUP(Input_Table[[#This Row],[INVOICE ID]],'SuperMarket Analysis'!A:A,'SuperMarket Analysis'!N:N)</f>
        <v>112.62</v>
      </c>
      <c r="K545" s="12">
        <f>_xlfn.XLOOKUP(Input_Table[[#This Row],[INVOICE ID]],'SuperMarket Analysis'!A:A,'SuperMarket Analysis'!J:J)</f>
        <v>118.251</v>
      </c>
      <c r="L545" s="6">
        <f>DAY(Input_Table[[#This Row],[DATE]])</f>
        <v>25</v>
      </c>
      <c r="M545" s="6" t="str">
        <f>TEXT(Input_Table[[#This Row],[DATE]],"mmmm")</f>
        <v>February</v>
      </c>
      <c r="N545" s="6">
        <f>YEAR(Input_Table[[#This Row],[DATE]])</f>
        <v>2019</v>
      </c>
    </row>
    <row r="546" spans="1:14" x14ac:dyDescent="0.3">
      <c r="A546" s="2">
        <f>_xlfn.XLOOKUP(B546,SuperMarket_Analysis[Invoice ID],SuperMarket_Analysis[Date])</f>
        <v>43538</v>
      </c>
      <c r="B546" s="6" t="s">
        <v>577</v>
      </c>
      <c r="C546" s="7">
        <f>_xlfn.XLOOKUP(B546,SuperMarket_Analysis[Invoice ID],SuperMarket_Analysis[Quantity])</f>
        <v>1</v>
      </c>
      <c r="D546" s="6" t="str">
        <f>_xlfn.XLOOKUP('Input data'!B546,'SuperMarket Analysis'!A:A,'SuperMarket Analysis'!F:F)</f>
        <v>Food and beverages</v>
      </c>
      <c r="E546" s="6" t="str">
        <f>_xlfn.XLOOKUP(B546,'SuperMarket Analysis'!A:A,'SuperMarket Analysis'!M:M)</f>
        <v>Credit card</v>
      </c>
      <c r="F546" s="6">
        <f>0.05*Input_Table[[#This Row],[TOTAL C.O.G.S]]</f>
        <v>3.5600000000000005</v>
      </c>
      <c r="G546" s="6" t="str">
        <f>_xlfn.XLOOKUP(Input_Table[[#This Row],[INVOICE ID]],'SuperMarket Analysis'!A:A,'SuperMarket Analysis'!B:B)</f>
        <v>Cairo</v>
      </c>
      <c r="H546" s="6" t="str">
        <f>_xlfn.XLOOKUP(Input_Table[[#This Row],[INVOICE ID]],'SuperMarket Analysis'!A:A,'SuperMarket Analysis'!F:F)</f>
        <v>Food and beverages</v>
      </c>
      <c r="I546" s="12">
        <f>_xlfn.XLOOKUP(Input_Table[[#This Row],[INVOICE ID]],'SuperMarket Analysis'!A:A,'SuperMarket Analysis'!G:G)</f>
        <v>71.2</v>
      </c>
      <c r="J546" s="12">
        <f>_xlfn.XLOOKUP(Input_Table[[#This Row],[INVOICE ID]],'SuperMarket Analysis'!A:A,'SuperMarket Analysis'!N:N)</f>
        <v>71.2</v>
      </c>
      <c r="K546" s="12">
        <f>_xlfn.XLOOKUP(Input_Table[[#This Row],[INVOICE ID]],'SuperMarket Analysis'!A:A,'SuperMarket Analysis'!J:J)</f>
        <v>74.760000000000005</v>
      </c>
      <c r="L546" s="6">
        <f>DAY(Input_Table[[#This Row],[DATE]])</f>
        <v>14</v>
      </c>
      <c r="M546" s="6" t="str">
        <f>TEXT(Input_Table[[#This Row],[DATE]],"mmmm")</f>
        <v>March</v>
      </c>
      <c r="N546" s="6">
        <f>YEAR(Input_Table[[#This Row],[DATE]])</f>
        <v>2019</v>
      </c>
    </row>
    <row r="547" spans="1:14" x14ac:dyDescent="0.3">
      <c r="A547" s="2">
        <f>_xlfn.XLOOKUP(B547,SuperMarket_Analysis[Invoice ID],SuperMarket_Analysis[Date])</f>
        <v>43518</v>
      </c>
      <c r="B547" s="6" t="s">
        <v>578</v>
      </c>
      <c r="C547" s="7">
        <f>_xlfn.XLOOKUP(B547,SuperMarket_Analysis[Invoice ID],SuperMarket_Analysis[Quantity])</f>
        <v>4</v>
      </c>
      <c r="D547" s="6" t="str">
        <f>_xlfn.XLOOKUP('Input data'!B547,'SuperMarket Analysis'!A:A,'SuperMarket Analysis'!F:F)</f>
        <v>Home and lifestyle</v>
      </c>
      <c r="E547" s="6" t="str">
        <f>_xlfn.XLOOKUP(B547,'SuperMarket Analysis'!A:A,'SuperMarket Analysis'!M:M)</f>
        <v>Ewallet</v>
      </c>
      <c r="F547" s="6">
        <f>0.05*Input_Table[[#This Row],[TOTAL C.O.G.S]]</f>
        <v>7.7620000000000005</v>
      </c>
      <c r="G547" s="6" t="str">
        <f>_xlfn.XLOOKUP(Input_Table[[#This Row],[INVOICE ID]],'SuperMarket Analysis'!A:A,'SuperMarket Analysis'!B:B)</f>
        <v>Cairo</v>
      </c>
      <c r="H547" s="6" t="str">
        <f>_xlfn.XLOOKUP(Input_Table[[#This Row],[INVOICE ID]],'SuperMarket Analysis'!A:A,'SuperMarket Analysis'!F:F)</f>
        <v>Home and lifestyle</v>
      </c>
      <c r="I547" s="12">
        <f>_xlfn.XLOOKUP(Input_Table[[#This Row],[INVOICE ID]],'SuperMarket Analysis'!A:A,'SuperMarket Analysis'!G:G)</f>
        <v>38.81</v>
      </c>
      <c r="J547" s="12">
        <f>_xlfn.XLOOKUP(Input_Table[[#This Row],[INVOICE ID]],'SuperMarket Analysis'!A:A,'SuperMarket Analysis'!N:N)</f>
        <v>155.24</v>
      </c>
      <c r="K547" s="12">
        <f>_xlfn.XLOOKUP(Input_Table[[#This Row],[INVOICE ID]],'SuperMarket Analysis'!A:A,'SuperMarket Analysis'!J:J)</f>
        <v>163.00200000000001</v>
      </c>
      <c r="L547" s="6">
        <f>DAY(Input_Table[[#This Row],[DATE]])</f>
        <v>22</v>
      </c>
      <c r="M547" s="6" t="str">
        <f>TEXT(Input_Table[[#This Row],[DATE]],"mmmm")</f>
        <v>February</v>
      </c>
      <c r="N547" s="6">
        <f>YEAR(Input_Table[[#This Row],[DATE]])</f>
        <v>2019</v>
      </c>
    </row>
    <row r="548" spans="1:14" x14ac:dyDescent="0.3">
      <c r="A548" s="2">
        <f>_xlfn.XLOOKUP(B548,SuperMarket_Analysis[Invoice ID],SuperMarket_Analysis[Date])</f>
        <v>43518</v>
      </c>
      <c r="B548" s="6" t="s">
        <v>579</v>
      </c>
      <c r="C548" s="7">
        <f>_xlfn.XLOOKUP(B548,SuperMarket_Analysis[Invoice ID],SuperMarket_Analysis[Quantity])</f>
        <v>10</v>
      </c>
      <c r="D548" s="6" t="str">
        <f>_xlfn.XLOOKUP('Input data'!B548,'SuperMarket Analysis'!A:A,'SuperMarket Analysis'!F:F)</f>
        <v>Fashion accessories</v>
      </c>
      <c r="E548" s="6" t="str">
        <f>_xlfn.XLOOKUP(B548,'SuperMarket Analysis'!A:A,'SuperMarket Analysis'!M:M)</f>
        <v>Ewallet</v>
      </c>
      <c r="F548" s="6">
        <f>0.05*Input_Table[[#This Row],[TOTAL C.O.G.S]]</f>
        <v>14.71</v>
      </c>
      <c r="G548" s="6" t="str">
        <f>_xlfn.XLOOKUP(Input_Table[[#This Row],[INVOICE ID]],'SuperMarket Analysis'!A:A,'SuperMarket Analysis'!B:B)</f>
        <v>Alex</v>
      </c>
      <c r="H548" s="6" t="str">
        <f>_xlfn.XLOOKUP(Input_Table[[#This Row],[INVOICE ID]],'SuperMarket Analysis'!A:A,'SuperMarket Analysis'!F:F)</f>
        <v>Fashion accessories</v>
      </c>
      <c r="I548" s="12">
        <f>_xlfn.XLOOKUP(Input_Table[[#This Row],[INVOICE ID]],'SuperMarket Analysis'!A:A,'SuperMarket Analysis'!G:G)</f>
        <v>29.42</v>
      </c>
      <c r="J548" s="12">
        <f>_xlfn.XLOOKUP(Input_Table[[#This Row],[INVOICE ID]],'SuperMarket Analysis'!A:A,'SuperMarket Analysis'!N:N)</f>
        <v>294.2</v>
      </c>
      <c r="K548" s="12">
        <f>_xlfn.XLOOKUP(Input_Table[[#This Row],[INVOICE ID]],'SuperMarket Analysis'!A:A,'SuperMarket Analysis'!J:J)</f>
        <v>308.91000000000003</v>
      </c>
      <c r="L548" s="6">
        <f>DAY(Input_Table[[#This Row],[DATE]])</f>
        <v>22</v>
      </c>
      <c r="M548" s="6" t="str">
        <f>TEXT(Input_Table[[#This Row],[DATE]],"mmmm")</f>
        <v>February</v>
      </c>
      <c r="N548" s="6">
        <f>YEAR(Input_Table[[#This Row],[DATE]])</f>
        <v>2019</v>
      </c>
    </row>
    <row r="549" spans="1:14" x14ac:dyDescent="0.3">
      <c r="A549" s="2">
        <f>_xlfn.XLOOKUP(B549,SuperMarket_Analysis[Invoice ID],SuperMarket_Analysis[Date])</f>
        <v>43538</v>
      </c>
      <c r="B549" s="6" t="s">
        <v>580</v>
      </c>
      <c r="C549" s="7">
        <f>_xlfn.XLOOKUP(B549,SuperMarket_Analysis[Invoice ID],SuperMarket_Analysis[Quantity])</f>
        <v>9</v>
      </c>
      <c r="D549" s="6" t="str">
        <f>_xlfn.XLOOKUP('Input data'!B549,'SuperMarket Analysis'!A:A,'SuperMarket Analysis'!F:F)</f>
        <v>Sports and travel</v>
      </c>
      <c r="E549" s="6" t="str">
        <f>_xlfn.XLOOKUP(B549,'SuperMarket Analysis'!A:A,'SuperMarket Analysis'!M:M)</f>
        <v>Credit card</v>
      </c>
      <c r="F549" s="6">
        <f>0.05*Input_Table[[#This Row],[TOTAL C.O.G.S]]</f>
        <v>27.427499999999998</v>
      </c>
      <c r="G549" s="6" t="str">
        <f>_xlfn.XLOOKUP(Input_Table[[#This Row],[INVOICE ID]],'SuperMarket Analysis'!A:A,'SuperMarket Analysis'!B:B)</f>
        <v>Alex</v>
      </c>
      <c r="H549" s="6" t="str">
        <f>_xlfn.XLOOKUP(Input_Table[[#This Row],[INVOICE ID]],'SuperMarket Analysis'!A:A,'SuperMarket Analysis'!F:F)</f>
        <v>Sports and travel</v>
      </c>
      <c r="I549" s="12">
        <f>_xlfn.XLOOKUP(Input_Table[[#This Row],[INVOICE ID]],'SuperMarket Analysis'!A:A,'SuperMarket Analysis'!G:G)</f>
        <v>60.95</v>
      </c>
      <c r="J549" s="12">
        <f>_xlfn.XLOOKUP(Input_Table[[#This Row],[INVOICE ID]],'SuperMarket Analysis'!A:A,'SuperMarket Analysis'!N:N)</f>
        <v>548.54999999999995</v>
      </c>
      <c r="K549" s="12">
        <f>_xlfn.XLOOKUP(Input_Table[[#This Row],[INVOICE ID]],'SuperMarket Analysis'!A:A,'SuperMarket Analysis'!J:J)</f>
        <v>575.97749999999996</v>
      </c>
      <c r="L549" s="6">
        <f>DAY(Input_Table[[#This Row],[DATE]])</f>
        <v>14</v>
      </c>
      <c r="M549" s="6" t="str">
        <f>TEXT(Input_Table[[#This Row],[DATE]],"mmmm")</f>
        <v>March</v>
      </c>
      <c r="N549" s="6">
        <f>YEAR(Input_Table[[#This Row],[DATE]])</f>
        <v>2019</v>
      </c>
    </row>
    <row r="550" spans="1:14" x14ac:dyDescent="0.3">
      <c r="A550" s="2">
        <f>_xlfn.XLOOKUP(B550,SuperMarket_Analysis[Invoice ID],SuperMarket_Analysis[Date])</f>
        <v>43511</v>
      </c>
      <c r="B550" s="6" t="s">
        <v>581</v>
      </c>
      <c r="C550" s="7">
        <f>_xlfn.XLOOKUP(B550,SuperMarket_Analysis[Invoice ID],SuperMarket_Analysis[Quantity])</f>
        <v>5</v>
      </c>
      <c r="D550" s="6" t="str">
        <f>_xlfn.XLOOKUP('Input data'!B550,'SuperMarket Analysis'!A:A,'SuperMarket Analysis'!F:F)</f>
        <v>Sports and travel</v>
      </c>
      <c r="E550" s="6" t="str">
        <f>_xlfn.XLOOKUP(B550,'SuperMarket Analysis'!A:A,'SuperMarket Analysis'!M:M)</f>
        <v>Cash</v>
      </c>
      <c r="F550" s="6">
        <f>0.05*Input_Table[[#This Row],[TOTAL C.O.G.S]]</f>
        <v>12.885</v>
      </c>
      <c r="G550" s="6" t="str">
        <f>_xlfn.XLOOKUP(Input_Table[[#This Row],[INVOICE ID]],'SuperMarket Analysis'!A:A,'SuperMarket Analysis'!B:B)</f>
        <v>Cairo</v>
      </c>
      <c r="H550" s="6" t="str">
        <f>_xlfn.XLOOKUP(Input_Table[[#This Row],[INVOICE ID]],'SuperMarket Analysis'!A:A,'SuperMarket Analysis'!F:F)</f>
        <v>Sports and travel</v>
      </c>
      <c r="I550" s="12">
        <f>_xlfn.XLOOKUP(Input_Table[[#This Row],[INVOICE ID]],'SuperMarket Analysis'!A:A,'SuperMarket Analysis'!G:G)</f>
        <v>51.54</v>
      </c>
      <c r="J550" s="12">
        <f>_xlfn.XLOOKUP(Input_Table[[#This Row],[INVOICE ID]],'SuperMarket Analysis'!A:A,'SuperMarket Analysis'!N:N)</f>
        <v>257.7</v>
      </c>
      <c r="K550" s="12">
        <f>_xlfn.XLOOKUP(Input_Table[[#This Row],[INVOICE ID]],'SuperMarket Analysis'!A:A,'SuperMarket Analysis'!J:J)</f>
        <v>270.58499999999998</v>
      </c>
      <c r="L550" s="6">
        <f>DAY(Input_Table[[#This Row],[DATE]])</f>
        <v>15</v>
      </c>
      <c r="M550" s="6" t="str">
        <f>TEXT(Input_Table[[#This Row],[DATE]],"mmmm")</f>
        <v>February</v>
      </c>
      <c r="N550" s="6">
        <f>YEAR(Input_Table[[#This Row],[DATE]])</f>
        <v>2019</v>
      </c>
    </row>
    <row r="551" spans="1:14" x14ac:dyDescent="0.3">
      <c r="A551" s="2">
        <f>_xlfn.XLOOKUP(B551,SuperMarket_Analysis[Invoice ID],SuperMarket_Analysis[Date])</f>
        <v>43478</v>
      </c>
      <c r="B551" s="6" t="s">
        <v>582</v>
      </c>
      <c r="C551" s="7">
        <f>_xlfn.XLOOKUP(B551,SuperMarket_Analysis[Invoice ID],SuperMarket_Analysis[Quantity])</f>
        <v>6</v>
      </c>
      <c r="D551" s="6" t="str">
        <f>_xlfn.XLOOKUP('Input data'!B551,'SuperMarket Analysis'!A:A,'SuperMarket Analysis'!F:F)</f>
        <v>Electronic accessories</v>
      </c>
      <c r="E551" s="6" t="str">
        <f>_xlfn.XLOOKUP(B551,'SuperMarket Analysis'!A:A,'SuperMarket Analysis'!M:M)</f>
        <v>Cash</v>
      </c>
      <c r="F551" s="6">
        <f>0.05*Input_Table[[#This Row],[TOTAL C.O.G.S]]</f>
        <v>19.818000000000001</v>
      </c>
      <c r="G551" s="6" t="str">
        <f>_xlfn.XLOOKUP(Input_Table[[#This Row],[INVOICE ID]],'SuperMarket Analysis'!A:A,'SuperMarket Analysis'!B:B)</f>
        <v>Alex</v>
      </c>
      <c r="H551" s="6" t="str">
        <f>_xlfn.XLOOKUP(Input_Table[[#This Row],[INVOICE ID]],'SuperMarket Analysis'!A:A,'SuperMarket Analysis'!F:F)</f>
        <v>Electronic accessories</v>
      </c>
      <c r="I551" s="12">
        <f>_xlfn.XLOOKUP(Input_Table[[#This Row],[INVOICE ID]],'SuperMarket Analysis'!A:A,'SuperMarket Analysis'!G:G)</f>
        <v>66.06</v>
      </c>
      <c r="J551" s="12">
        <f>_xlfn.XLOOKUP(Input_Table[[#This Row],[INVOICE ID]],'SuperMarket Analysis'!A:A,'SuperMarket Analysis'!N:N)</f>
        <v>396.36</v>
      </c>
      <c r="K551" s="12">
        <f>_xlfn.XLOOKUP(Input_Table[[#This Row],[INVOICE ID]],'SuperMarket Analysis'!A:A,'SuperMarket Analysis'!J:J)</f>
        <v>416.178</v>
      </c>
      <c r="L551" s="6">
        <f>DAY(Input_Table[[#This Row],[DATE]])</f>
        <v>13</v>
      </c>
      <c r="M551" s="6" t="str">
        <f>TEXT(Input_Table[[#This Row],[DATE]],"mmmm")</f>
        <v>January</v>
      </c>
      <c r="N551" s="6">
        <f>YEAR(Input_Table[[#This Row],[DATE]])</f>
        <v>2019</v>
      </c>
    </row>
    <row r="552" spans="1:14" x14ac:dyDescent="0.3">
      <c r="A552" s="2">
        <f>_xlfn.XLOOKUP(B552,SuperMarket_Analysis[Invoice ID],SuperMarket_Analysis[Date])</f>
        <v>43511</v>
      </c>
      <c r="B552" s="6" t="s">
        <v>583</v>
      </c>
      <c r="C552" s="7">
        <f>_xlfn.XLOOKUP(B552,SuperMarket_Analysis[Invoice ID],SuperMarket_Analysis[Quantity])</f>
        <v>3</v>
      </c>
      <c r="D552" s="6" t="str">
        <f>_xlfn.XLOOKUP('Input data'!B552,'SuperMarket Analysis'!A:A,'SuperMarket Analysis'!F:F)</f>
        <v>Fashion accessories</v>
      </c>
      <c r="E552" s="6" t="str">
        <f>_xlfn.XLOOKUP(B552,'SuperMarket Analysis'!A:A,'SuperMarket Analysis'!M:M)</f>
        <v>Ewallet</v>
      </c>
      <c r="F552" s="6">
        <f>0.05*Input_Table[[#This Row],[TOTAL C.O.G.S]]</f>
        <v>8.5905000000000005</v>
      </c>
      <c r="G552" s="6" t="str">
        <f>_xlfn.XLOOKUP(Input_Table[[#This Row],[INVOICE ID]],'SuperMarket Analysis'!A:A,'SuperMarket Analysis'!B:B)</f>
        <v>Cairo</v>
      </c>
      <c r="H552" s="6" t="str">
        <f>_xlfn.XLOOKUP(Input_Table[[#This Row],[INVOICE ID]],'SuperMarket Analysis'!A:A,'SuperMarket Analysis'!F:F)</f>
        <v>Fashion accessories</v>
      </c>
      <c r="I552" s="12">
        <f>_xlfn.XLOOKUP(Input_Table[[#This Row],[INVOICE ID]],'SuperMarket Analysis'!A:A,'SuperMarket Analysis'!G:G)</f>
        <v>57.27</v>
      </c>
      <c r="J552" s="12">
        <f>_xlfn.XLOOKUP(Input_Table[[#This Row],[INVOICE ID]],'SuperMarket Analysis'!A:A,'SuperMarket Analysis'!N:N)</f>
        <v>171.81</v>
      </c>
      <c r="K552" s="12">
        <f>_xlfn.XLOOKUP(Input_Table[[#This Row],[INVOICE ID]],'SuperMarket Analysis'!A:A,'SuperMarket Analysis'!J:J)</f>
        <v>180.40049999999999</v>
      </c>
      <c r="L552" s="6">
        <f>DAY(Input_Table[[#This Row],[DATE]])</f>
        <v>15</v>
      </c>
      <c r="M552" s="6" t="str">
        <f>TEXT(Input_Table[[#This Row],[DATE]],"mmmm")</f>
        <v>February</v>
      </c>
      <c r="N552" s="6">
        <f>YEAR(Input_Table[[#This Row],[DATE]])</f>
        <v>2019</v>
      </c>
    </row>
    <row r="553" spans="1:14" x14ac:dyDescent="0.3">
      <c r="A553" s="2">
        <f>_xlfn.XLOOKUP(B553,SuperMarket_Analysis[Invoice ID],SuperMarket_Analysis[Date])</f>
        <v>43548</v>
      </c>
      <c r="B553" s="6" t="s">
        <v>584</v>
      </c>
      <c r="C553" s="7">
        <f>_xlfn.XLOOKUP(B553,SuperMarket_Analysis[Invoice ID],SuperMarket_Analysis[Quantity])</f>
        <v>9</v>
      </c>
      <c r="D553" s="6" t="str">
        <f>_xlfn.XLOOKUP('Input data'!B553,'SuperMarket Analysis'!A:A,'SuperMarket Analysis'!F:F)</f>
        <v>Fashion accessories</v>
      </c>
      <c r="E553" s="6" t="str">
        <f>_xlfn.XLOOKUP(B553,'SuperMarket Analysis'!A:A,'SuperMarket Analysis'!M:M)</f>
        <v>Cash</v>
      </c>
      <c r="F553" s="6">
        <f>0.05*Input_Table[[#This Row],[TOTAL C.O.G.S]]</f>
        <v>24.439500000000002</v>
      </c>
      <c r="G553" s="6" t="str">
        <f>_xlfn.XLOOKUP(Input_Table[[#This Row],[INVOICE ID]],'SuperMarket Analysis'!A:A,'SuperMarket Analysis'!B:B)</f>
        <v>Cairo</v>
      </c>
      <c r="H553" s="6" t="str">
        <f>_xlfn.XLOOKUP(Input_Table[[#This Row],[INVOICE ID]],'SuperMarket Analysis'!A:A,'SuperMarket Analysis'!F:F)</f>
        <v>Fashion accessories</v>
      </c>
      <c r="I553" s="12">
        <f>_xlfn.XLOOKUP(Input_Table[[#This Row],[INVOICE ID]],'SuperMarket Analysis'!A:A,'SuperMarket Analysis'!G:G)</f>
        <v>54.31</v>
      </c>
      <c r="J553" s="12">
        <f>_xlfn.XLOOKUP(Input_Table[[#This Row],[INVOICE ID]],'SuperMarket Analysis'!A:A,'SuperMarket Analysis'!N:N)</f>
        <v>488.79</v>
      </c>
      <c r="K553" s="12">
        <f>_xlfn.XLOOKUP(Input_Table[[#This Row],[INVOICE ID]],'SuperMarket Analysis'!A:A,'SuperMarket Analysis'!J:J)</f>
        <v>513.22950000000003</v>
      </c>
      <c r="L553" s="6">
        <f>DAY(Input_Table[[#This Row],[DATE]])</f>
        <v>24</v>
      </c>
      <c r="M553" s="6" t="str">
        <f>TEXT(Input_Table[[#This Row],[DATE]],"mmmm")</f>
        <v>March</v>
      </c>
      <c r="N553" s="6">
        <f>YEAR(Input_Table[[#This Row],[DATE]])</f>
        <v>2019</v>
      </c>
    </row>
    <row r="554" spans="1:14" x14ac:dyDescent="0.3">
      <c r="A554" s="2">
        <f>_xlfn.XLOOKUP(B554,SuperMarket_Analysis[Invoice ID],SuperMarket_Analysis[Date])</f>
        <v>43523</v>
      </c>
      <c r="B554" s="6" t="s">
        <v>585</v>
      </c>
      <c r="C554" s="7">
        <f>_xlfn.XLOOKUP(B554,SuperMarket_Analysis[Invoice ID],SuperMarket_Analysis[Quantity])</f>
        <v>9</v>
      </c>
      <c r="D554" s="6" t="str">
        <f>_xlfn.XLOOKUP('Input data'!B554,'SuperMarket Analysis'!A:A,'SuperMarket Analysis'!F:F)</f>
        <v>Health and beauty</v>
      </c>
      <c r="E554" s="6" t="str">
        <f>_xlfn.XLOOKUP(B554,'SuperMarket Analysis'!A:A,'SuperMarket Analysis'!M:M)</f>
        <v>Cash</v>
      </c>
      <c r="F554" s="6">
        <f>0.05*Input_Table[[#This Row],[TOTAL C.O.G.S]]</f>
        <v>26.207999999999998</v>
      </c>
      <c r="G554" s="6" t="str">
        <f>_xlfn.XLOOKUP(Input_Table[[#This Row],[INVOICE ID]],'SuperMarket Analysis'!A:A,'SuperMarket Analysis'!B:B)</f>
        <v>Cairo</v>
      </c>
      <c r="H554" s="6" t="str">
        <f>_xlfn.XLOOKUP(Input_Table[[#This Row],[INVOICE ID]],'SuperMarket Analysis'!A:A,'SuperMarket Analysis'!F:F)</f>
        <v>Health and beauty</v>
      </c>
      <c r="I554" s="12">
        <f>_xlfn.XLOOKUP(Input_Table[[#This Row],[INVOICE ID]],'SuperMarket Analysis'!A:A,'SuperMarket Analysis'!G:G)</f>
        <v>58.24</v>
      </c>
      <c r="J554" s="12">
        <f>_xlfn.XLOOKUP(Input_Table[[#This Row],[INVOICE ID]],'SuperMarket Analysis'!A:A,'SuperMarket Analysis'!N:N)</f>
        <v>524.16</v>
      </c>
      <c r="K554" s="12">
        <f>_xlfn.XLOOKUP(Input_Table[[#This Row],[INVOICE ID]],'SuperMarket Analysis'!A:A,'SuperMarket Analysis'!J:J)</f>
        <v>550.36800000000005</v>
      </c>
      <c r="L554" s="6">
        <f>DAY(Input_Table[[#This Row],[DATE]])</f>
        <v>27</v>
      </c>
      <c r="M554" s="6" t="str">
        <f>TEXT(Input_Table[[#This Row],[DATE]],"mmmm")</f>
        <v>February</v>
      </c>
      <c r="N554" s="6">
        <f>YEAR(Input_Table[[#This Row],[DATE]])</f>
        <v>2019</v>
      </c>
    </row>
    <row r="555" spans="1:14" x14ac:dyDescent="0.3">
      <c r="A555" s="2">
        <f>_xlfn.XLOOKUP(B555,SuperMarket_Analysis[Invoice ID],SuperMarket_Analysis[Date])</f>
        <v>43485</v>
      </c>
      <c r="B555" s="6" t="s">
        <v>586</v>
      </c>
      <c r="C555" s="7">
        <f>_xlfn.XLOOKUP(B555,SuperMarket_Analysis[Invoice ID],SuperMarket_Analysis[Quantity])</f>
        <v>6</v>
      </c>
      <c r="D555" s="6" t="str">
        <f>_xlfn.XLOOKUP('Input data'!B555,'SuperMarket Analysis'!A:A,'SuperMarket Analysis'!F:F)</f>
        <v>Electronic accessories</v>
      </c>
      <c r="E555" s="6" t="str">
        <f>_xlfn.XLOOKUP(B555,'SuperMarket Analysis'!A:A,'SuperMarket Analysis'!M:M)</f>
        <v>Credit card</v>
      </c>
      <c r="F555" s="6">
        <f>0.05*Input_Table[[#This Row],[TOTAL C.O.G.S]]</f>
        <v>6.6630000000000003</v>
      </c>
      <c r="G555" s="6" t="str">
        <f>_xlfn.XLOOKUP(Input_Table[[#This Row],[INVOICE ID]],'SuperMarket Analysis'!A:A,'SuperMarket Analysis'!B:B)</f>
        <v>Giza</v>
      </c>
      <c r="H555" s="6" t="str">
        <f>_xlfn.XLOOKUP(Input_Table[[#This Row],[INVOICE ID]],'SuperMarket Analysis'!A:A,'SuperMarket Analysis'!F:F)</f>
        <v>Electronic accessories</v>
      </c>
      <c r="I555" s="12">
        <f>_xlfn.XLOOKUP(Input_Table[[#This Row],[INVOICE ID]],'SuperMarket Analysis'!A:A,'SuperMarket Analysis'!G:G)</f>
        <v>22.21</v>
      </c>
      <c r="J555" s="12">
        <f>_xlfn.XLOOKUP(Input_Table[[#This Row],[INVOICE ID]],'SuperMarket Analysis'!A:A,'SuperMarket Analysis'!N:N)</f>
        <v>133.26</v>
      </c>
      <c r="K555" s="12">
        <f>_xlfn.XLOOKUP(Input_Table[[#This Row],[INVOICE ID]],'SuperMarket Analysis'!A:A,'SuperMarket Analysis'!J:J)</f>
        <v>139.923</v>
      </c>
      <c r="L555" s="6">
        <f>DAY(Input_Table[[#This Row],[DATE]])</f>
        <v>20</v>
      </c>
      <c r="M555" s="6" t="str">
        <f>TEXT(Input_Table[[#This Row],[DATE]],"mmmm")</f>
        <v>January</v>
      </c>
      <c r="N555" s="6">
        <f>YEAR(Input_Table[[#This Row],[DATE]])</f>
        <v>2019</v>
      </c>
    </row>
    <row r="556" spans="1:14" x14ac:dyDescent="0.3">
      <c r="A556" s="2">
        <f>_xlfn.XLOOKUP(B556,SuperMarket_Analysis[Invoice ID],SuperMarket_Analysis[Date])</f>
        <v>43489</v>
      </c>
      <c r="B556" s="6" t="s">
        <v>587</v>
      </c>
      <c r="C556" s="7">
        <f>_xlfn.XLOOKUP(B556,SuperMarket_Analysis[Invoice ID],SuperMarket_Analysis[Quantity])</f>
        <v>7</v>
      </c>
      <c r="D556" s="6" t="str">
        <f>_xlfn.XLOOKUP('Input data'!B556,'SuperMarket Analysis'!A:A,'SuperMarket Analysis'!F:F)</f>
        <v>Electronic accessories</v>
      </c>
      <c r="E556" s="6" t="str">
        <f>_xlfn.XLOOKUP(B556,'SuperMarket Analysis'!A:A,'SuperMarket Analysis'!M:M)</f>
        <v>Cash</v>
      </c>
      <c r="F556" s="6">
        <f>0.05*Input_Table[[#This Row],[TOTAL C.O.G.S]]</f>
        <v>6.7620000000000005</v>
      </c>
      <c r="G556" s="6" t="str">
        <f>_xlfn.XLOOKUP(Input_Table[[#This Row],[INVOICE ID]],'SuperMarket Analysis'!A:A,'SuperMarket Analysis'!B:B)</f>
        <v>Alex</v>
      </c>
      <c r="H556" s="6" t="str">
        <f>_xlfn.XLOOKUP(Input_Table[[#This Row],[INVOICE ID]],'SuperMarket Analysis'!A:A,'SuperMarket Analysis'!F:F)</f>
        <v>Electronic accessories</v>
      </c>
      <c r="I556" s="12">
        <f>_xlfn.XLOOKUP(Input_Table[[#This Row],[INVOICE ID]],'SuperMarket Analysis'!A:A,'SuperMarket Analysis'!G:G)</f>
        <v>19.32</v>
      </c>
      <c r="J556" s="12">
        <f>_xlfn.XLOOKUP(Input_Table[[#This Row],[INVOICE ID]],'SuperMarket Analysis'!A:A,'SuperMarket Analysis'!N:N)</f>
        <v>135.24</v>
      </c>
      <c r="K556" s="12">
        <f>_xlfn.XLOOKUP(Input_Table[[#This Row],[INVOICE ID]],'SuperMarket Analysis'!A:A,'SuperMarket Analysis'!J:J)</f>
        <v>142.00200000000001</v>
      </c>
      <c r="L556" s="6">
        <f>DAY(Input_Table[[#This Row],[DATE]])</f>
        <v>24</v>
      </c>
      <c r="M556" s="6" t="str">
        <f>TEXT(Input_Table[[#This Row],[DATE]],"mmmm")</f>
        <v>January</v>
      </c>
      <c r="N556" s="6">
        <f>YEAR(Input_Table[[#This Row],[DATE]])</f>
        <v>2019</v>
      </c>
    </row>
    <row r="557" spans="1:14" x14ac:dyDescent="0.3">
      <c r="A557" s="2">
        <f>_xlfn.XLOOKUP(B557,SuperMarket_Analysis[Invoice ID],SuperMarket_Analysis[Date])</f>
        <v>43554</v>
      </c>
      <c r="B557" s="6" t="s">
        <v>588</v>
      </c>
      <c r="C557" s="7">
        <f>_xlfn.XLOOKUP(B557,SuperMarket_Analysis[Invoice ID],SuperMarket_Analysis[Quantity])</f>
        <v>3</v>
      </c>
      <c r="D557" s="6" t="str">
        <f>_xlfn.XLOOKUP('Input data'!B557,'SuperMarket Analysis'!A:A,'SuperMarket Analysis'!F:F)</f>
        <v>Home and lifestyle</v>
      </c>
      <c r="E557" s="6" t="str">
        <f>_xlfn.XLOOKUP(B557,'SuperMarket Analysis'!A:A,'SuperMarket Analysis'!M:M)</f>
        <v>Credit card</v>
      </c>
      <c r="F557" s="6">
        <f>0.05*Input_Table[[#This Row],[TOTAL C.O.G.S]]</f>
        <v>5.6219999999999999</v>
      </c>
      <c r="G557" s="6" t="str">
        <f>_xlfn.XLOOKUP(Input_Table[[#This Row],[INVOICE ID]],'SuperMarket Analysis'!A:A,'SuperMarket Analysis'!B:B)</f>
        <v>Cairo</v>
      </c>
      <c r="H557" s="6" t="str">
        <f>_xlfn.XLOOKUP(Input_Table[[#This Row],[INVOICE ID]],'SuperMarket Analysis'!A:A,'SuperMarket Analysis'!F:F)</f>
        <v>Home and lifestyle</v>
      </c>
      <c r="I557" s="12">
        <f>_xlfn.XLOOKUP(Input_Table[[#This Row],[INVOICE ID]],'SuperMarket Analysis'!A:A,'SuperMarket Analysis'!G:G)</f>
        <v>37.479999999999997</v>
      </c>
      <c r="J557" s="12">
        <f>_xlfn.XLOOKUP(Input_Table[[#This Row],[INVOICE ID]],'SuperMarket Analysis'!A:A,'SuperMarket Analysis'!N:N)</f>
        <v>112.44</v>
      </c>
      <c r="K557" s="12">
        <f>_xlfn.XLOOKUP(Input_Table[[#This Row],[INVOICE ID]],'SuperMarket Analysis'!A:A,'SuperMarket Analysis'!J:J)</f>
        <v>118.062</v>
      </c>
      <c r="L557" s="6">
        <f>DAY(Input_Table[[#This Row],[DATE]])</f>
        <v>30</v>
      </c>
      <c r="M557" s="6" t="str">
        <f>TEXT(Input_Table[[#This Row],[DATE]],"mmmm")</f>
        <v>March</v>
      </c>
      <c r="N557" s="6">
        <f>YEAR(Input_Table[[#This Row],[DATE]])</f>
        <v>2019</v>
      </c>
    </row>
    <row r="558" spans="1:14" x14ac:dyDescent="0.3">
      <c r="A558" s="2">
        <f>_xlfn.XLOOKUP(B558,SuperMarket_Analysis[Invoice ID],SuperMarket_Analysis[Date])</f>
        <v>43513</v>
      </c>
      <c r="B558" s="6" t="s">
        <v>589</v>
      </c>
      <c r="C558" s="7">
        <f>_xlfn.XLOOKUP(B558,SuperMarket_Analysis[Invoice ID],SuperMarket_Analysis[Quantity])</f>
        <v>2</v>
      </c>
      <c r="D558" s="6" t="str">
        <f>_xlfn.XLOOKUP('Input data'!B558,'SuperMarket Analysis'!A:A,'SuperMarket Analysis'!F:F)</f>
        <v>Fashion accessories</v>
      </c>
      <c r="E558" s="6" t="str">
        <f>_xlfn.XLOOKUP(B558,'SuperMarket Analysis'!A:A,'SuperMarket Analysis'!M:M)</f>
        <v>Cash</v>
      </c>
      <c r="F558" s="6">
        <f>0.05*Input_Table[[#This Row],[TOTAL C.O.G.S]]</f>
        <v>7.2040000000000006</v>
      </c>
      <c r="G558" s="6" t="str">
        <f>_xlfn.XLOOKUP(Input_Table[[#This Row],[INVOICE ID]],'SuperMarket Analysis'!A:A,'SuperMarket Analysis'!B:B)</f>
        <v>Cairo</v>
      </c>
      <c r="H558" s="6" t="str">
        <f>_xlfn.XLOOKUP(Input_Table[[#This Row],[INVOICE ID]],'SuperMarket Analysis'!A:A,'SuperMarket Analysis'!F:F)</f>
        <v>Fashion accessories</v>
      </c>
      <c r="I558" s="12">
        <f>_xlfn.XLOOKUP(Input_Table[[#This Row],[INVOICE ID]],'SuperMarket Analysis'!A:A,'SuperMarket Analysis'!G:G)</f>
        <v>72.040000000000006</v>
      </c>
      <c r="J558" s="12">
        <f>_xlfn.XLOOKUP(Input_Table[[#This Row],[INVOICE ID]],'SuperMarket Analysis'!A:A,'SuperMarket Analysis'!N:N)</f>
        <v>144.08000000000001</v>
      </c>
      <c r="K558" s="12">
        <f>_xlfn.XLOOKUP(Input_Table[[#This Row],[INVOICE ID]],'SuperMarket Analysis'!A:A,'SuperMarket Analysis'!J:J)</f>
        <v>151.28399999999999</v>
      </c>
      <c r="L558" s="6">
        <f>DAY(Input_Table[[#This Row],[DATE]])</f>
        <v>17</v>
      </c>
      <c r="M558" s="6" t="str">
        <f>TEXT(Input_Table[[#This Row],[DATE]],"mmmm")</f>
        <v>February</v>
      </c>
      <c r="N558" s="6">
        <f>YEAR(Input_Table[[#This Row],[DATE]])</f>
        <v>2019</v>
      </c>
    </row>
    <row r="559" spans="1:14" x14ac:dyDescent="0.3">
      <c r="A559" s="2">
        <f>_xlfn.XLOOKUP(B559,SuperMarket_Analysis[Invoice ID],SuperMarket_Analysis[Date])</f>
        <v>43545</v>
      </c>
      <c r="B559" s="6" t="s">
        <v>590</v>
      </c>
      <c r="C559" s="7">
        <f>_xlfn.XLOOKUP(B559,SuperMarket_Analysis[Invoice ID],SuperMarket_Analysis[Quantity])</f>
        <v>10</v>
      </c>
      <c r="D559" s="6" t="str">
        <f>_xlfn.XLOOKUP('Input data'!B559,'SuperMarket Analysis'!A:A,'SuperMarket Analysis'!F:F)</f>
        <v>Food and beverages</v>
      </c>
      <c r="E559" s="6" t="str">
        <f>_xlfn.XLOOKUP(B559,'SuperMarket Analysis'!A:A,'SuperMarket Analysis'!M:M)</f>
        <v>Ewallet</v>
      </c>
      <c r="F559" s="6">
        <f>0.05*Input_Table[[#This Row],[TOTAL C.O.G.S]]</f>
        <v>49.260000000000005</v>
      </c>
      <c r="G559" s="6" t="str">
        <f>_xlfn.XLOOKUP(Input_Table[[#This Row],[INVOICE ID]],'SuperMarket Analysis'!A:A,'SuperMarket Analysis'!B:B)</f>
        <v>Giza</v>
      </c>
      <c r="H559" s="6" t="str">
        <f>_xlfn.XLOOKUP(Input_Table[[#This Row],[INVOICE ID]],'SuperMarket Analysis'!A:A,'SuperMarket Analysis'!F:F)</f>
        <v>Food and beverages</v>
      </c>
      <c r="I559" s="12">
        <f>_xlfn.XLOOKUP(Input_Table[[#This Row],[INVOICE ID]],'SuperMarket Analysis'!A:A,'SuperMarket Analysis'!G:G)</f>
        <v>98.52</v>
      </c>
      <c r="J559" s="12">
        <f>_xlfn.XLOOKUP(Input_Table[[#This Row],[INVOICE ID]],'SuperMarket Analysis'!A:A,'SuperMarket Analysis'!N:N)</f>
        <v>985.2</v>
      </c>
      <c r="K559" s="12">
        <f>_xlfn.XLOOKUP(Input_Table[[#This Row],[INVOICE ID]],'SuperMarket Analysis'!A:A,'SuperMarket Analysis'!J:J)</f>
        <v>1034.46</v>
      </c>
      <c r="L559" s="6">
        <f>DAY(Input_Table[[#This Row],[DATE]])</f>
        <v>21</v>
      </c>
      <c r="M559" s="6" t="str">
        <f>TEXT(Input_Table[[#This Row],[DATE]],"mmmm")</f>
        <v>March</v>
      </c>
      <c r="N559" s="6">
        <f>YEAR(Input_Table[[#This Row],[DATE]])</f>
        <v>2019</v>
      </c>
    </row>
    <row r="560" spans="1:14" x14ac:dyDescent="0.3">
      <c r="A560" s="2">
        <f>_xlfn.XLOOKUP(B560,SuperMarket_Analysis[Invoice ID],SuperMarket_Analysis[Date])</f>
        <v>43551</v>
      </c>
      <c r="B560" s="6" t="s">
        <v>591</v>
      </c>
      <c r="C560" s="7">
        <f>_xlfn.XLOOKUP(B560,SuperMarket_Analysis[Invoice ID],SuperMarket_Analysis[Quantity])</f>
        <v>6</v>
      </c>
      <c r="D560" s="6" t="str">
        <f>_xlfn.XLOOKUP('Input data'!B560,'SuperMarket Analysis'!A:A,'SuperMarket Analysis'!F:F)</f>
        <v>Food and beverages</v>
      </c>
      <c r="E560" s="6" t="str">
        <f>_xlfn.XLOOKUP(B560,'SuperMarket Analysis'!A:A,'SuperMarket Analysis'!M:M)</f>
        <v>Ewallet</v>
      </c>
      <c r="F560" s="6">
        <f>0.05*Input_Table[[#This Row],[TOTAL C.O.G.S]]</f>
        <v>12.498000000000001</v>
      </c>
      <c r="G560" s="6" t="str">
        <f>_xlfn.XLOOKUP(Input_Table[[#This Row],[INVOICE ID]],'SuperMarket Analysis'!A:A,'SuperMarket Analysis'!B:B)</f>
        <v>Alex</v>
      </c>
      <c r="H560" s="6" t="str">
        <f>_xlfn.XLOOKUP(Input_Table[[#This Row],[INVOICE ID]],'SuperMarket Analysis'!A:A,'SuperMarket Analysis'!F:F)</f>
        <v>Food and beverages</v>
      </c>
      <c r="I560" s="12">
        <f>_xlfn.XLOOKUP(Input_Table[[#This Row],[INVOICE ID]],'SuperMarket Analysis'!A:A,'SuperMarket Analysis'!G:G)</f>
        <v>41.66</v>
      </c>
      <c r="J560" s="12">
        <f>_xlfn.XLOOKUP(Input_Table[[#This Row],[INVOICE ID]],'SuperMarket Analysis'!A:A,'SuperMarket Analysis'!N:N)</f>
        <v>249.96</v>
      </c>
      <c r="K560" s="12">
        <f>_xlfn.XLOOKUP(Input_Table[[#This Row],[INVOICE ID]],'SuperMarket Analysis'!A:A,'SuperMarket Analysis'!J:J)</f>
        <v>262.45800000000003</v>
      </c>
      <c r="L560" s="6">
        <f>DAY(Input_Table[[#This Row],[DATE]])</f>
        <v>27</v>
      </c>
      <c r="M560" s="6" t="str">
        <f>TEXT(Input_Table[[#This Row],[DATE]],"mmmm")</f>
        <v>March</v>
      </c>
      <c r="N560" s="6">
        <f>YEAR(Input_Table[[#This Row],[DATE]])</f>
        <v>2019</v>
      </c>
    </row>
    <row r="561" spans="1:14" x14ac:dyDescent="0.3">
      <c r="A561" s="2">
        <f>_xlfn.XLOOKUP(B561,SuperMarket_Analysis[Invoice ID],SuperMarket_Analysis[Date])</f>
        <v>43484</v>
      </c>
      <c r="B561" s="6" t="s">
        <v>592</v>
      </c>
      <c r="C561" s="7">
        <f>_xlfn.XLOOKUP(B561,SuperMarket_Analysis[Invoice ID],SuperMarket_Analysis[Quantity])</f>
        <v>3</v>
      </c>
      <c r="D561" s="6" t="str">
        <f>_xlfn.XLOOKUP('Input data'!B561,'SuperMarket Analysis'!A:A,'SuperMarket Analysis'!F:F)</f>
        <v>Home and lifestyle</v>
      </c>
      <c r="E561" s="6" t="str">
        <f>_xlfn.XLOOKUP(B561,'SuperMarket Analysis'!A:A,'SuperMarket Analysis'!M:M)</f>
        <v>Ewallet</v>
      </c>
      <c r="F561" s="6">
        <f>0.05*Input_Table[[#This Row],[TOTAL C.O.G.S]]</f>
        <v>10.863</v>
      </c>
      <c r="G561" s="6" t="str">
        <f>_xlfn.XLOOKUP(Input_Table[[#This Row],[INVOICE ID]],'SuperMarket Analysis'!A:A,'SuperMarket Analysis'!B:B)</f>
        <v>Alex</v>
      </c>
      <c r="H561" s="6" t="str">
        <f>_xlfn.XLOOKUP(Input_Table[[#This Row],[INVOICE ID]],'SuperMarket Analysis'!A:A,'SuperMarket Analysis'!F:F)</f>
        <v>Home and lifestyle</v>
      </c>
      <c r="I561" s="12">
        <f>_xlfn.XLOOKUP(Input_Table[[#This Row],[INVOICE ID]],'SuperMarket Analysis'!A:A,'SuperMarket Analysis'!G:G)</f>
        <v>72.42</v>
      </c>
      <c r="J561" s="12">
        <f>_xlfn.XLOOKUP(Input_Table[[#This Row],[INVOICE ID]],'SuperMarket Analysis'!A:A,'SuperMarket Analysis'!N:N)</f>
        <v>217.26</v>
      </c>
      <c r="K561" s="12">
        <f>_xlfn.XLOOKUP(Input_Table[[#This Row],[INVOICE ID]],'SuperMarket Analysis'!A:A,'SuperMarket Analysis'!J:J)</f>
        <v>228.12299999999999</v>
      </c>
      <c r="L561" s="6">
        <f>DAY(Input_Table[[#This Row],[DATE]])</f>
        <v>19</v>
      </c>
      <c r="M561" s="6" t="str">
        <f>TEXT(Input_Table[[#This Row],[DATE]],"mmmm")</f>
        <v>January</v>
      </c>
      <c r="N561" s="6">
        <f>YEAR(Input_Table[[#This Row],[DATE]])</f>
        <v>2019</v>
      </c>
    </row>
    <row r="562" spans="1:14" x14ac:dyDescent="0.3">
      <c r="A562" s="2">
        <f>_xlfn.XLOOKUP(B562,SuperMarket_Analysis[Invoice ID],SuperMarket_Analysis[Date])</f>
        <v>43515</v>
      </c>
      <c r="B562" s="6" t="s">
        <v>593</v>
      </c>
      <c r="C562" s="7">
        <f>_xlfn.XLOOKUP(B562,SuperMarket_Analysis[Invoice ID],SuperMarket_Analysis[Quantity])</f>
        <v>9</v>
      </c>
      <c r="D562" s="6" t="str">
        <f>_xlfn.XLOOKUP('Input data'!B562,'SuperMarket Analysis'!A:A,'SuperMarket Analysis'!F:F)</f>
        <v>Electronic accessories</v>
      </c>
      <c r="E562" s="6" t="str">
        <f>_xlfn.XLOOKUP(B562,'SuperMarket Analysis'!A:A,'SuperMarket Analysis'!M:M)</f>
        <v>Cash</v>
      </c>
      <c r="F562" s="6">
        <f>0.05*Input_Table[[#This Row],[TOTAL C.O.G.S]]</f>
        <v>9.7110000000000003</v>
      </c>
      <c r="G562" s="6" t="str">
        <f>_xlfn.XLOOKUP(Input_Table[[#This Row],[INVOICE ID]],'SuperMarket Analysis'!A:A,'SuperMarket Analysis'!B:B)</f>
        <v>Cairo</v>
      </c>
      <c r="H562" s="6" t="str">
        <f>_xlfn.XLOOKUP(Input_Table[[#This Row],[INVOICE ID]],'SuperMarket Analysis'!A:A,'SuperMarket Analysis'!F:F)</f>
        <v>Electronic accessories</v>
      </c>
      <c r="I562" s="12">
        <f>_xlfn.XLOOKUP(Input_Table[[#This Row],[INVOICE ID]],'SuperMarket Analysis'!A:A,'SuperMarket Analysis'!G:G)</f>
        <v>21.58</v>
      </c>
      <c r="J562" s="12">
        <f>_xlfn.XLOOKUP(Input_Table[[#This Row],[INVOICE ID]],'SuperMarket Analysis'!A:A,'SuperMarket Analysis'!N:N)</f>
        <v>194.22</v>
      </c>
      <c r="K562" s="12">
        <f>_xlfn.XLOOKUP(Input_Table[[#This Row],[INVOICE ID]],'SuperMarket Analysis'!A:A,'SuperMarket Analysis'!J:J)</f>
        <v>203.93100000000001</v>
      </c>
      <c r="L562" s="6">
        <f>DAY(Input_Table[[#This Row],[DATE]])</f>
        <v>19</v>
      </c>
      <c r="M562" s="6" t="str">
        <f>TEXT(Input_Table[[#This Row],[DATE]],"mmmm")</f>
        <v>February</v>
      </c>
      <c r="N562" s="6">
        <f>YEAR(Input_Table[[#This Row],[DATE]])</f>
        <v>2019</v>
      </c>
    </row>
    <row r="563" spans="1:14" x14ac:dyDescent="0.3">
      <c r="A563" s="2">
        <f>_xlfn.XLOOKUP(B563,SuperMarket_Analysis[Invoice ID],SuperMarket_Analysis[Date])</f>
        <v>43552</v>
      </c>
      <c r="B563" s="6" t="s">
        <v>594</v>
      </c>
      <c r="C563" s="7">
        <f>_xlfn.XLOOKUP(B563,SuperMarket_Analysis[Invoice ID],SuperMarket_Analysis[Quantity])</f>
        <v>10</v>
      </c>
      <c r="D563" s="6" t="str">
        <f>_xlfn.XLOOKUP('Input data'!B563,'SuperMarket Analysis'!A:A,'SuperMarket Analysis'!F:F)</f>
        <v>Food and beverages</v>
      </c>
      <c r="E563" s="6" t="str">
        <f>_xlfn.XLOOKUP(B563,'SuperMarket Analysis'!A:A,'SuperMarket Analysis'!M:M)</f>
        <v>Credit card</v>
      </c>
      <c r="F563" s="6">
        <f>0.05*Input_Table[[#This Row],[TOTAL C.O.G.S]]</f>
        <v>44.6</v>
      </c>
      <c r="G563" s="6" t="str">
        <f>_xlfn.XLOOKUP(Input_Table[[#This Row],[INVOICE ID]],'SuperMarket Analysis'!A:A,'SuperMarket Analysis'!B:B)</f>
        <v>Giza</v>
      </c>
      <c r="H563" s="6" t="str">
        <f>_xlfn.XLOOKUP(Input_Table[[#This Row],[INVOICE ID]],'SuperMarket Analysis'!A:A,'SuperMarket Analysis'!F:F)</f>
        <v>Food and beverages</v>
      </c>
      <c r="I563" s="12">
        <f>_xlfn.XLOOKUP(Input_Table[[#This Row],[INVOICE ID]],'SuperMarket Analysis'!A:A,'SuperMarket Analysis'!G:G)</f>
        <v>89.2</v>
      </c>
      <c r="J563" s="12">
        <f>_xlfn.XLOOKUP(Input_Table[[#This Row],[INVOICE ID]],'SuperMarket Analysis'!A:A,'SuperMarket Analysis'!N:N)</f>
        <v>892</v>
      </c>
      <c r="K563" s="12">
        <f>_xlfn.XLOOKUP(Input_Table[[#This Row],[INVOICE ID]],'SuperMarket Analysis'!A:A,'SuperMarket Analysis'!J:J)</f>
        <v>936.6</v>
      </c>
      <c r="L563" s="6">
        <f>DAY(Input_Table[[#This Row],[DATE]])</f>
        <v>28</v>
      </c>
      <c r="M563" s="6" t="str">
        <f>TEXT(Input_Table[[#This Row],[DATE]],"mmmm")</f>
        <v>March</v>
      </c>
      <c r="N563" s="6">
        <f>YEAR(Input_Table[[#This Row],[DATE]])</f>
        <v>2019</v>
      </c>
    </row>
    <row r="564" spans="1:14" x14ac:dyDescent="0.3">
      <c r="A564" s="2">
        <f>_xlfn.XLOOKUP(B564,SuperMarket_Analysis[Invoice ID],SuperMarket_Analysis[Date])</f>
        <v>43550</v>
      </c>
      <c r="B564" s="6" t="s">
        <v>595</v>
      </c>
      <c r="C564" s="7">
        <f>_xlfn.XLOOKUP(B564,SuperMarket_Analysis[Invoice ID],SuperMarket_Analysis[Quantity])</f>
        <v>8</v>
      </c>
      <c r="D564" s="6" t="str">
        <f>_xlfn.XLOOKUP('Input data'!B564,'SuperMarket Analysis'!A:A,'SuperMarket Analysis'!F:F)</f>
        <v>Electronic accessories</v>
      </c>
      <c r="E564" s="6" t="str">
        <f>_xlfn.XLOOKUP(B564,'SuperMarket Analysis'!A:A,'SuperMarket Analysis'!M:M)</f>
        <v>Ewallet</v>
      </c>
      <c r="F564" s="6">
        <f>0.05*Input_Table[[#This Row],[TOTAL C.O.G.S]]</f>
        <v>16.968</v>
      </c>
      <c r="G564" s="6" t="str">
        <f>_xlfn.XLOOKUP(Input_Table[[#This Row],[INVOICE ID]],'SuperMarket Analysis'!A:A,'SuperMarket Analysis'!B:B)</f>
        <v>Cairo</v>
      </c>
      <c r="H564" s="6" t="str">
        <f>_xlfn.XLOOKUP(Input_Table[[#This Row],[INVOICE ID]],'SuperMarket Analysis'!A:A,'SuperMarket Analysis'!F:F)</f>
        <v>Electronic accessories</v>
      </c>
      <c r="I564" s="12">
        <f>_xlfn.XLOOKUP(Input_Table[[#This Row],[INVOICE ID]],'SuperMarket Analysis'!A:A,'SuperMarket Analysis'!G:G)</f>
        <v>42.42</v>
      </c>
      <c r="J564" s="12">
        <f>_xlfn.XLOOKUP(Input_Table[[#This Row],[INVOICE ID]],'SuperMarket Analysis'!A:A,'SuperMarket Analysis'!N:N)</f>
        <v>339.36</v>
      </c>
      <c r="K564" s="12">
        <f>_xlfn.XLOOKUP(Input_Table[[#This Row],[INVOICE ID]],'SuperMarket Analysis'!A:A,'SuperMarket Analysis'!J:J)</f>
        <v>356.32799999999997</v>
      </c>
      <c r="L564" s="6">
        <f>DAY(Input_Table[[#This Row],[DATE]])</f>
        <v>26</v>
      </c>
      <c r="M564" s="6" t="str">
        <f>TEXT(Input_Table[[#This Row],[DATE]],"mmmm")</f>
        <v>March</v>
      </c>
      <c r="N564" s="6">
        <f>YEAR(Input_Table[[#This Row],[DATE]])</f>
        <v>2019</v>
      </c>
    </row>
    <row r="565" spans="1:14" x14ac:dyDescent="0.3">
      <c r="A565" s="2">
        <f>_xlfn.XLOOKUP(B565,SuperMarket_Analysis[Invoice ID],SuperMarket_Analysis[Date])</f>
        <v>43520</v>
      </c>
      <c r="B565" s="6" t="s">
        <v>596</v>
      </c>
      <c r="C565" s="7">
        <f>_xlfn.XLOOKUP(B565,SuperMarket_Analysis[Invoice ID],SuperMarket_Analysis[Quantity])</f>
        <v>6</v>
      </c>
      <c r="D565" s="6" t="str">
        <f>_xlfn.XLOOKUP('Input data'!B565,'SuperMarket Analysis'!A:A,'SuperMarket Analysis'!F:F)</f>
        <v>Electronic accessories</v>
      </c>
      <c r="E565" s="6" t="str">
        <f>_xlfn.XLOOKUP(B565,'SuperMarket Analysis'!A:A,'SuperMarket Analysis'!M:M)</f>
        <v>Ewallet</v>
      </c>
      <c r="F565" s="6">
        <f>0.05*Input_Table[[#This Row],[TOTAL C.O.G.S]]</f>
        <v>22.353000000000002</v>
      </c>
      <c r="G565" s="6" t="str">
        <f>_xlfn.XLOOKUP(Input_Table[[#This Row],[INVOICE ID]],'SuperMarket Analysis'!A:A,'SuperMarket Analysis'!B:B)</f>
        <v>Alex</v>
      </c>
      <c r="H565" s="6" t="str">
        <f>_xlfn.XLOOKUP(Input_Table[[#This Row],[INVOICE ID]],'SuperMarket Analysis'!A:A,'SuperMarket Analysis'!F:F)</f>
        <v>Electronic accessories</v>
      </c>
      <c r="I565" s="12">
        <f>_xlfn.XLOOKUP(Input_Table[[#This Row],[INVOICE ID]],'SuperMarket Analysis'!A:A,'SuperMarket Analysis'!G:G)</f>
        <v>74.510000000000005</v>
      </c>
      <c r="J565" s="12">
        <f>_xlfn.XLOOKUP(Input_Table[[#This Row],[INVOICE ID]],'SuperMarket Analysis'!A:A,'SuperMarket Analysis'!N:N)</f>
        <v>447.06</v>
      </c>
      <c r="K565" s="12">
        <f>_xlfn.XLOOKUP(Input_Table[[#This Row],[INVOICE ID]],'SuperMarket Analysis'!A:A,'SuperMarket Analysis'!J:J)</f>
        <v>469.41300000000001</v>
      </c>
      <c r="L565" s="6">
        <f>DAY(Input_Table[[#This Row],[DATE]])</f>
        <v>24</v>
      </c>
      <c r="M565" s="6" t="str">
        <f>TEXT(Input_Table[[#This Row],[DATE]],"mmmm")</f>
        <v>February</v>
      </c>
      <c r="N565" s="6">
        <f>YEAR(Input_Table[[#This Row],[DATE]])</f>
        <v>2019</v>
      </c>
    </row>
    <row r="566" spans="1:14" x14ac:dyDescent="0.3">
      <c r="A566" s="2">
        <f>_xlfn.XLOOKUP(B566,SuperMarket_Analysis[Invoice ID],SuperMarket_Analysis[Date])</f>
        <v>43517</v>
      </c>
      <c r="B566" s="6" t="s">
        <v>597</v>
      </c>
      <c r="C566" s="7">
        <f>_xlfn.XLOOKUP(B566,SuperMarket_Analysis[Invoice ID],SuperMarket_Analysis[Quantity])</f>
        <v>2</v>
      </c>
      <c r="D566" s="6" t="str">
        <f>_xlfn.XLOOKUP('Input data'!B566,'SuperMarket Analysis'!A:A,'SuperMarket Analysis'!F:F)</f>
        <v>Fashion accessories</v>
      </c>
      <c r="E566" s="6" t="str">
        <f>_xlfn.XLOOKUP(B566,'SuperMarket Analysis'!A:A,'SuperMarket Analysis'!M:M)</f>
        <v>Cash</v>
      </c>
      <c r="F566" s="6">
        <f>0.05*Input_Table[[#This Row],[TOTAL C.O.G.S]]</f>
        <v>9.9250000000000007</v>
      </c>
      <c r="G566" s="6" t="str">
        <f>_xlfn.XLOOKUP(Input_Table[[#This Row],[INVOICE ID]],'SuperMarket Analysis'!A:A,'SuperMarket Analysis'!B:B)</f>
        <v>Cairo</v>
      </c>
      <c r="H566" s="6" t="str">
        <f>_xlfn.XLOOKUP(Input_Table[[#This Row],[INVOICE ID]],'SuperMarket Analysis'!A:A,'SuperMarket Analysis'!F:F)</f>
        <v>Fashion accessories</v>
      </c>
      <c r="I566" s="12">
        <f>_xlfn.XLOOKUP(Input_Table[[#This Row],[INVOICE ID]],'SuperMarket Analysis'!A:A,'SuperMarket Analysis'!G:G)</f>
        <v>99.25</v>
      </c>
      <c r="J566" s="12">
        <f>_xlfn.XLOOKUP(Input_Table[[#This Row],[INVOICE ID]],'SuperMarket Analysis'!A:A,'SuperMarket Analysis'!N:N)</f>
        <v>198.5</v>
      </c>
      <c r="K566" s="12">
        <f>_xlfn.XLOOKUP(Input_Table[[#This Row],[INVOICE ID]],'SuperMarket Analysis'!A:A,'SuperMarket Analysis'!J:J)</f>
        <v>208.42500000000001</v>
      </c>
      <c r="L566" s="6">
        <f>DAY(Input_Table[[#This Row],[DATE]])</f>
        <v>21</v>
      </c>
      <c r="M566" s="6" t="str">
        <f>TEXT(Input_Table[[#This Row],[DATE]],"mmmm")</f>
        <v>February</v>
      </c>
      <c r="N566" s="6">
        <f>YEAR(Input_Table[[#This Row],[DATE]])</f>
        <v>2019</v>
      </c>
    </row>
    <row r="567" spans="1:14" x14ac:dyDescent="0.3">
      <c r="A567" s="2">
        <f>_xlfn.XLOOKUP(B567,SuperMarket_Analysis[Invoice ID],SuperMarket_Analysis[Date])</f>
        <v>43521</v>
      </c>
      <c r="B567" s="6" t="s">
        <v>598</v>
      </c>
      <c r="C567" s="7">
        <f>_xlfn.XLOOKUP(B567,SuperMarket_Analysis[Invoice ID],SuperMarket_Analysis[Quantity])</f>
        <v>10</v>
      </c>
      <c r="D567" s="6" t="str">
        <f>_xlfn.XLOOKUP('Input data'!B567,'SuperMarket Analysis'!A:A,'SuperMarket Analysis'!F:F)</f>
        <v>Food and beverages</v>
      </c>
      <c r="E567" s="6" t="str">
        <f>_xlfn.XLOOKUP(B567,'SuperMarket Analysis'!A:A,'SuperMarket Analysis'!M:M)</f>
        <v>Credit card</v>
      </c>
      <c r="F567" s="6">
        <f>0.05*Input_Table[[#This Row],[TOTAL C.O.G.S]]</f>
        <v>40.605000000000004</v>
      </c>
      <c r="G567" s="6" t="str">
        <f>_xlfn.XLOOKUP(Input_Table[[#This Row],[INVOICE ID]],'SuperMarket Analysis'!A:A,'SuperMarket Analysis'!B:B)</f>
        <v>Alex</v>
      </c>
      <c r="H567" s="6" t="str">
        <f>_xlfn.XLOOKUP(Input_Table[[#This Row],[INVOICE ID]],'SuperMarket Analysis'!A:A,'SuperMarket Analysis'!F:F)</f>
        <v>Food and beverages</v>
      </c>
      <c r="I567" s="12">
        <f>_xlfn.XLOOKUP(Input_Table[[#This Row],[INVOICE ID]],'SuperMarket Analysis'!A:A,'SuperMarket Analysis'!G:G)</f>
        <v>81.209999999999994</v>
      </c>
      <c r="J567" s="12">
        <f>_xlfn.XLOOKUP(Input_Table[[#This Row],[INVOICE ID]],'SuperMarket Analysis'!A:A,'SuperMarket Analysis'!N:N)</f>
        <v>812.1</v>
      </c>
      <c r="K567" s="12">
        <f>_xlfn.XLOOKUP(Input_Table[[#This Row],[INVOICE ID]],'SuperMarket Analysis'!A:A,'SuperMarket Analysis'!J:J)</f>
        <v>852.70500000000004</v>
      </c>
      <c r="L567" s="6">
        <f>DAY(Input_Table[[#This Row],[DATE]])</f>
        <v>25</v>
      </c>
      <c r="M567" s="6" t="str">
        <f>TEXT(Input_Table[[#This Row],[DATE]],"mmmm")</f>
        <v>February</v>
      </c>
      <c r="N567" s="6">
        <f>YEAR(Input_Table[[#This Row],[DATE]])</f>
        <v>2019</v>
      </c>
    </row>
    <row r="568" spans="1:14" x14ac:dyDescent="0.3">
      <c r="A568" s="2">
        <f>_xlfn.XLOOKUP(B568,SuperMarket_Analysis[Invoice ID],SuperMarket_Analysis[Date])</f>
        <v>43478</v>
      </c>
      <c r="B568" s="6" t="s">
        <v>599</v>
      </c>
      <c r="C568" s="7">
        <f>_xlfn.XLOOKUP(B568,SuperMarket_Analysis[Invoice ID],SuperMarket_Analysis[Quantity])</f>
        <v>10</v>
      </c>
      <c r="D568" s="6" t="str">
        <f>_xlfn.XLOOKUP('Input data'!B568,'SuperMarket Analysis'!A:A,'SuperMarket Analysis'!F:F)</f>
        <v>Sports and travel</v>
      </c>
      <c r="E568" s="6" t="str">
        <f>_xlfn.XLOOKUP(B568,'SuperMarket Analysis'!A:A,'SuperMarket Analysis'!M:M)</f>
        <v>Credit card</v>
      </c>
      <c r="F568" s="6">
        <f>0.05*Input_Table[[#This Row],[TOTAL C.O.G.S]]</f>
        <v>24.665000000000003</v>
      </c>
      <c r="G568" s="6" t="str">
        <f>_xlfn.XLOOKUP(Input_Table[[#This Row],[INVOICE ID]],'SuperMarket Analysis'!A:A,'SuperMarket Analysis'!B:B)</f>
        <v>Giza</v>
      </c>
      <c r="H568" s="6" t="str">
        <f>_xlfn.XLOOKUP(Input_Table[[#This Row],[INVOICE ID]],'SuperMarket Analysis'!A:A,'SuperMarket Analysis'!F:F)</f>
        <v>Sports and travel</v>
      </c>
      <c r="I568" s="12">
        <f>_xlfn.XLOOKUP(Input_Table[[#This Row],[INVOICE ID]],'SuperMarket Analysis'!A:A,'SuperMarket Analysis'!G:G)</f>
        <v>49.33</v>
      </c>
      <c r="J568" s="12">
        <f>_xlfn.XLOOKUP(Input_Table[[#This Row],[INVOICE ID]],'SuperMarket Analysis'!A:A,'SuperMarket Analysis'!N:N)</f>
        <v>493.3</v>
      </c>
      <c r="K568" s="12">
        <f>_xlfn.XLOOKUP(Input_Table[[#This Row],[INVOICE ID]],'SuperMarket Analysis'!A:A,'SuperMarket Analysis'!J:J)</f>
        <v>517.96500000000003</v>
      </c>
      <c r="L568" s="6">
        <f>DAY(Input_Table[[#This Row],[DATE]])</f>
        <v>13</v>
      </c>
      <c r="M568" s="6" t="str">
        <f>TEXT(Input_Table[[#This Row],[DATE]],"mmmm")</f>
        <v>January</v>
      </c>
      <c r="N568" s="6">
        <f>YEAR(Input_Table[[#This Row],[DATE]])</f>
        <v>2019</v>
      </c>
    </row>
    <row r="569" spans="1:14" x14ac:dyDescent="0.3">
      <c r="A569" s="2">
        <f>_xlfn.XLOOKUP(B569,SuperMarket_Analysis[Invoice ID],SuperMarket_Analysis[Date])</f>
        <v>43515</v>
      </c>
      <c r="B569" s="6" t="s">
        <v>600</v>
      </c>
      <c r="C569" s="7">
        <f>_xlfn.XLOOKUP(B569,SuperMarket_Analysis[Invoice ID],SuperMarket_Analysis[Quantity])</f>
        <v>9</v>
      </c>
      <c r="D569" s="6" t="str">
        <f>_xlfn.XLOOKUP('Input data'!B569,'SuperMarket Analysis'!A:A,'SuperMarket Analysis'!F:F)</f>
        <v>Fashion accessories</v>
      </c>
      <c r="E569" s="6" t="str">
        <f>_xlfn.XLOOKUP(B569,'SuperMarket Analysis'!A:A,'SuperMarket Analysis'!M:M)</f>
        <v>Cash</v>
      </c>
      <c r="F569" s="6">
        <f>0.05*Input_Table[[#This Row],[TOTAL C.O.G.S]]</f>
        <v>29.582999999999998</v>
      </c>
      <c r="G569" s="6" t="str">
        <f>_xlfn.XLOOKUP(Input_Table[[#This Row],[INVOICE ID]],'SuperMarket Analysis'!A:A,'SuperMarket Analysis'!B:B)</f>
        <v>Alex</v>
      </c>
      <c r="H569" s="6" t="str">
        <f>_xlfn.XLOOKUP(Input_Table[[#This Row],[INVOICE ID]],'SuperMarket Analysis'!A:A,'SuperMarket Analysis'!F:F)</f>
        <v>Fashion accessories</v>
      </c>
      <c r="I569" s="12">
        <f>_xlfn.XLOOKUP(Input_Table[[#This Row],[INVOICE ID]],'SuperMarket Analysis'!A:A,'SuperMarket Analysis'!G:G)</f>
        <v>65.739999999999995</v>
      </c>
      <c r="J569" s="12">
        <f>_xlfn.XLOOKUP(Input_Table[[#This Row],[INVOICE ID]],'SuperMarket Analysis'!A:A,'SuperMarket Analysis'!N:N)</f>
        <v>591.66</v>
      </c>
      <c r="K569" s="12">
        <f>_xlfn.XLOOKUP(Input_Table[[#This Row],[INVOICE ID]],'SuperMarket Analysis'!A:A,'SuperMarket Analysis'!J:J)</f>
        <v>621.24300000000005</v>
      </c>
      <c r="L569" s="6">
        <f>DAY(Input_Table[[#This Row],[DATE]])</f>
        <v>19</v>
      </c>
      <c r="M569" s="6" t="str">
        <f>TEXT(Input_Table[[#This Row],[DATE]],"mmmm")</f>
        <v>February</v>
      </c>
      <c r="N569" s="6">
        <f>YEAR(Input_Table[[#This Row],[DATE]])</f>
        <v>2019</v>
      </c>
    </row>
    <row r="570" spans="1:14" x14ac:dyDescent="0.3">
      <c r="A570" s="2">
        <f>_xlfn.XLOOKUP(B570,SuperMarket_Analysis[Invoice ID],SuperMarket_Analysis[Date])</f>
        <v>43542</v>
      </c>
      <c r="B570" s="6" t="s">
        <v>601</v>
      </c>
      <c r="C570" s="7">
        <f>_xlfn.XLOOKUP(B570,SuperMarket_Analysis[Invoice ID],SuperMarket_Analysis[Quantity])</f>
        <v>7</v>
      </c>
      <c r="D570" s="6" t="str">
        <f>_xlfn.XLOOKUP('Input data'!B570,'SuperMarket Analysis'!A:A,'SuperMarket Analysis'!F:F)</f>
        <v>Fashion accessories</v>
      </c>
      <c r="E570" s="6" t="str">
        <f>_xlfn.XLOOKUP(B570,'SuperMarket Analysis'!A:A,'SuperMarket Analysis'!M:M)</f>
        <v>Credit card</v>
      </c>
      <c r="F570" s="6">
        <f>0.05*Input_Table[[#This Row],[TOTAL C.O.G.S]]</f>
        <v>27.951000000000001</v>
      </c>
      <c r="G570" s="6" t="str">
        <f>_xlfn.XLOOKUP(Input_Table[[#This Row],[INVOICE ID]],'SuperMarket Analysis'!A:A,'SuperMarket Analysis'!B:B)</f>
        <v>Cairo</v>
      </c>
      <c r="H570" s="6" t="str">
        <f>_xlfn.XLOOKUP(Input_Table[[#This Row],[INVOICE ID]],'SuperMarket Analysis'!A:A,'SuperMarket Analysis'!F:F)</f>
        <v>Fashion accessories</v>
      </c>
      <c r="I570" s="12">
        <f>_xlfn.XLOOKUP(Input_Table[[#This Row],[INVOICE ID]],'SuperMarket Analysis'!A:A,'SuperMarket Analysis'!G:G)</f>
        <v>79.86</v>
      </c>
      <c r="J570" s="12">
        <f>_xlfn.XLOOKUP(Input_Table[[#This Row],[INVOICE ID]],'SuperMarket Analysis'!A:A,'SuperMarket Analysis'!N:N)</f>
        <v>559.02</v>
      </c>
      <c r="K570" s="12">
        <f>_xlfn.XLOOKUP(Input_Table[[#This Row],[INVOICE ID]],'SuperMarket Analysis'!A:A,'SuperMarket Analysis'!J:J)</f>
        <v>586.971</v>
      </c>
      <c r="L570" s="6">
        <f>DAY(Input_Table[[#This Row],[DATE]])</f>
        <v>18</v>
      </c>
      <c r="M570" s="6" t="str">
        <f>TEXT(Input_Table[[#This Row],[DATE]],"mmmm")</f>
        <v>March</v>
      </c>
      <c r="N570" s="6">
        <f>YEAR(Input_Table[[#This Row],[DATE]])</f>
        <v>2019</v>
      </c>
    </row>
    <row r="571" spans="1:14" x14ac:dyDescent="0.3">
      <c r="A571" s="2">
        <f>_xlfn.XLOOKUP(B571,SuperMarket_Analysis[Invoice ID],SuperMarket_Analysis[Date])</f>
        <v>43543</v>
      </c>
      <c r="B571" s="6" t="s">
        <v>602</v>
      </c>
      <c r="C571" s="7">
        <f>_xlfn.XLOOKUP(B571,SuperMarket_Analysis[Invoice ID],SuperMarket_Analysis[Quantity])</f>
        <v>7</v>
      </c>
      <c r="D571" s="6" t="str">
        <f>_xlfn.XLOOKUP('Input data'!B571,'SuperMarket Analysis'!A:A,'SuperMarket Analysis'!F:F)</f>
        <v>Sports and travel</v>
      </c>
      <c r="E571" s="6" t="str">
        <f>_xlfn.XLOOKUP(B571,'SuperMarket Analysis'!A:A,'SuperMarket Analysis'!M:M)</f>
        <v>Ewallet</v>
      </c>
      <c r="F571" s="6">
        <f>0.05*Input_Table[[#This Row],[TOTAL C.O.G.S]]</f>
        <v>25.893000000000001</v>
      </c>
      <c r="G571" s="6" t="str">
        <f>_xlfn.XLOOKUP(Input_Table[[#This Row],[INVOICE ID]],'SuperMarket Analysis'!A:A,'SuperMarket Analysis'!B:B)</f>
        <v>Giza</v>
      </c>
      <c r="H571" s="6" t="str">
        <f>_xlfn.XLOOKUP(Input_Table[[#This Row],[INVOICE ID]],'SuperMarket Analysis'!A:A,'SuperMarket Analysis'!F:F)</f>
        <v>Sports and travel</v>
      </c>
      <c r="I571" s="12">
        <f>_xlfn.XLOOKUP(Input_Table[[#This Row],[INVOICE ID]],'SuperMarket Analysis'!A:A,'SuperMarket Analysis'!G:G)</f>
        <v>73.98</v>
      </c>
      <c r="J571" s="12">
        <f>_xlfn.XLOOKUP(Input_Table[[#This Row],[INVOICE ID]],'SuperMarket Analysis'!A:A,'SuperMarket Analysis'!N:N)</f>
        <v>517.86</v>
      </c>
      <c r="K571" s="12">
        <f>_xlfn.XLOOKUP(Input_Table[[#This Row],[INVOICE ID]],'SuperMarket Analysis'!A:A,'SuperMarket Analysis'!J:J)</f>
        <v>543.75300000000004</v>
      </c>
      <c r="L571" s="6">
        <f>DAY(Input_Table[[#This Row],[DATE]])</f>
        <v>19</v>
      </c>
      <c r="M571" s="6" t="str">
        <f>TEXT(Input_Table[[#This Row],[DATE]],"mmmm")</f>
        <v>March</v>
      </c>
      <c r="N571" s="6">
        <f>YEAR(Input_Table[[#This Row],[DATE]])</f>
        <v>2019</v>
      </c>
    </row>
    <row r="572" spans="1:14" x14ac:dyDescent="0.3">
      <c r="A572" s="2">
        <f>_xlfn.XLOOKUP(B572,SuperMarket_Analysis[Invoice ID],SuperMarket_Analysis[Date])</f>
        <v>43554</v>
      </c>
      <c r="B572" s="6" t="s">
        <v>603</v>
      </c>
      <c r="C572" s="7">
        <f>_xlfn.XLOOKUP(B572,SuperMarket_Analysis[Invoice ID],SuperMarket_Analysis[Quantity])</f>
        <v>5</v>
      </c>
      <c r="D572" s="6" t="str">
        <f>_xlfn.XLOOKUP('Input data'!B572,'SuperMarket Analysis'!A:A,'SuperMarket Analysis'!F:F)</f>
        <v>Home and lifestyle</v>
      </c>
      <c r="E572" s="6" t="str">
        <f>_xlfn.XLOOKUP(B572,'SuperMarket Analysis'!A:A,'SuperMarket Analysis'!M:M)</f>
        <v>Credit card</v>
      </c>
      <c r="F572" s="6">
        <f>0.05*Input_Table[[#This Row],[TOTAL C.O.G.S]]</f>
        <v>20.51</v>
      </c>
      <c r="G572" s="6" t="str">
        <f>_xlfn.XLOOKUP(Input_Table[[#This Row],[INVOICE ID]],'SuperMarket Analysis'!A:A,'SuperMarket Analysis'!B:B)</f>
        <v>Cairo</v>
      </c>
      <c r="H572" s="6" t="str">
        <f>_xlfn.XLOOKUP(Input_Table[[#This Row],[INVOICE ID]],'SuperMarket Analysis'!A:A,'SuperMarket Analysis'!F:F)</f>
        <v>Home and lifestyle</v>
      </c>
      <c r="I572" s="12">
        <f>_xlfn.XLOOKUP(Input_Table[[#This Row],[INVOICE ID]],'SuperMarket Analysis'!A:A,'SuperMarket Analysis'!G:G)</f>
        <v>82.04</v>
      </c>
      <c r="J572" s="12">
        <f>_xlfn.XLOOKUP(Input_Table[[#This Row],[INVOICE ID]],'SuperMarket Analysis'!A:A,'SuperMarket Analysis'!N:N)</f>
        <v>410.2</v>
      </c>
      <c r="K572" s="12">
        <f>_xlfn.XLOOKUP(Input_Table[[#This Row],[INVOICE ID]],'SuperMarket Analysis'!A:A,'SuperMarket Analysis'!J:J)</f>
        <v>430.71</v>
      </c>
      <c r="L572" s="6">
        <f>DAY(Input_Table[[#This Row],[DATE]])</f>
        <v>30</v>
      </c>
      <c r="M572" s="6" t="str">
        <f>TEXT(Input_Table[[#This Row],[DATE]],"mmmm")</f>
        <v>March</v>
      </c>
      <c r="N572" s="6">
        <f>YEAR(Input_Table[[#This Row],[DATE]])</f>
        <v>2019</v>
      </c>
    </row>
    <row r="573" spans="1:14" x14ac:dyDescent="0.3">
      <c r="A573" s="2">
        <f>_xlfn.XLOOKUP(B573,SuperMarket_Analysis[Invoice ID],SuperMarket_Analysis[Date])</f>
        <v>43491</v>
      </c>
      <c r="B573" s="6" t="s">
        <v>604</v>
      </c>
      <c r="C573" s="7">
        <f>_xlfn.XLOOKUP(B573,SuperMarket_Analysis[Invoice ID],SuperMarket_Analysis[Quantity])</f>
        <v>10</v>
      </c>
      <c r="D573" s="6" t="str">
        <f>_xlfn.XLOOKUP('Input data'!B573,'SuperMarket Analysis'!A:A,'SuperMarket Analysis'!F:F)</f>
        <v>Sports and travel</v>
      </c>
      <c r="E573" s="6" t="str">
        <f>_xlfn.XLOOKUP(B573,'SuperMarket Analysis'!A:A,'SuperMarket Analysis'!M:M)</f>
        <v>Cash</v>
      </c>
      <c r="F573" s="6">
        <f>0.05*Input_Table[[#This Row],[TOTAL C.O.G.S]]</f>
        <v>13.335000000000001</v>
      </c>
      <c r="G573" s="6" t="str">
        <f>_xlfn.XLOOKUP(Input_Table[[#This Row],[INVOICE ID]],'SuperMarket Analysis'!A:A,'SuperMarket Analysis'!B:B)</f>
        <v>Cairo</v>
      </c>
      <c r="H573" s="6" t="str">
        <f>_xlfn.XLOOKUP(Input_Table[[#This Row],[INVOICE ID]],'SuperMarket Analysis'!A:A,'SuperMarket Analysis'!F:F)</f>
        <v>Sports and travel</v>
      </c>
      <c r="I573" s="12">
        <f>_xlfn.XLOOKUP(Input_Table[[#This Row],[INVOICE ID]],'SuperMarket Analysis'!A:A,'SuperMarket Analysis'!G:G)</f>
        <v>26.67</v>
      </c>
      <c r="J573" s="12">
        <f>_xlfn.XLOOKUP(Input_Table[[#This Row],[INVOICE ID]],'SuperMarket Analysis'!A:A,'SuperMarket Analysis'!N:N)</f>
        <v>266.7</v>
      </c>
      <c r="K573" s="12">
        <f>_xlfn.XLOOKUP(Input_Table[[#This Row],[INVOICE ID]],'SuperMarket Analysis'!A:A,'SuperMarket Analysis'!J:J)</f>
        <v>280.03500000000003</v>
      </c>
      <c r="L573" s="6">
        <f>DAY(Input_Table[[#This Row],[DATE]])</f>
        <v>26</v>
      </c>
      <c r="M573" s="6" t="str">
        <f>TEXT(Input_Table[[#This Row],[DATE]],"mmmm")</f>
        <v>January</v>
      </c>
      <c r="N573" s="6">
        <f>YEAR(Input_Table[[#This Row],[DATE]])</f>
        <v>2019</v>
      </c>
    </row>
    <row r="574" spans="1:14" x14ac:dyDescent="0.3">
      <c r="A574" s="2">
        <f>_xlfn.XLOOKUP(B574,SuperMarket_Analysis[Invoice ID],SuperMarket_Analysis[Date])</f>
        <v>43478</v>
      </c>
      <c r="B574" s="6" t="s">
        <v>605</v>
      </c>
      <c r="C574" s="7">
        <f>_xlfn.XLOOKUP(B574,SuperMarket_Analysis[Invoice ID],SuperMarket_Analysis[Quantity])</f>
        <v>7</v>
      </c>
      <c r="D574" s="6" t="str">
        <f>_xlfn.XLOOKUP('Input data'!B574,'SuperMarket Analysis'!A:A,'SuperMarket Analysis'!F:F)</f>
        <v>Food and beverages</v>
      </c>
      <c r="E574" s="6" t="str">
        <f>_xlfn.XLOOKUP(B574,'SuperMarket Analysis'!A:A,'SuperMarket Analysis'!M:M)</f>
        <v>Ewallet</v>
      </c>
      <c r="F574" s="6">
        <f>0.05*Input_Table[[#This Row],[TOTAL C.O.G.S]]</f>
        <v>3.5455000000000001</v>
      </c>
      <c r="G574" s="6" t="str">
        <f>_xlfn.XLOOKUP(Input_Table[[#This Row],[INVOICE ID]],'SuperMarket Analysis'!A:A,'SuperMarket Analysis'!B:B)</f>
        <v>Alex</v>
      </c>
      <c r="H574" s="6" t="str">
        <f>_xlfn.XLOOKUP(Input_Table[[#This Row],[INVOICE ID]],'SuperMarket Analysis'!A:A,'SuperMarket Analysis'!F:F)</f>
        <v>Food and beverages</v>
      </c>
      <c r="I574" s="12">
        <f>_xlfn.XLOOKUP(Input_Table[[#This Row],[INVOICE ID]],'SuperMarket Analysis'!A:A,'SuperMarket Analysis'!G:G)</f>
        <v>10.130000000000001</v>
      </c>
      <c r="J574" s="12">
        <f>_xlfn.XLOOKUP(Input_Table[[#This Row],[INVOICE ID]],'SuperMarket Analysis'!A:A,'SuperMarket Analysis'!N:N)</f>
        <v>70.91</v>
      </c>
      <c r="K574" s="12">
        <f>_xlfn.XLOOKUP(Input_Table[[#This Row],[INVOICE ID]],'SuperMarket Analysis'!A:A,'SuperMarket Analysis'!J:J)</f>
        <v>74.455500000000001</v>
      </c>
      <c r="L574" s="6">
        <f>DAY(Input_Table[[#This Row],[DATE]])</f>
        <v>13</v>
      </c>
      <c r="M574" s="6" t="str">
        <f>TEXT(Input_Table[[#This Row],[DATE]],"mmmm")</f>
        <v>January</v>
      </c>
      <c r="N574" s="6">
        <f>YEAR(Input_Table[[#This Row],[DATE]])</f>
        <v>2019</v>
      </c>
    </row>
    <row r="575" spans="1:14" x14ac:dyDescent="0.3">
      <c r="A575" s="2">
        <f>_xlfn.XLOOKUP(B575,SuperMarket_Analysis[Invoice ID],SuperMarket_Analysis[Date])</f>
        <v>43549</v>
      </c>
      <c r="B575" s="6" t="s">
        <v>606</v>
      </c>
      <c r="C575" s="7">
        <f>_xlfn.XLOOKUP(B575,SuperMarket_Analysis[Invoice ID],SuperMarket_Analysis[Quantity])</f>
        <v>2</v>
      </c>
      <c r="D575" s="6" t="str">
        <f>_xlfn.XLOOKUP('Input data'!B575,'SuperMarket Analysis'!A:A,'SuperMarket Analysis'!F:F)</f>
        <v>Food and beverages</v>
      </c>
      <c r="E575" s="6" t="str">
        <f>_xlfn.XLOOKUP(B575,'SuperMarket Analysis'!A:A,'SuperMarket Analysis'!M:M)</f>
        <v>Credit card</v>
      </c>
      <c r="F575" s="6">
        <f>0.05*Input_Table[[#This Row],[TOTAL C.O.G.S]]</f>
        <v>7.2390000000000008</v>
      </c>
      <c r="G575" s="6" t="str">
        <f>_xlfn.XLOOKUP(Input_Table[[#This Row],[INVOICE ID]],'SuperMarket Analysis'!A:A,'SuperMarket Analysis'!B:B)</f>
        <v>Cairo</v>
      </c>
      <c r="H575" s="6" t="str">
        <f>_xlfn.XLOOKUP(Input_Table[[#This Row],[INVOICE ID]],'SuperMarket Analysis'!A:A,'SuperMarket Analysis'!F:F)</f>
        <v>Food and beverages</v>
      </c>
      <c r="I575" s="12">
        <f>_xlfn.XLOOKUP(Input_Table[[#This Row],[INVOICE ID]],'SuperMarket Analysis'!A:A,'SuperMarket Analysis'!G:G)</f>
        <v>72.39</v>
      </c>
      <c r="J575" s="12">
        <f>_xlfn.XLOOKUP(Input_Table[[#This Row],[INVOICE ID]],'SuperMarket Analysis'!A:A,'SuperMarket Analysis'!N:N)</f>
        <v>144.78</v>
      </c>
      <c r="K575" s="12">
        <f>_xlfn.XLOOKUP(Input_Table[[#This Row],[INVOICE ID]],'SuperMarket Analysis'!A:A,'SuperMarket Analysis'!J:J)</f>
        <v>152.01900000000001</v>
      </c>
      <c r="L575" s="6">
        <f>DAY(Input_Table[[#This Row],[DATE]])</f>
        <v>25</v>
      </c>
      <c r="M575" s="6" t="str">
        <f>TEXT(Input_Table[[#This Row],[DATE]],"mmmm")</f>
        <v>March</v>
      </c>
      <c r="N575" s="6">
        <f>YEAR(Input_Table[[#This Row],[DATE]])</f>
        <v>2019</v>
      </c>
    </row>
    <row r="576" spans="1:14" x14ac:dyDescent="0.3">
      <c r="A576" s="2">
        <f>_xlfn.XLOOKUP(B576,SuperMarket_Analysis[Invoice ID],SuperMarket_Analysis[Date])</f>
        <v>43491</v>
      </c>
      <c r="B576" s="6" t="s">
        <v>607</v>
      </c>
      <c r="C576" s="7">
        <f>_xlfn.XLOOKUP(B576,SuperMarket_Analysis[Invoice ID],SuperMarket_Analysis[Quantity])</f>
        <v>5</v>
      </c>
      <c r="D576" s="6" t="str">
        <f>_xlfn.XLOOKUP('Input data'!B576,'SuperMarket Analysis'!A:A,'SuperMarket Analysis'!F:F)</f>
        <v>Sports and travel</v>
      </c>
      <c r="E576" s="6" t="str">
        <f>_xlfn.XLOOKUP(B576,'SuperMarket Analysis'!A:A,'SuperMarket Analysis'!M:M)</f>
        <v>Credit card</v>
      </c>
      <c r="F576" s="6">
        <f>0.05*Input_Table[[#This Row],[TOTAL C.O.G.S]]</f>
        <v>21.477500000000003</v>
      </c>
      <c r="G576" s="6" t="str">
        <f>_xlfn.XLOOKUP(Input_Table[[#This Row],[INVOICE ID]],'SuperMarket Analysis'!A:A,'SuperMarket Analysis'!B:B)</f>
        <v>Alex</v>
      </c>
      <c r="H576" s="6" t="str">
        <f>_xlfn.XLOOKUP(Input_Table[[#This Row],[INVOICE ID]],'SuperMarket Analysis'!A:A,'SuperMarket Analysis'!F:F)</f>
        <v>Sports and travel</v>
      </c>
      <c r="I576" s="12">
        <f>_xlfn.XLOOKUP(Input_Table[[#This Row],[INVOICE ID]],'SuperMarket Analysis'!A:A,'SuperMarket Analysis'!G:G)</f>
        <v>85.91</v>
      </c>
      <c r="J576" s="12">
        <f>_xlfn.XLOOKUP(Input_Table[[#This Row],[INVOICE ID]],'SuperMarket Analysis'!A:A,'SuperMarket Analysis'!N:N)</f>
        <v>429.55</v>
      </c>
      <c r="K576" s="12">
        <f>_xlfn.XLOOKUP(Input_Table[[#This Row],[INVOICE ID]],'SuperMarket Analysis'!A:A,'SuperMarket Analysis'!J:J)</f>
        <v>451.02749999999997</v>
      </c>
      <c r="L576" s="6">
        <f>DAY(Input_Table[[#This Row],[DATE]])</f>
        <v>26</v>
      </c>
      <c r="M576" s="6" t="str">
        <f>TEXT(Input_Table[[#This Row],[DATE]],"mmmm")</f>
        <v>January</v>
      </c>
      <c r="N576" s="6">
        <f>YEAR(Input_Table[[#This Row],[DATE]])</f>
        <v>2019</v>
      </c>
    </row>
    <row r="577" spans="1:14" x14ac:dyDescent="0.3">
      <c r="A577" s="2">
        <f>_xlfn.XLOOKUP(B577,SuperMarket_Analysis[Invoice ID],SuperMarket_Analysis[Date])</f>
        <v>43522</v>
      </c>
      <c r="B577" s="6" t="s">
        <v>608</v>
      </c>
      <c r="C577" s="7">
        <f>_xlfn.XLOOKUP(B577,SuperMarket_Analysis[Invoice ID],SuperMarket_Analysis[Quantity])</f>
        <v>7</v>
      </c>
      <c r="D577" s="6" t="str">
        <f>_xlfn.XLOOKUP('Input data'!B577,'SuperMarket Analysis'!A:A,'SuperMarket Analysis'!F:F)</f>
        <v>Fashion accessories</v>
      </c>
      <c r="E577" s="6" t="str">
        <f>_xlfn.XLOOKUP(B577,'SuperMarket Analysis'!A:A,'SuperMarket Analysis'!M:M)</f>
        <v>Ewallet</v>
      </c>
      <c r="F577" s="6">
        <f>0.05*Input_Table[[#This Row],[TOTAL C.O.G.S]]</f>
        <v>28.458500000000001</v>
      </c>
      <c r="G577" s="6" t="str">
        <f>_xlfn.XLOOKUP(Input_Table[[#This Row],[INVOICE ID]],'SuperMarket Analysis'!A:A,'SuperMarket Analysis'!B:B)</f>
        <v>Cairo</v>
      </c>
      <c r="H577" s="6" t="str">
        <f>_xlfn.XLOOKUP(Input_Table[[#This Row],[INVOICE ID]],'SuperMarket Analysis'!A:A,'SuperMarket Analysis'!F:F)</f>
        <v>Fashion accessories</v>
      </c>
      <c r="I577" s="12">
        <f>_xlfn.XLOOKUP(Input_Table[[#This Row],[INVOICE ID]],'SuperMarket Analysis'!A:A,'SuperMarket Analysis'!G:G)</f>
        <v>81.31</v>
      </c>
      <c r="J577" s="12">
        <f>_xlfn.XLOOKUP(Input_Table[[#This Row],[INVOICE ID]],'SuperMarket Analysis'!A:A,'SuperMarket Analysis'!N:N)</f>
        <v>569.16999999999996</v>
      </c>
      <c r="K577" s="12">
        <f>_xlfn.XLOOKUP(Input_Table[[#This Row],[INVOICE ID]],'SuperMarket Analysis'!A:A,'SuperMarket Analysis'!J:J)</f>
        <v>597.62850000000003</v>
      </c>
      <c r="L577" s="6">
        <f>DAY(Input_Table[[#This Row],[DATE]])</f>
        <v>26</v>
      </c>
      <c r="M577" s="6" t="str">
        <f>TEXT(Input_Table[[#This Row],[DATE]],"mmmm")</f>
        <v>February</v>
      </c>
      <c r="N577" s="6">
        <f>YEAR(Input_Table[[#This Row],[DATE]])</f>
        <v>2019</v>
      </c>
    </row>
    <row r="578" spans="1:14" x14ac:dyDescent="0.3">
      <c r="A578" s="2">
        <f>_xlfn.XLOOKUP(B578,SuperMarket_Analysis[Invoice ID],SuperMarket_Analysis[Date])</f>
        <v>43484</v>
      </c>
      <c r="B578" s="6" t="s">
        <v>609</v>
      </c>
      <c r="C578" s="7">
        <f>_xlfn.XLOOKUP(B578,SuperMarket_Analysis[Invoice ID],SuperMarket_Analysis[Quantity])</f>
        <v>4</v>
      </c>
      <c r="D578" s="6" t="str">
        <f>_xlfn.XLOOKUP('Input data'!B578,'SuperMarket Analysis'!A:A,'SuperMarket Analysis'!F:F)</f>
        <v>Food and beverages</v>
      </c>
      <c r="E578" s="6" t="str">
        <f>_xlfn.XLOOKUP(B578,'SuperMarket Analysis'!A:A,'SuperMarket Analysis'!M:M)</f>
        <v>Cash</v>
      </c>
      <c r="F578" s="6">
        <f>0.05*Input_Table[[#This Row],[TOTAL C.O.G.S]]</f>
        <v>12.06</v>
      </c>
      <c r="G578" s="6" t="str">
        <f>_xlfn.XLOOKUP(Input_Table[[#This Row],[INVOICE ID]],'SuperMarket Analysis'!A:A,'SuperMarket Analysis'!B:B)</f>
        <v>Cairo</v>
      </c>
      <c r="H578" s="6" t="str">
        <f>_xlfn.XLOOKUP(Input_Table[[#This Row],[INVOICE ID]],'SuperMarket Analysis'!A:A,'SuperMarket Analysis'!F:F)</f>
        <v>Food and beverages</v>
      </c>
      <c r="I578" s="12">
        <f>_xlfn.XLOOKUP(Input_Table[[#This Row],[INVOICE ID]],'SuperMarket Analysis'!A:A,'SuperMarket Analysis'!G:G)</f>
        <v>60.3</v>
      </c>
      <c r="J578" s="12">
        <f>_xlfn.XLOOKUP(Input_Table[[#This Row],[INVOICE ID]],'SuperMarket Analysis'!A:A,'SuperMarket Analysis'!N:N)</f>
        <v>241.2</v>
      </c>
      <c r="K578" s="12">
        <f>_xlfn.XLOOKUP(Input_Table[[#This Row],[INVOICE ID]],'SuperMarket Analysis'!A:A,'SuperMarket Analysis'!J:J)</f>
        <v>253.26</v>
      </c>
      <c r="L578" s="6">
        <f>DAY(Input_Table[[#This Row],[DATE]])</f>
        <v>19</v>
      </c>
      <c r="M578" s="6" t="str">
        <f>TEXT(Input_Table[[#This Row],[DATE]],"mmmm")</f>
        <v>January</v>
      </c>
      <c r="N578" s="6">
        <f>YEAR(Input_Table[[#This Row],[DATE]])</f>
        <v>2019</v>
      </c>
    </row>
    <row r="579" spans="1:14" x14ac:dyDescent="0.3">
      <c r="A579" s="2">
        <f>_xlfn.XLOOKUP(B579,SuperMarket_Analysis[Invoice ID],SuperMarket_Analysis[Date])</f>
        <v>43488</v>
      </c>
      <c r="B579" s="6" t="s">
        <v>610</v>
      </c>
      <c r="C579" s="7">
        <f>_xlfn.XLOOKUP(B579,SuperMarket_Analysis[Invoice ID],SuperMarket_Analysis[Quantity])</f>
        <v>4</v>
      </c>
      <c r="D579" s="6" t="str">
        <f>_xlfn.XLOOKUP('Input data'!B579,'SuperMarket Analysis'!A:A,'SuperMarket Analysis'!F:F)</f>
        <v>Food and beverages</v>
      </c>
      <c r="E579" s="6" t="str">
        <f>_xlfn.XLOOKUP(B579,'SuperMarket Analysis'!A:A,'SuperMarket Analysis'!M:M)</f>
        <v>Ewallet</v>
      </c>
      <c r="F579" s="6">
        <f>0.05*Input_Table[[#This Row],[TOTAL C.O.G.S]]</f>
        <v>6.3540000000000001</v>
      </c>
      <c r="G579" s="6" t="str">
        <f>_xlfn.XLOOKUP(Input_Table[[#This Row],[INVOICE ID]],'SuperMarket Analysis'!A:A,'SuperMarket Analysis'!B:B)</f>
        <v>Giza</v>
      </c>
      <c r="H579" s="6" t="str">
        <f>_xlfn.XLOOKUP(Input_Table[[#This Row],[INVOICE ID]],'SuperMarket Analysis'!A:A,'SuperMarket Analysis'!F:F)</f>
        <v>Food and beverages</v>
      </c>
      <c r="I579" s="12">
        <f>_xlfn.XLOOKUP(Input_Table[[#This Row],[INVOICE ID]],'SuperMarket Analysis'!A:A,'SuperMarket Analysis'!G:G)</f>
        <v>31.77</v>
      </c>
      <c r="J579" s="12">
        <f>_xlfn.XLOOKUP(Input_Table[[#This Row],[INVOICE ID]],'SuperMarket Analysis'!A:A,'SuperMarket Analysis'!N:N)</f>
        <v>127.08</v>
      </c>
      <c r="K579" s="12">
        <f>_xlfn.XLOOKUP(Input_Table[[#This Row],[INVOICE ID]],'SuperMarket Analysis'!A:A,'SuperMarket Analysis'!J:J)</f>
        <v>133.434</v>
      </c>
      <c r="L579" s="6">
        <f>DAY(Input_Table[[#This Row],[DATE]])</f>
        <v>23</v>
      </c>
      <c r="M579" s="6" t="str">
        <f>TEXT(Input_Table[[#This Row],[DATE]],"mmmm")</f>
        <v>January</v>
      </c>
      <c r="N579" s="6">
        <f>YEAR(Input_Table[[#This Row],[DATE]])</f>
        <v>2019</v>
      </c>
    </row>
    <row r="580" spans="1:14" x14ac:dyDescent="0.3">
      <c r="A580" s="2">
        <f>_xlfn.XLOOKUP(B580,SuperMarket_Analysis[Invoice ID],SuperMarket_Analysis[Date])</f>
        <v>43538</v>
      </c>
      <c r="B580" s="6" t="s">
        <v>611</v>
      </c>
      <c r="C580" s="7">
        <f>_xlfn.XLOOKUP(B580,SuperMarket_Analysis[Invoice ID],SuperMarket_Analysis[Quantity])</f>
        <v>4</v>
      </c>
      <c r="D580" s="6" t="str">
        <f>_xlfn.XLOOKUP('Input data'!B580,'SuperMarket Analysis'!A:A,'SuperMarket Analysis'!F:F)</f>
        <v>Health and beauty</v>
      </c>
      <c r="E580" s="6" t="str">
        <f>_xlfn.XLOOKUP(B580,'SuperMarket Analysis'!A:A,'SuperMarket Analysis'!M:M)</f>
        <v>Cash</v>
      </c>
      <c r="F580" s="6">
        <f>0.05*Input_Table[[#This Row],[TOTAL C.O.G.S]]</f>
        <v>12.853999999999999</v>
      </c>
      <c r="G580" s="6" t="str">
        <f>_xlfn.XLOOKUP(Input_Table[[#This Row],[INVOICE ID]],'SuperMarket Analysis'!A:A,'SuperMarket Analysis'!B:B)</f>
        <v>Alex</v>
      </c>
      <c r="H580" s="6" t="str">
        <f>_xlfn.XLOOKUP(Input_Table[[#This Row],[INVOICE ID]],'SuperMarket Analysis'!A:A,'SuperMarket Analysis'!F:F)</f>
        <v>Health and beauty</v>
      </c>
      <c r="I580" s="12">
        <f>_xlfn.XLOOKUP(Input_Table[[#This Row],[INVOICE ID]],'SuperMarket Analysis'!A:A,'SuperMarket Analysis'!G:G)</f>
        <v>64.27</v>
      </c>
      <c r="J580" s="12">
        <f>_xlfn.XLOOKUP(Input_Table[[#This Row],[INVOICE ID]],'SuperMarket Analysis'!A:A,'SuperMarket Analysis'!N:N)</f>
        <v>257.08</v>
      </c>
      <c r="K580" s="12">
        <f>_xlfn.XLOOKUP(Input_Table[[#This Row],[INVOICE ID]],'SuperMarket Analysis'!A:A,'SuperMarket Analysis'!J:J)</f>
        <v>269.93400000000003</v>
      </c>
      <c r="L580" s="6">
        <f>DAY(Input_Table[[#This Row],[DATE]])</f>
        <v>14</v>
      </c>
      <c r="M580" s="6" t="str">
        <f>TEXT(Input_Table[[#This Row],[DATE]],"mmmm")</f>
        <v>March</v>
      </c>
      <c r="N580" s="6">
        <f>YEAR(Input_Table[[#This Row],[DATE]])</f>
        <v>2019</v>
      </c>
    </row>
    <row r="581" spans="1:14" x14ac:dyDescent="0.3">
      <c r="A581" s="2">
        <f>_xlfn.XLOOKUP(B581,SuperMarket_Analysis[Invoice ID],SuperMarket_Analysis[Date])</f>
        <v>43488</v>
      </c>
      <c r="B581" s="6" t="s">
        <v>612</v>
      </c>
      <c r="C581" s="7">
        <f>_xlfn.XLOOKUP(B581,SuperMarket_Analysis[Invoice ID],SuperMarket_Analysis[Quantity])</f>
        <v>2</v>
      </c>
      <c r="D581" s="6" t="str">
        <f>_xlfn.XLOOKUP('Input data'!B581,'SuperMarket Analysis'!A:A,'SuperMarket Analysis'!F:F)</f>
        <v>Health and beauty</v>
      </c>
      <c r="E581" s="6" t="str">
        <f>_xlfn.XLOOKUP(B581,'SuperMarket Analysis'!A:A,'SuperMarket Analysis'!M:M)</f>
        <v>Ewallet</v>
      </c>
      <c r="F581" s="6">
        <f>0.05*Input_Table[[#This Row],[TOTAL C.O.G.S]]</f>
        <v>6.9510000000000005</v>
      </c>
      <c r="G581" s="6" t="str">
        <f>_xlfn.XLOOKUP(Input_Table[[#This Row],[INVOICE ID]],'SuperMarket Analysis'!A:A,'SuperMarket Analysis'!B:B)</f>
        <v>Cairo</v>
      </c>
      <c r="H581" s="6" t="str">
        <f>_xlfn.XLOOKUP(Input_Table[[#This Row],[INVOICE ID]],'SuperMarket Analysis'!A:A,'SuperMarket Analysis'!F:F)</f>
        <v>Health and beauty</v>
      </c>
      <c r="I581" s="12">
        <f>_xlfn.XLOOKUP(Input_Table[[#This Row],[INVOICE ID]],'SuperMarket Analysis'!A:A,'SuperMarket Analysis'!G:G)</f>
        <v>69.510000000000005</v>
      </c>
      <c r="J581" s="12">
        <f>_xlfn.XLOOKUP(Input_Table[[#This Row],[INVOICE ID]],'SuperMarket Analysis'!A:A,'SuperMarket Analysis'!N:N)</f>
        <v>139.02000000000001</v>
      </c>
      <c r="K581" s="12">
        <f>_xlfn.XLOOKUP(Input_Table[[#This Row],[INVOICE ID]],'SuperMarket Analysis'!A:A,'SuperMarket Analysis'!J:J)</f>
        <v>145.971</v>
      </c>
      <c r="L581" s="6">
        <f>DAY(Input_Table[[#This Row],[DATE]])</f>
        <v>23</v>
      </c>
      <c r="M581" s="6" t="str">
        <f>TEXT(Input_Table[[#This Row],[DATE]],"mmmm")</f>
        <v>January</v>
      </c>
      <c r="N581" s="6">
        <f>YEAR(Input_Table[[#This Row],[DATE]])</f>
        <v>2019</v>
      </c>
    </row>
    <row r="582" spans="1:14" x14ac:dyDescent="0.3">
      <c r="A582" s="2">
        <f>_xlfn.XLOOKUP(B582,SuperMarket_Analysis[Invoice ID],SuperMarket_Analysis[Date])</f>
        <v>43514</v>
      </c>
      <c r="B582" s="6" t="s">
        <v>613</v>
      </c>
      <c r="C582" s="7">
        <f>_xlfn.XLOOKUP(B582,SuperMarket_Analysis[Invoice ID],SuperMarket_Analysis[Quantity])</f>
        <v>3</v>
      </c>
      <c r="D582" s="6" t="str">
        <f>_xlfn.XLOOKUP('Input data'!B582,'SuperMarket Analysis'!A:A,'SuperMarket Analysis'!F:F)</f>
        <v>Food and beverages</v>
      </c>
      <c r="E582" s="6" t="str">
        <f>_xlfn.XLOOKUP(B582,'SuperMarket Analysis'!A:A,'SuperMarket Analysis'!M:M)</f>
        <v>Cash</v>
      </c>
      <c r="F582" s="6">
        <f>0.05*Input_Table[[#This Row],[TOTAL C.O.G.S]]</f>
        <v>4.0830000000000002</v>
      </c>
      <c r="G582" s="6" t="str">
        <f>_xlfn.XLOOKUP(Input_Table[[#This Row],[INVOICE ID]],'SuperMarket Analysis'!A:A,'SuperMarket Analysis'!B:B)</f>
        <v>Giza</v>
      </c>
      <c r="H582" s="6" t="str">
        <f>_xlfn.XLOOKUP(Input_Table[[#This Row],[INVOICE ID]],'SuperMarket Analysis'!A:A,'SuperMarket Analysis'!F:F)</f>
        <v>Food and beverages</v>
      </c>
      <c r="I582" s="12">
        <f>_xlfn.XLOOKUP(Input_Table[[#This Row],[INVOICE ID]],'SuperMarket Analysis'!A:A,'SuperMarket Analysis'!G:G)</f>
        <v>27.22</v>
      </c>
      <c r="J582" s="12">
        <f>_xlfn.XLOOKUP(Input_Table[[#This Row],[INVOICE ID]],'SuperMarket Analysis'!A:A,'SuperMarket Analysis'!N:N)</f>
        <v>81.66</v>
      </c>
      <c r="K582" s="12">
        <f>_xlfn.XLOOKUP(Input_Table[[#This Row],[INVOICE ID]],'SuperMarket Analysis'!A:A,'SuperMarket Analysis'!J:J)</f>
        <v>85.742999999999995</v>
      </c>
      <c r="L582" s="6">
        <f>DAY(Input_Table[[#This Row],[DATE]])</f>
        <v>18</v>
      </c>
      <c r="M582" s="6" t="str">
        <f>TEXT(Input_Table[[#This Row],[DATE]],"mmmm")</f>
        <v>February</v>
      </c>
      <c r="N582" s="6">
        <f>YEAR(Input_Table[[#This Row],[DATE]])</f>
        <v>2019</v>
      </c>
    </row>
    <row r="583" spans="1:14" x14ac:dyDescent="0.3">
      <c r="A583" s="2">
        <f>_xlfn.XLOOKUP(B583,SuperMarket_Analysis[Invoice ID],SuperMarket_Analysis[Date])</f>
        <v>43553</v>
      </c>
      <c r="B583" s="6" t="s">
        <v>614</v>
      </c>
      <c r="C583" s="7">
        <f>_xlfn.XLOOKUP(B583,SuperMarket_Analysis[Invoice ID],SuperMarket_Analysis[Quantity])</f>
        <v>4</v>
      </c>
      <c r="D583" s="6" t="str">
        <f>_xlfn.XLOOKUP('Input data'!B583,'SuperMarket Analysis'!A:A,'SuperMarket Analysis'!F:F)</f>
        <v>Health and beauty</v>
      </c>
      <c r="E583" s="6" t="str">
        <f>_xlfn.XLOOKUP(B583,'SuperMarket Analysis'!A:A,'SuperMarket Analysis'!M:M)</f>
        <v>Cash</v>
      </c>
      <c r="F583" s="6">
        <f>0.05*Input_Table[[#This Row],[TOTAL C.O.G.S]]</f>
        <v>15.536000000000001</v>
      </c>
      <c r="G583" s="6" t="str">
        <f>_xlfn.XLOOKUP(Input_Table[[#This Row],[INVOICE ID]],'SuperMarket Analysis'!A:A,'SuperMarket Analysis'!B:B)</f>
        <v>Alex</v>
      </c>
      <c r="H583" s="6" t="str">
        <f>_xlfn.XLOOKUP(Input_Table[[#This Row],[INVOICE ID]],'SuperMarket Analysis'!A:A,'SuperMarket Analysis'!F:F)</f>
        <v>Health and beauty</v>
      </c>
      <c r="I583" s="12">
        <f>_xlfn.XLOOKUP(Input_Table[[#This Row],[INVOICE ID]],'SuperMarket Analysis'!A:A,'SuperMarket Analysis'!G:G)</f>
        <v>77.680000000000007</v>
      </c>
      <c r="J583" s="12">
        <f>_xlfn.XLOOKUP(Input_Table[[#This Row],[INVOICE ID]],'SuperMarket Analysis'!A:A,'SuperMarket Analysis'!N:N)</f>
        <v>310.72000000000003</v>
      </c>
      <c r="K583" s="12">
        <f>_xlfn.XLOOKUP(Input_Table[[#This Row],[INVOICE ID]],'SuperMarket Analysis'!A:A,'SuperMarket Analysis'!J:J)</f>
        <v>326.25599999999997</v>
      </c>
      <c r="L583" s="6">
        <f>DAY(Input_Table[[#This Row],[DATE]])</f>
        <v>29</v>
      </c>
      <c r="M583" s="6" t="str">
        <f>TEXT(Input_Table[[#This Row],[DATE]],"mmmm")</f>
        <v>March</v>
      </c>
      <c r="N583" s="6">
        <f>YEAR(Input_Table[[#This Row],[DATE]])</f>
        <v>2019</v>
      </c>
    </row>
    <row r="584" spans="1:14" x14ac:dyDescent="0.3">
      <c r="A584" s="2">
        <f>_xlfn.XLOOKUP(B584,SuperMarket_Analysis[Invoice ID],SuperMarket_Analysis[Date])</f>
        <v>43493</v>
      </c>
      <c r="B584" s="6" t="s">
        <v>615</v>
      </c>
      <c r="C584" s="7">
        <f>_xlfn.XLOOKUP(B584,SuperMarket_Analysis[Invoice ID],SuperMarket_Analysis[Quantity])</f>
        <v>2</v>
      </c>
      <c r="D584" s="6" t="str">
        <f>_xlfn.XLOOKUP('Input data'!B584,'SuperMarket Analysis'!A:A,'SuperMarket Analysis'!F:F)</f>
        <v>Fashion accessories</v>
      </c>
      <c r="E584" s="6" t="str">
        <f>_xlfn.XLOOKUP(B584,'SuperMarket Analysis'!A:A,'SuperMarket Analysis'!M:M)</f>
        <v>Credit card</v>
      </c>
      <c r="F584" s="6">
        <f>0.05*Input_Table[[#This Row],[TOTAL C.O.G.S]]</f>
        <v>9.298</v>
      </c>
      <c r="G584" s="6" t="str">
        <f>_xlfn.XLOOKUP(Input_Table[[#This Row],[INVOICE ID]],'SuperMarket Analysis'!A:A,'SuperMarket Analysis'!B:B)</f>
        <v>Giza</v>
      </c>
      <c r="H584" s="6" t="str">
        <f>_xlfn.XLOOKUP(Input_Table[[#This Row],[INVOICE ID]],'SuperMarket Analysis'!A:A,'SuperMarket Analysis'!F:F)</f>
        <v>Fashion accessories</v>
      </c>
      <c r="I584" s="12">
        <f>_xlfn.XLOOKUP(Input_Table[[#This Row],[INVOICE ID]],'SuperMarket Analysis'!A:A,'SuperMarket Analysis'!G:G)</f>
        <v>92.98</v>
      </c>
      <c r="J584" s="12">
        <f>_xlfn.XLOOKUP(Input_Table[[#This Row],[INVOICE ID]],'SuperMarket Analysis'!A:A,'SuperMarket Analysis'!N:N)</f>
        <v>185.96</v>
      </c>
      <c r="K584" s="12">
        <f>_xlfn.XLOOKUP(Input_Table[[#This Row],[INVOICE ID]],'SuperMarket Analysis'!A:A,'SuperMarket Analysis'!J:J)</f>
        <v>195.25800000000001</v>
      </c>
      <c r="L584" s="6">
        <f>DAY(Input_Table[[#This Row],[DATE]])</f>
        <v>28</v>
      </c>
      <c r="M584" s="6" t="str">
        <f>TEXT(Input_Table[[#This Row],[DATE]],"mmmm")</f>
        <v>January</v>
      </c>
      <c r="N584" s="6">
        <f>YEAR(Input_Table[[#This Row],[DATE]])</f>
        <v>2019</v>
      </c>
    </row>
    <row r="585" spans="1:14" x14ac:dyDescent="0.3">
      <c r="A585" s="2">
        <f>_xlfn.XLOOKUP(B585,SuperMarket_Analysis[Invoice ID],SuperMarket_Analysis[Date])</f>
        <v>43546</v>
      </c>
      <c r="B585" s="6" t="s">
        <v>616</v>
      </c>
      <c r="C585" s="7">
        <f>_xlfn.XLOOKUP(B585,SuperMarket_Analysis[Invoice ID],SuperMarket_Analysis[Quantity])</f>
        <v>4</v>
      </c>
      <c r="D585" s="6" t="str">
        <f>_xlfn.XLOOKUP('Input data'!B585,'SuperMarket Analysis'!A:A,'SuperMarket Analysis'!F:F)</f>
        <v>Fashion accessories</v>
      </c>
      <c r="E585" s="6" t="str">
        <f>_xlfn.XLOOKUP(B585,'SuperMarket Analysis'!A:A,'SuperMarket Analysis'!M:M)</f>
        <v>Credit card</v>
      </c>
      <c r="F585" s="6">
        <f>0.05*Input_Table[[#This Row],[TOTAL C.O.G.S]]</f>
        <v>3.6159999999999997</v>
      </c>
      <c r="G585" s="6" t="str">
        <f>_xlfn.XLOOKUP(Input_Table[[#This Row],[INVOICE ID]],'SuperMarket Analysis'!A:A,'SuperMarket Analysis'!B:B)</f>
        <v>Cairo</v>
      </c>
      <c r="H585" s="6" t="str">
        <f>_xlfn.XLOOKUP(Input_Table[[#This Row],[INVOICE ID]],'SuperMarket Analysis'!A:A,'SuperMarket Analysis'!F:F)</f>
        <v>Fashion accessories</v>
      </c>
      <c r="I585" s="12">
        <f>_xlfn.XLOOKUP(Input_Table[[#This Row],[INVOICE ID]],'SuperMarket Analysis'!A:A,'SuperMarket Analysis'!G:G)</f>
        <v>18.079999999999998</v>
      </c>
      <c r="J585" s="12">
        <f>_xlfn.XLOOKUP(Input_Table[[#This Row],[INVOICE ID]],'SuperMarket Analysis'!A:A,'SuperMarket Analysis'!N:N)</f>
        <v>72.319999999999993</v>
      </c>
      <c r="K585" s="12">
        <f>_xlfn.XLOOKUP(Input_Table[[#This Row],[INVOICE ID]],'SuperMarket Analysis'!A:A,'SuperMarket Analysis'!J:J)</f>
        <v>75.936000000000007</v>
      </c>
      <c r="L585" s="6">
        <f>DAY(Input_Table[[#This Row],[DATE]])</f>
        <v>22</v>
      </c>
      <c r="M585" s="6" t="str">
        <f>TEXT(Input_Table[[#This Row],[DATE]],"mmmm")</f>
        <v>March</v>
      </c>
      <c r="N585" s="6">
        <f>YEAR(Input_Table[[#This Row],[DATE]])</f>
        <v>2019</v>
      </c>
    </row>
    <row r="586" spans="1:14" x14ac:dyDescent="0.3">
      <c r="A586" s="2">
        <f>_xlfn.XLOOKUP(B586,SuperMarket_Analysis[Invoice ID],SuperMarket_Analysis[Date])</f>
        <v>43489</v>
      </c>
      <c r="B586" s="6" t="s">
        <v>617</v>
      </c>
      <c r="C586" s="7">
        <f>_xlfn.XLOOKUP(B586,SuperMarket_Analysis[Invoice ID],SuperMarket_Analysis[Quantity])</f>
        <v>3</v>
      </c>
      <c r="D586" s="6" t="str">
        <f>_xlfn.XLOOKUP('Input data'!B586,'SuperMarket Analysis'!A:A,'SuperMarket Analysis'!F:F)</f>
        <v>Sports and travel</v>
      </c>
      <c r="E586" s="6" t="str">
        <f>_xlfn.XLOOKUP(B586,'SuperMarket Analysis'!A:A,'SuperMarket Analysis'!M:M)</f>
        <v>Ewallet</v>
      </c>
      <c r="F586" s="6">
        <f>0.05*Input_Table[[#This Row],[TOTAL C.O.G.S]]</f>
        <v>9.4590000000000014</v>
      </c>
      <c r="G586" s="6" t="str">
        <f>_xlfn.XLOOKUP(Input_Table[[#This Row],[INVOICE ID]],'SuperMarket Analysis'!A:A,'SuperMarket Analysis'!B:B)</f>
        <v>Cairo</v>
      </c>
      <c r="H586" s="6" t="str">
        <f>_xlfn.XLOOKUP(Input_Table[[#This Row],[INVOICE ID]],'SuperMarket Analysis'!A:A,'SuperMarket Analysis'!F:F)</f>
        <v>Sports and travel</v>
      </c>
      <c r="I586" s="12">
        <f>_xlfn.XLOOKUP(Input_Table[[#This Row],[INVOICE ID]],'SuperMarket Analysis'!A:A,'SuperMarket Analysis'!G:G)</f>
        <v>63.06</v>
      </c>
      <c r="J586" s="12">
        <f>_xlfn.XLOOKUP(Input_Table[[#This Row],[INVOICE ID]],'SuperMarket Analysis'!A:A,'SuperMarket Analysis'!N:N)</f>
        <v>189.18</v>
      </c>
      <c r="K586" s="12">
        <f>_xlfn.XLOOKUP(Input_Table[[#This Row],[INVOICE ID]],'SuperMarket Analysis'!A:A,'SuperMarket Analysis'!J:J)</f>
        <v>198.63900000000001</v>
      </c>
      <c r="L586" s="6">
        <f>DAY(Input_Table[[#This Row],[DATE]])</f>
        <v>24</v>
      </c>
      <c r="M586" s="6" t="str">
        <f>TEXT(Input_Table[[#This Row],[DATE]],"mmmm")</f>
        <v>January</v>
      </c>
      <c r="N586" s="6">
        <f>YEAR(Input_Table[[#This Row],[DATE]])</f>
        <v>2019</v>
      </c>
    </row>
    <row r="587" spans="1:14" x14ac:dyDescent="0.3">
      <c r="A587" s="2">
        <f>_xlfn.XLOOKUP(B587,SuperMarket_Analysis[Invoice ID],SuperMarket_Analysis[Date])</f>
        <v>43518</v>
      </c>
      <c r="B587" s="6" t="s">
        <v>618</v>
      </c>
      <c r="C587" s="7">
        <f>_xlfn.XLOOKUP(B587,SuperMarket_Analysis[Invoice ID],SuperMarket_Analysis[Quantity])</f>
        <v>4</v>
      </c>
      <c r="D587" s="6" t="str">
        <f>_xlfn.XLOOKUP('Input data'!B587,'SuperMarket Analysis'!A:A,'SuperMarket Analysis'!F:F)</f>
        <v>Health and beauty</v>
      </c>
      <c r="E587" s="6" t="str">
        <f>_xlfn.XLOOKUP(B587,'SuperMarket Analysis'!A:A,'SuperMarket Analysis'!M:M)</f>
        <v>Credit card</v>
      </c>
      <c r="F587" s="6">
        <f>0.05*Input_Table[[#This Row],[TOTAL C.O.G.S]]</f>
        <v>10.342000000000001</v>
      </c>
      <c r="G587" s="6" t="str">
        <f>_xlfn.XLOOKUP(Input_Table[[#This Row],[INVOICE ID]],'SuperMarket Analysis'!A:A,'SuperMarket Analysis'!B:B)</f>
        <v>Alex</v>
      </c>
      <c r="H587" s="6" t="str">
        <f>_xlfn.XLOOKUP(Input_Table[[#This Row],[INVOICE ID]],'SuperMarket Analysis'!A:A,'SuperMarket Analysis'!F:F)</f>
        <v>Health and beauty</v>
      </c>
      <c r="I587" s="12">
        <f>_xlfn.XLOOKUP(Input_Table[[#This Row],[INVOICE ID]],'SuperMarket Analysis'!A:A,'SuperMarket Analysis'!G:G)</f>
        <v>51.71</v>
      </c>
      <c r="J587" s="12">
        <f>_xlfn.XLOOKUP(Input_Table[[#This Row],[INVOICE ID]],'SuperMarket Analysis'!A:A,'SuperMarket Analysis'!N:N)</f>
        <v>206.84</v>
      </c>
      <c r="K587" s="12">
        <f>_xlfn.XLOOKUP(Input_Table[[#This Row],[INVOICE ID]],'SuperMarket Analysis'!A:A,'SuperMarket Analysis'!J:J)</f>
        <v>217.18199999999999</v>
      </c>
      <c r="L587" s="6">
        <f>DAY(Input_Table[[#This Row],[DATE]])</f>
        <v>22</v>
      </c>
      <c r="M587" s="6" t="str">
        <f>TEXT(Input_Table[[#This Row],[DATE]],"mmmm")</f>
        <v>February</v>
      </c>
      <c r="N587" s="6">
        <f>YEAR(Input_Table[[#This Row],[DATE]])</f>
        <v>2019</v>
      </c>
    </row>
    <row r="588" spans="1:14" x14ac:dyDescent="0.3">
      <c r="A588" s="2">
        <f>_xlfn.XLOOKUP(B588,SuperMarket_Analysis[Invoice ID],SuperMarket_Analysis[Date])</f>
        <v>43514</v>
      </c>
      <c r="B588" s="6" t="s">
        <v>619</v>
      </c>
      <c r="C588" s="7">
        <f>_xlfn.XLOOKUP(B588,SuperMarket_Analysis[Invoice ID],SuperMarket_Analysis[Quantity])</f>
        <v>3</v>
      </c>
      <c r="D588" s="6" t="str">
        <f>_xlfn.XLOOKUP('Input data'!B588,'SuperMarket Analysis'!A:A,'SuperMarket Analysis'!F:F)</f>
        <v>Food and beverages</v>
      </c>
      <c r="E588" s="6" t="str">
        <f>_xlfn.XLOOKUP(B588,'SuperMarket Analysis'!A:A,'SuperMarket Analysis'!M:M)</f>
        <v>Cash</v>
      </c>
      <c r="F588" s="6">
        <f>0.05*Input_Table[[#This Row],[TOTAL C.O.G.S]]</f>
        <v>7.8510000000000009</v>
      </c>
      <c r="G588" s="6" t="str">
        <f>_xlfn.XLOOKUP(Input_Table[[#This Row],[INVOICE ID]],'SuperMarket Analysis'!A:A,'SuperMarket Analysis'!B:B)</f>
        <v>Alex</v>
      </c>
      <c r="H588" s="6" t="str">
        <f>_xlfn.XLOOKUP(Input_Table[[#This Row],[INVOICE ID]],'SuperMarket Analysis'!A:A,'SuperMarket Analysis'!F:F)</f>
        <v>Food and beverages</v>
      </c>
      <c r="I588" s="12">
        <f>_xlfn.XLOOKUP(Input_Table[[#This Row],[INVOICE ID]],'SuperMarket Analysis'!A:A,'SuperMarket Analysis'!G:G)</f>
        <v>52.34</v>
      </c>
      <c r="J588" s="12">
        <f>_xlfn.XLOOKUP(Input_Table[[#This Row],[INVOICE ID]],'SuperMarket Analysis'!A:A,'SuperMarket Analysis'!N:N)</f>
        <v>157.02000000000001</v>
      </c>
      <c r="K588" s="12">
        <f>_xlfn.XLOOKUP(Input_Table[[#This Row],[INVOICE ID]],'SuperMarket Analysis'!A:A,'SuperMarket Analysis'!J:J)</f>
        <v>164.87100000000001</v>
      </c>
      <c r="L588" s="6">
        <f>DAY(Input_Table[[#This Row],[DATE]])</f>
        <v>18</v>
      </c>
      <c r="M588" s="6" t="str">
        <f>TEXT(Input_Table[[#This Row],[DATE]],"mmmm")</f>
        <v>February</v>
      </c>
      <c r="N588" s="6">
        <f>YEAR(Input_Table[[#This Row],[DATE]])</f>
        <v>2019</v>
      </c>
    </row>
    <row r="589" spans="1:14" x14ac:dyDescent="0.3">
      <c r="A589" s="2">
        <f>_xlfn.XLOOKUP(B589,SuperMarket_Analysis[Invoice ID],SuperMarket_Analysis[Date])</f>
        <v>43494</v>
      </c>
      <c r="B589" s="6" t="s">
        <v>620</v>
      </c>
      <c r="C589" s="7">
        <f>_xlfn.XLOOKUP(B589,SuperMarket_Analysis[Invoice ID],SuperMarket_Analysis[Quantity])</f>
        <v>5</v>
      </c>
      <c r="D589" s="6" t="str">
        <f>_xlfn.XLOOKUP('Input data'!B589,'SuperMarket Analysis'!A:A,'SuperMarket Analysis'!F:F)</f>
        <v>Sports and travel</v>
      </c>
      <c r="E589" s="6" t="str">
        <f>_xlfn.XLOOKUP(B589,'SuperMarket Analysis'!A:A,'SuperMarket Analysis'!M:M)</f>
        <v>Ewallet</v>
      </c>
      <c r="F589" s="6">
        <f>0.05*Input_Table[[#This Row],[TOTAL C.O.G.S]]</f>
        <v>10.765000000000001</v>
      </c>
      <c r="G589" s="6" t="str">
        <f>_xlfn.XLOOKUP(Input_Table[[#This Row],[INVOICE ID]],'SuperMarket Analysis'!A:A,'SuperMarket Analysis'!B:B)</f>
        <v>Alex</v>
      </c>
      <c r="H589" s="6" t="str">
        <f>_xlfn.XLOOKUP(Input_Table[[#This Row],[INVOICE ID]],'SuperMarket Analysis'!A:A,'SuperMarket Analysis'!F:F)</f>
        <v>Sports and travel</v>
      </c>
      <c r="I589" s="12">
        <f>_xlfn.XLOOKUP(Input_Table[[#This Row],[INVOICE ID]],'SuperMarket Analysis'!A:A,'SuperMarket Analysis'!G:G)</f>
        <v>43.06</v>
      </c>
      <c r="J589" s="12">
        <f>_xlfn.XLOOKUP(Input_Table[[#This Row],[INVOICE ID]],'SuperMarket Analysis'!A:A,'SuperMarket Analysis'!N:N)</f>
        <v>215.3</v>
      </c>
      <c r="K589" s="12">
        <f>_xlfn.XLOOKUP(Input_Table[[#This Row],[INVOICE ID]],'SuperMarket Analysis'!A:A,'SuperMarket Analysis'!J:J)</f>
        <v>226.065</v>
      </c>
      <c r="L589" s="6">
        <f>DAY(Input_Table[[#This Row],[DATE]])</f>
        <v>29</v>
      </c>
      <c r="M589" s="6" t="str">
        <f>TEXT(Input_Table[[#This Row],[DATE]],"mmmm")</f>
        <v>January</v>
      </c>
      <c r="N589" s="6">
        <f>YEAR(Input_Table[[#This Row],[DATE]])</f>
        <v>2019</v>
      </c>
    </row>
    <row r="590" spans="1:14" x14ac:dyDescent="0.3">
      <c r="A590" s="2">
        <f>_xlfn.XLOOKUP(B590,SuperMarket_Analysis[Invoice ID],SuperMarket_Analysis[Date])</f>
        <v>43518</v>
      </c>
      <c r="B590" s="6" t="s">
        <v>621</v>
      </c>
      <c r="C590" s="7">
        <f>_xlfn.XLOOKUP(B590,SuperMarket_Analysis[Invoice ID],SuperMarket_Analysis[Quantity])</f>
        <v>10</v>
      </c>
      <c r="D590" s="6" t="str">
        <f>_xlfn.XLOOKUP('Input data'!B590,'SuperMarket Analysis'!A:A,'SuperMarket Analysis'!F:F)</f>
        <v>Fashion accessories</v>
      </c>
      <c r="E590" s="6" t="str">
        <f>_xlfn.XLOOKUP(B590,'SuperMarket Analysis'!A:A,'SuperMarket Analysis'!M:M)</f>
        <v>Cash</v>
      </c>
      <c r="F590" s="6">
        <f>0.05*Input_Table[[#This Row],[TOTAL C.O.G.S]]</f>
        <v>29.805000000000003</v>
      </c>
      <c r="G590" s="6" t="str">
        <f>_xlfn.XLOOKUP(Input_Table[[#This Row],[INVOICE ID]],'SuperMarket Analysis'!A:A,'SuperMarket Analysis'!B:B)</f>
        <v>Giza</v>
      </c>
      <c r="H590" s="6" t="str">
        <f>_xlfn.XLOOKUP(Input_Table[[#This Row],[INVOICE ID]],'SuperMarket Analysis'!A:A,'SuperMarket Analysis'!F:F)</f>
        <v>Fashion accessories</v>
      </c>
      <c r="I590" s="12">
        <f>_xlfn.XLOOKUP(Input_Table[[#This Row],[INVOICE ID]],'SuperMarket Analysis'!A:A,'SuperMarket Analysis'!G:G)</f>
        <v>59.61</v>
      </c>
      <c r="J590" s="12">
        <f>_xlfn.XLOOKUP(Input_Table[[#This Row],[INVOICE ID]],'SuperMarket Analysis'!A:A,'SuperMarket Analysis'!N:N)</f>
        <v>596.1</v>
      </c>
      <c r="K590" s="12">
        <f>_xlfn.XLOOKUP(Input_Table[[#This Row],[INVOICE ID]],'SuperMarket Analysis'!A:A,'SuperMarket Analysis'!J:J)</f>
        <v>625.90499999999997</v>
      </c>
      <c r="L590" s="6">
        <f>DAY(Input_Table[[#This Row],[DATE]])</f>
        <v>22</v>
      </c>
      <c r="M590" s="6" t="str">
        <f>TEXT(Input_Table[[#This Row],[DATE]],"mmmm")</f>
        <v>February</v>
      </c>
      <c r="N590" s="6">
        <f>YEAR(Input_Table[[#This Row],[DATE]])</f>
        <v>2019</v>
      </c>
    </row>
    <row r="591" spans="1:14" x14ac:dyDescent="0.3">
      <c r="A591" s="2">
        <f>_xlfn.XLOOKUP(B591,SuperMarket_Analysis[Invoice ID],SuperMarket_Analysis[Date])</f>
        <v>43514</v>
      </c>
      <c r="B591" s="6" t="s">
        <v>622</v>
      </c>
      <c r="C591" s="7">
        <f>_xlfn.XLOOKUP(B591,SuperMarket_Analysis[Invoice ID],SuperMarket_Analysis[Quantity])</f>
        <v>5</v>
      </c>
      <c r="D591" s="6" t="str">
        <f>_xlfn.XLOOKUP('Input data'!B591,'SuperMarket Analysis'!A:A,'SuperMarket Analysis'!F:F)</f>
        <v>Health and beauty</v>
      </c>
      <c r="E591" s="6" t="str">
        <f>_xlfn.XLOOKUP(B591,'SuperMarket Analysis'!A:A,'SuperMarket Analysis'!M:M)</f>
        <v>Cash</v>
      </c>
      <c r="F591" s="6">
        <f>0.05*Input_Table[[#This Row],[TOTAL C.O.G.S]]</f>
        <v>3.6549999999999998</v>
      </c>
      <c r="G591" s="6" t="str">
        <f>_xlfn.XLOOKUP(Input_Table[[#This Row],[INVOICE ID]],'SuperMarket Analysis'!A:A,'SuperMarket Analysis'!B:B)</f>
        <v>Alex</v>
      </c>
      <c r="H591" s="6" t="str">
        <f>_xlfn.XLOOKUP(Input_Table[[#This Row],[INVOICE ID]],'SuperMarket Analysis'!A:A,'SuperMarket Analysis'!F:F)</f>
        <v>Health and beauty</v>
      </c>
      <c r="I591" s="12">
        <f>_xlfn.XLOOKUP(Input_Table[[#This Row],[INVOICE ID]],'SuperMarket Analysis'!A:A,'SuperMarket Analysis'!G:G)</f>
        <v>14.62</v>
      </c>
      <c r="J591" s="12">
        <f>_xlfn.XLOOKUP(Input_Table[[#This Row],[INVOICE ID]],'SuperMarket Analysis'!A:A,'SuperMarket Analysis'!N:N)</f>
        <v>73.099999999999994</v>
      </c>
      <c r="K591" s="12">
        <f>_xlfn.XLOOKUP(Input_Table[[#This Row],[INVOICE ID]],'SuperMarket Analysis'!A:A,'SuperMarket Analysis'!J:J)</f>
        <v>76.754999999999995</v>
      </c>
      <c r="L591" s="6">
        <f>DAY(Input_Table[[#This Row],[DATE]])</f>
        <v>18</v>
      </c>
      <c r="M591" s="6" t="str">
        <f>TEXT(Input_Table[[#This Row],[DATE]],"mmmm")</f>
        <v>February</v>
      </c>
      <c r="N591" s="6">
        <f>YEAR(Input_Table[[#This Row],[DATE]])</f>
        <v>2019</v>
      </c>
    </row>
    <row r="592" spans="1:14" x14ac:dyDescent="0.3">
      <c r="A592" s="2">
        <f>_xlfn.XLOOKUP(B592,SuperMarket_Analysis[Invoice ID],SuperMarket_Analysis[Date])</f>
        <v>43527</v>
      </c>
      <c r="B592" s="6" t="s">
        <v>623</v>
      </c>
      <c r="C592" s="7">
        <f>_xlfn.XLOOKUP(B592,SuperMarket_Analysis[Invoice ID],SuperMarket_Analysis[Quantity])</f>
        <v>6</v>
      </c>
      <c r="D592" s="6" t="str">
        <f>_xlfn.XLOOKUP('Input data'!B592,'SuperMarket Analysis'!A:A,'SuperMarket Analysis'!F:F)</f>
        <v>Health and beauty</v>
      </c>
      <c r="E592" s="6" t="str">
        <f>_xlfn.XLOOKUP(B592,'SuperMarket Analysis'!A:A,'SuperMarket Analysis'!M:M)</f>
        <v>Credit card</v>
      </c>
      <c r="F592" s="6">
        <f>0.05*Input_Table[[#This Row],[TOTAL C.O.G.S]]</f>
        <v>13.959000000000001</v>
      </c>
      <c r="G592" s="6" t="str">
        <f>_xlfn.XLOOKUP(Input_Table[[#This Row],[INVOICE ID]],'SuperMarket Analysis'!A:A,'SuperMarket Analysis'!B:B)</f>
        <v>Giza</v>
      </c>
      <c r="H592" s="6" t="str">
        <f>_xlfn.XLOOKUP(Input_Table[[#This Row],[INVOICE ID]],'SuperMarket Analysis'!A:A,'SuperMarket Analysis'!F:F)</f>
        <v>Health and beauty</v>
      </c>
      <c r="I592" s="12">
        <f>_xlfn.XLOOKUP(Input_Table[[#This Row],[INVOICE ID]],'SuperMarket Analysis'!A:A,'SuperMarket Analysis'!G:G)</f>
        <v>46.53</v>
      </c>
      <c r="J592" s="12">
        <f>_xlfn.XLOOKUP(Input_Table[[#This Row],[INVOICE ID]],'SuperMarket Analysis'!A:A,'SuperMarket Analysis'!N:N)</f>
        <v>279.18</v>
      </c>
      <c r="K592" s="12">
        <f>_xlfn.XLOOKUP(Input_Table[[#This Row],[INVOICE ID]],'SuperMarket Analysis'!A:A,'SuperMarket Analysis'!J:J)</f>
        <v>293.13900000000001</v>
      </c>
      <c r="L592" s="6">
        <f>DAY(Input_Table[[#This Row],[DATE]])</f>
        <v>3</v>
      </c>
      <c r="M592" s="6" t="str">
        <f>TEXT(Input_Table[[#This Row],[DATE]],"mmmm")</f>
        <v>March</v>
      </c>
      <c r="N592" s="6">
        <f>YEAR(Input_Table[[#This Row],[DATE]])</f>
        <v>2019</v>
      </c>
    </row>
    <row r="593" spans="1:14" x14ac:dyDescent="0.3">
      <c r="A593" s="2">
        <f>_xlfn.XLOOKUP(B593,SuperMarket_Analysis[Invoice ID],SuperMarket_Analysis[Date])</f>
        <v>43648</v>
      </c>
      <c r="B593" s="6" t="s">
        <v>624</v>
      </c>
      <c r="C593" s="7">
        <f>_xlfn.XLOOKUP(B593,SuperMarket_Analysis[Invoice ID],SuperMarket_Analysis[Quantity])</f>
        <v>1</v>
      </c>
      <c r="D593" s="6" t="str">
        <f>_xlfn.XLOOKUP('Input data'!B593,'SuperMarket Analysis'!A:A,'SuperMarket Analysis'!F:F)</f>
        <v>Sports and travel</v>
      </c>
      <c r="E593" s="6" t="str">
        <f>_xlfn.XLOOKUP(B593,'SuperMarket Analysis'!A:A,'SuperMarket Analysis'!M:M)</f>
        <v>Cash</v>
      </c>
      <c r="F593" s="6">
        <f>0.05*Input_Table[[#This Row],[TOTAL C.O.G.S]]</f>
        <v>2.2789999999999999</v>
      </c>
      <c r="G593" s="6" t="str">
        <f>_xlfn.XLOOKUP(Input_Table[[#This Row],[INVOICE ID]],'SuperMarket Analysis'!A:A,'SuperMarket Analysis'!B:B)</f>
        <v>Alex</v>
      </c>
      <c r="H593" s="6" t="str">
        <f>_xlfn.XLOOKUP(Input_Table[[#This Row],[INVOICE ID]],'SuperMarket Analysis'!A:A,'SuperMarket Analysis'!F:F)</f>
        <v>Sports and travel</v>
      </c>
      <c r="I593" s="12">
        <f>_xlfn.XLOOKUP(Input_Table[[#This Row],[INVOICE ID]],'SuperMarket Analysis'!A:A,'SuperMarket Analysis'!G:G)</f>
        <v>45.58</v>
      </c>
      <c r="J593" s="12">
        <f>_xlfn.XLOOKUP(Input_Table[[#This Row],[INVOICE ID]],'SuperMarket Analysis'!A:A,'SuperMarket Analysis'!N:N)</f>
        <v>45.58</v>
      </c>
      <c r="K593" s="12">
        <f>_xlfn.XLOOKUP(Input_Table[[#This Row],[INVOICE ID]],'SuperMarket Analysis'!A:A,'SuperMarket Analysis'!J:J)</f>
        <v>47.859000000000002</v>
      </c>
      <c r="L593" s="6">
        <f>DAY(Input_Table[[#This Row],[DATE]])</f>
        <v>2</v>
      </c>
      <c r="M593" s="6" t="str">
        <f>TEXT(Input_Table[[#This Row],[DATE]],"mmmm")</f>
        <v>July</v>
      </c>
      <c r="N593" s="6">
        <f>YEAR(Input_Table[[#This Row],[DATE]])</f>
        <v>2019</v>
      </c>
    </row>
    <row r="594" spans="1:14" x14ac:dyDescent="0.3">
      <c r="A594" s="2">
        <f>_xlfn.XLOOKUP(B594,SuperMarket_Analysis[Invoice ID],SuperMarket_Analysis[Date])</f>
        <v>43587</v>
      </c>
      <c r="B594" s="6" t="s">
        <v>625</v>
      </c>
      <c r="C594" s="7">
        <f>_xlfn.XLOOKUP(B594,SuperMarket_Analysis[Invoice ID],SuperMarket_Analysis[Quantity])</f>
        <v>3</v>
      </c>
      <c r="D594" s="6" t="str">
        <f>_xlfn.XLOOKUP('Input data'!B594,'SuperMarket Analysis'!A:A,'SuperMarket Analysis'!F:F)</f>
        <v>Sports and travel</v>
      </c>
      <c r="E594" s="6" t="str">
        <f>_xlfn.XLOOKUP(B594,'SuperMarket Analysis'!A:A,'SuperMarket Analysis'!M:M)</f>
        <v>Ewallet</v>
      </c>
      <c r="F594" s="6">
        <f>0.05*Input_Table[[#This Row],[TOTAL C.O.G.S]]</f>
        <v>11.280000000000001</v>
      </c>
      <c r="G594" s="6" t="str">
        <f>_xlfn.XLOOKUP(Input_Table[[#This Row],[INVOICE ID]],'SuperMarket Analysis'!A:A,'SuperMarket Analysis'!B:B)</f>
        <v>Alex</v>
      </c>
      <c r="H594" s="6" t="str">
        <f>_xlfn.XLOOKUP(Input_Table[[#This Row],[INVOICE ID]],'SuperMarket Analysis'!A:A,'SuperMarket Analysis'!F:F)</f>
        <v>Sports and travel</v>
      </c>
      <c r="I594" s="12">
        <f>_xlfn.XLOOKUP(Input_Table[[#This Row],[INVOICE ID]],'SuperMarket Analysis'!A:A,'SuperMarket Analysis'!G:G)</f>
        <v>75.2</v>
      </c>
      <c r="J594" s="12">
        <f>_xlfn.XLOOKUP(Input_Table[[#This Row],[INVOICE ID]],'SuperMarket Analysis'!A:A,'SuperMarket Analysis'!N:N)</f>
        <v>225.6</v>
      </c>
      <c r="K594" s="12">
        <f>_xlfn.XLOOKUP(Input_Table[[#This Row],[INVOICE ID]],'SuperMarket Analysis'!A:A,'SuperMarket Analysis'!J:J)</f>
        <v>236.88</v>
      </c>
      <c r="L594" s="6">
        <f>DAY(Input_Table[[#This Row],[DATE]])</f>
        <v>2</v>
      </c>
      <c r="M594" s="6" t="str">
        <f>TEXT(Input_Table[[#This Row],[DATE]],"mmmm")</f>
        <v>May</v>
      </c>
      <c r="N594" s="6">
        <f>YEAR(Input_Table[[#This Row],[DATE]])</f>
        <v>2019</v>
      </c>
    </row>
    <row r="595" spans="1:14" x14ac:dyDescent="0.3">
      <c r="A595" s="2">
        <f>_xlfn.XLOOKUP(B595,SuperMarket_Analysis[Invoice ID],SuperMarket_Analysis[Date])</f>
        <v>43468</v>
      </c>
      <c r="B595" s="6" t="s">
        <v>626</v>
      </c>
      <c r="C595" s="7">
        <f>_xlfn.XLOOKUP(B595,SuperMarket_Analysis[Invoice ID],SuperMarket_Analysis[Quantity])</f>
        <v>3</v>
      </c>
      <c r="D595" s="6" t="str">
        <f>_xlfn.XLOOKUP('Input data'!B595,'SuperMarket Analysis'!A:A,'SuperMarket Analysis'!F:F)</f>
        <v>Health and beauty</v>
      </c>
      <c r="E595" s="6" t="str">
        <f>_xlfn.XLOOKUP(B595,'SuperMarket Analysis'!A:A,'SuperMarket Analysis'!M:M)</f>
        <v>Credit card</v>
      </c>
      <c r="F595" s="6">
        <f>0.05*Input_Table[[#This Row],[TOTAL C.O.G.S]]</f>
        <v>2.2230000000000003</v>
      </c>
      <c r="G595" s="6" t="str">
        <f>_xlfn.XLOOKUP(Input_Table[[#This Row],[INVOICE ID]],'SuperMarket Analysis'!A:A,'SuperMarket Analysis'!B:B)</f>
        <v>Cairo</v>
      </c>
      <c r="H595" s="6" t="str">
        <f>_xlfn.XLOOKUP(Input_Table[[#This Row],[INVOICE ID]],'SuperMarket Analysis'!A:A,'SuperMarket Analysis'!F:F)</f>
        <v>Health and beauty</v>
      </c>
      <c r="I595" s="12">
        <f>_xlfn.XLOOKUP(Input_Table[[#This Row],[INVOICE ID]],'SuperMarket Analysis'!A:A,'SuperMarket Analysis'!G:G)</f>
        <v>14.82</v>
      </c>
      <c r="J595" s="12">
        <f>_xlfn.XLOOKUP(Input_Table[[#This Row],[INVOICE ID]],'SuperMarket Analysis'!A:A,'SuperMarket Analysis'!N:N)</f>
        <v>44.46</v>
      </c>
      <c r="K595" s="12">
        <f>_xlfn.XLOOKUP(Input_Table[[#This Row],[INVOICE ID]],'SuperMarket Analysis'!A:A,'SuperMarket Analysis'!J:J)</f>
        <v>46.683</v>
      </c>
      <c r="L595" s="6">
        <f>DAY(Input_Table[[#This Row],[DATE]])</f>
        <v>3</v>
      </c>
      <c r="M595" s="6" t="str">
        <f>TEXT(Input_Table[[#This Row],[DATE]],"mmmm")</f>
        <v>January</v>
      </c>
      <c r="N595" s="6">
        <f>YEAR(Input_Table[[#This Row],[DATE]])</f>
        <v>2019</v>
      </c>
    </row>
    <row r="596" spans="1:14" x14ac:dyDescent="0.3">
      <c r="A596" s="2">
        <f>_xlfn.XLOOKUP(B596,SuperMarket_Analysis[Invoice ID],SuperMarket_Analysis[Date])</f>
        <v>43678</v>
      </c>
      <c r="B596" s="6" t="s">
        <v>627</v>
      </c>
      <c r="C596" s="7">
        <f>_xlfn.XLOOKUP(B596,SuperMarket_Analysis[Invoice ID],SuperMarket_Analysis[Quantity])</f>
        <v>7</v>
      </c>
      <c r="D596" s="6" t="str">
        <f>_xlfn.XLOOKUP('Input data'!B596,'SuperMarket Analysis'!A:A,'SuperMarket Analysis'!F:F)</f>
        <v>Fashion accessories</v>
      </c>
      <c r="E596" s="6" t="str">
        <f>_xlfn.XLOOKUP(B596,'SuperMarket Analysis'!A:A,'SuperMarket Analysis'!M:M)</f>
        <v>Cash</v>
      </c>
      <c r="F596" s="6">
        <f>0.05*Input_Table[[#This Row],[TOTAL C.O.G.S]]</f>
        <v>18.1615</v>
      </c>
      <c r="G596" s="6" t="str">
        <f>_xlfn.XLOOKUP(Input_Table[[#This Row],[INVOICE ID]],'SuperMarket Analysis'!A:A,'SuperMarket Analysis'!B:B)</f>
        <v>Giza</v>
      </c>
      <c r="H596" s="6" t="str">
        <f>_xlfn.XLOOKUP(Input_Table[[#This Row],[INVOICE ID]],'SuperMarket Analysis'!A:A,'SuperMarket Analysis'!F:F)</f>
        <v>Fashion accessories</v>
      </c>
      <c r="I596" s="12">
        <f>_xlfn.XLOOKUP(Input_Table[[#This Row],[INVOICE ID]],'SuperMarket Analysis'!A:A,'SuperMarket Analysis'!G:G)</f>
        <v>51.89</v>
      </c>
      <c r="J596" s="12">
        <f>_xlfn.XLOOKUP(Input_Table[[#This Row],[INVOICE ID]],'SuperMarket Analysis'!A:A,'SuperMarket Analysis'!N:N)</f>
        <v>363.23</v>
      </c>
      <c r="K596" s="12">
        <f>_xlfn.XLOOKUP(Input_Table[[#This Row],[INVOICE ID]],'SuperMarket Analysis'!A:A,'SuperMarket Analysis'!J:J)</f>
        <v>381.39150000000001</v>
      </c>
      <c r="L596" s="6">
        <f>DAY(Input_Table[[#This Row],[DATE]])</f>
        <v>1</v>
      </c>
      <c r="M596" s="6" t="str">
        <f>TEXT(Input_Table[[#This Row],[DATE]],"mmmm")</f>
        <v>August</v>
      </c>
      <c r="N596" s="6">
        <f>YEAR(Input_Table[[#This Row],[DATE]])</f>
        <v>2019</v>
      </c>
    </row>
    <row r="597" spans="1:14" x14ac:dyDescent="0.3">
      <c r="A597" s="2">
        <f>_xlfn.XLOOKUP(B597,SuperMarket_Analysis[Invoice ID],SuperMarket_Analysis[Date])</f>
        <v>43679</v>
      </c>
      <c r="B597" s="6" t="s">
        <v>628</v>
      </c>
      <c r="C597" s="7">
        <f>_xlfn.XLOOKUP(B597,SuperMarket_Analysis[Invoice ID],SuperMarket_Analysis[Quantity])</f>
        <v>4</v>
      </c>
      <c r="D597" s="6" t="str">
        <f>_xlfn.XLOOKUP('Input data'!B597,'SuperMarket Analysis'!A:A,'SuperMarket Analysis'!F:F)</f>
        <v>Home and lifestyle</v>
      </c>
      <c r="E597" s="6" t="str">
        <f>_xlfn.XLOOKUP(B597,'SuperMarket Analysis'!A:A,'SuperMarket Analysis'!M:M)</f>
        <v>Cash</v>
      </c>
      <c r="F597" s="6">
        <f>0.05*Input_Table[[#This Row],[TOTAL C.O.G.S]]</f>
        <v>6.3500000000000005</v>
      </c>
      <c r="G597" s="6" t="str">
        <f>_xlfn.XLOOKUP(Input_Table[[#This Row],[INVOICE ID]],'SuperMarket Analysis'!A:A,'SuperMarket Analysis'!B:B)</f>
        <v>Cairo</v>
      </c>
      <c r="H597" s="6" t="str">
        <f>_xlfn.XLOOKUP(Input_Table[[#This Row],[INVOICE ID]],'SuperMarket Analysis'!A:A,'SuperMarket Analysis'!F:F)</f>
        <v>Home and lifestyle</v>
      </c>
      <c r="I597" s="12">
        <f>_xlfn.XLOOKUP(Input_Table[[#This Row],[INVOICE ID]],'SuperMarket Analysis'!A:A,'SuperMarket Analysis'!G:G)</f>
        <v>31.75</v>
      </c>
      <c r="J597" s="12">
        <f>_xlfn.XLOOKUP(Input_Table[[#This Row],[INVOICE ID]],'SuperMarket Analysis'!A:A,'SuperMarket Analysis'!N:N)</f>
        <v>127</v>
      </c>
      <c r="K597" s="12">
        <f>_xlfn.XLOOKUP(Input_Table[[#This Row],[INVOICE ID]],'SuperMarket Analysis'!A:A,'SuperMarket Analysis'!J:J)</f>
        <v>133.35</v>
      </c>
      <c r="L597" s="6">
        <f>DAY(Input_Table[[#This Row],[DATE]])</f>
        <v>2</v>
      </c>
      <c r="M597" s="6" t="str">
        <f>TEXT(Input_Table[[#This Row],[DATE]],"mmmm")</f>
        <v>August</v>
      </c>
      <c r="N597" s="6">
        <f>YEAR(Input_Table[[#This Row],[DATE]])</f>
        <v>2019</v>
      </c>
    </row>
    <row r="598" spans="1:14" x14ac:dyDescent="0.3">
      <c r="A598" s="2">
        <f>_xlfn.XLOOKUP(B598,SuperMarket_Analysis[Invoice ID],SuperMarket_Analysis[Date])</f>
        <v>43740</v>
      </c>
      <c r="B598" s="6" t="s">
        <v>629</v>
      </c>
      <c r="C598" s="7">
        <f>_xlfn.XLOOKUP(B598,SuperMarket_Analysis[Invoice ID],SuperMarket_Analysis[Quantity])</f>
        <v>7</v>
      </c>
      <c r="D598" s="6" t="str">
        <f>_xlfn.XLOOKUP('Input data'!B598,'SuperMarket Analysis'!A:A,'SuperMarket Analysis'!F:F)</f>
        <v>Fashion accessories</v>
      </c>
      <c r="E598" s="6" t="str">
        <f>_xlfn.XLOOKUP(B598,'SuperMarket Analysis'!A:A,'SuperMarket Analysis'!M:M)</f>
        <v>Ewallet</v>
      </c>
      <c r="F598" s="6">
        <f>0.05*Input_Table[[#This Row],[TOTAL C.O.G.S]]</f>
        <v>18.7775</v>
      </c>
      <c r="G598" s="6" t="str">
        <f>_xlfn.XLOOKUP(Input_Table[[#This Row],[INVOICE ID]],'SuperMarket Analysis'!A:A,'SuperMarket Analysis'!B:B)</f>
        <v>Alex</v>
      </c>
      <c r="H598" s="6" t="str">
        <f>_xlfn.XLOOKUP(Input_Table[[#This Row],[INVOICE ID]],'SuperMarket Analysis'!A:A,'SuperMarket Analysis'!F:F)</f>
        <v>Fashion accessories</v>
      </c>
      <c r="I598" s="12">
        <f>_xlfn.XLOOKUP(Input_Table[[#This Row],[INVOICE ID]],'SuperMarket Analysis'!A:A,'SuperMarket Analysis'!G:G)</f>
        <v>53.65</v>
      </c>
      <c r="J598" s="12">
        <f>_xlfn.XLOOKUP(Input_Table[[#This Row],[INVOICE ID]],'SuperMarket Analysis'!A:A,'SuperMarket Analysis'!N:N)</f>
        <v>375.55</v>
      </c>
      <c r="K598" s="12">
        <f>_xlfn.XLOOKUP(Input_Table[[#This Row],[INVOICE ID]],'SuperMarket Analysis'!A:A,'SuperMarket Analysis'!J:J)</f>
        <v>394.32749999999999</v>
      </c>
      <c r="L598" s="6">
        <f>DAY(Input_Table[[#This Row],[DATE]])</f>
        <v>2</v>
      </c>
      <c r="M598" s="6" t="str">
        <f>TEXT(Input_Table[[#This Row],[DATE]],"mmmm")</f>
        <v>October</v>
      </c>
      <c r="N598" s="6">
        <f>YEAR(Input_Table[[#This Row],[DATE]])</f>
        <v>2019</v>
      </c>
    </row>
    <row r="599" spans="1:14" x14ac:dyDescent="0.3">
      <c r="A599" s="2">
        <f>_xlfn.XLOOKUP(B599,SuperMarket_Analysis[Invoice ID],SuperMarket_Analysis[Date])</f>
        <v>43648</v>
      </c>
      <c r="B599" s="6" t="s">
        <v>630</v>
      </c>
      <c r="C599" s="7">
        <f>_xlfn.XLOOKUP(B599,SuperMarket_Analysis[Invoice ID],SuperMarket_Analysis[Quantity])</f>
        <v>1</v>
      </c>
      <c r="D599" s="6" t="str">
        <f>_xlfn.XLOOKUP('Input data'!B599,'SuperMarket Analysis'!A:A,'SuperMarket Analysis'!F:F)</f>
        <v>Electronic accessories</v>
      </c>
      <c r="E599" s="6" t="str">
        <f>_xlfn.XLOOKUP(B599,'SuperMarket Analysis'!A:A,'SuperMarket Analysis'!M:M)</f>
        <v>Credit card</v>
      </c>
      <c r="F599" s="6">
        <f>0.05*Input_Table[[#This Row],[TOTAL C.O.G.S]]</f>
        <v>1.4480000000000002</v>
      </c>
      <c r="G599" s="6" t="str">
        <f>_xlfn.XLOOKUP(Input_Table[[#This Row],[INVOICE ID]],'SuperMarket Analysis'!A:A,'SuperMarket Analysis'!B:B)</f>
        <v>Alex</v>
      </c>
      <c r="H599" s="6" t="str">
        <f>_xlfn.XLOOKUP(Input_Table[[#This Row],[INVOICE ID]],'SuperMarket Analysis'!A:A,'SuperMarket Analysis'!F:F)</f>
        <v>Electronic accessories</v>
      </c>
      <c r="I599" s="12">
        <f>_xlfn.XLOOKUP(Input_Table[[#This Row],[INVOICE ID]],'SuperMarket Analysis'!A:A,'SuperMarket Analysis'!G:G)</f>
        <v>28.96</v>
      </c>
      <c r="J599" s="12">
        <f>_xlfn.XLOOKUP(Input_Table[[#This Row],[INVOICE ID]],'SuperMarket Analysis'!A:A,'SuperMarket Analysis'!N:N)</f>
        <v>28.96</v>
      </c>
      <c r="K599" s="12">
        <f>_xlfn.XLOOKUP(Input_Table[[#This Row],[INVOICE ID]],'SuperMarket Analysis'!A:A,'SuperMarket Analysis'!J:J)</f>
        <v>30.408000000000001</v>
      </c>
      <c r="L599" s="6">
        <f>DAY(Input_Table[[#This Row],[DATE]])</f>
        <v>2</v>
      </c>
      <c r="M599" s="6" t="str">
        <f>TEXT(Input_Table[[#This Row],[DATE]],"mmmm")</f>
        <v>July</v>
      </c>
      <c r="N599" s="6">
        <f>YEAR(Input_Table[[#This Row],[DATE]])</f>
        <v>2019</v>
      </c>
    </row>
    <row r="600" spans="1:14" x14ac:dyDescent="0.3">
      <c r="A600" s="2">
        <f>_xlfn.XLOOKUP(B600,SuperMarket_Analysis[Invoice ID],SuperMarket_Analysis[Date])</f>
        <v>43711</v>
      </c>
      <c r="B600" s="6" t="s">
        <v>631</v>
      </c>
      <c r="C600" s="7">
        <f>_xlfn.XLOOKUP(B600,SuperMarket_Analysis[Invoice ID],SuperMarket_Analysis[Quantity])</f>
        <v>9</v>
      </c>
      <c r="D600" s="6" t="str">
        <f>_xlfn.XLOOKUP('Input data'!B600,'SuperMarket Analysis'!A:A,'SuperMarket Analysis'!F:F)</f>
        <v>Food and beverages</v>
      </c>
      <c r="E600" s="6" t="str">
        <f>_xlfn.XLOOKUP(B600,'SuperMarket Analysis'!A:A,'SuperMarket Analysis'!M:M)</f>
        <v>Cash</v>
      </c>
      <c r="F600" s="6">
        <f>0.05*Input_Table[[#This Row],[TOTAL C.O.G.S]]</f>
        <v>44.536500000000004</v>
      </c>
      <c r="G600" s="6" t="str">
        <f>_xlfn.XLOOKUP(Input_Table[[#This Row],[INVOICE ID]],'SuperMarket Analysis'!A:A,'SuperMarket Analysis'!B:B)</f>
        <v>Giza</v>
      </c>
      <c r="H600" s="6" t="str">
        <f>_xlfn.XLOOKUP(Input_Table[[#This Row],[INVOICE ID]],'SuperMarket Analysis'!A:A,'SuperMarket Analysis'!F:F)</f>
        <v>Food and beverages</v>
      </c>
      <c r="I600" s="12">
        <f>_xlfn.XLOOKUP(Input_Table[[#This Row],[INVOICE ID]],'SuperMarket Analysis'!A:A,'SuperMarket Analysis'!G:G)</f>
        <v>98.97</v>
      </c>
      <c r="J600" s="12">
        <f>_xlfn.XLOOKUP(Input_Table[[#This Row],[INVOICE ID]],'SuperMarket Analysis'!A:A,'SuperMarket Analysis'!N:N)</f>
        <v>890.73</v>
      </c>
      <c r="K600" s="12">
        <f>_xlfn.XLOOKUP(Input_Table[[#This Row],[INVOICE ID]],'SuperMarket Analysis'!A:A,'SuperMarket Analysis'!J:J)</f>
        <v>935.26649999999995</v>
      </c>
      <c r="L600" s="6">
        <f>DAY(Input_Table[[#This Row],[DATE]])</f>
        <v>3</v>
      </c>
      <c r="M600" s="6" t="str">
        <f>TEXT(Input_Table[[#This Row],[DATE]],"mmmm")</f>
        <v>September</v>
      </c>
      <c r="N600" s="6">
        <f>YEAR(Input_Table[[#This Row],[DATE]])</f>
        <v>2019</v>
      </c>
    </row>
    <row r="601" spans="1:14" x14ac:dyDescent="0.3">
      <c r="A601" s="2">
        <f>_xlfn.XLOOKUP(B601,SuperMarket_Analysis[Invoice ID],SuperMarket_Analysis[Date])</f>
        <v>43526</v>
      </c>
      <c r="B601" s="6" t="s">
        <v>632</v>
      </c>
      <c r="C601" s="7">
        <f>_xlfn.XLOOKUP(B601,SuperMarket_Analysis[Invoice ID],SuperMarket_Analysis[Quantity])</f>
        <v>10</v>
      </c>
      <c r="D601" s="6" t="str">
        <f>_xlfn.XLOOKUP('Input data'!B601,'SuperMarket Analysis'!A:A,'SuperMarket Analysis'!F:F)</f>
        <v>Food and beverages</v>
      </c>
      <c r="E601" s="6" t="str">
        <f>_xlfn.XLOOKUP(B601,'SuperMarket Analysis'!A:A,'SuperMarket Analysis'!M:M)</f>
        <v>Ewallet</v>
      </c>
      <c r="F601" s="6">
        <f>0.05*Input_Table[[#This Row],[TOTAL C.O.G.S]]</f>
        <v>33.725000000000001</v>
      </c>
      <c r="G601" s="6" t="str">
        <f>_xlfn.XLOOKUP(Input_Table[[#This Row],[INVOICE ID]],'SuperMarket Analysis'!A:A,'SuperMarket Analysis'!B:B)</f>
        <v>Alex</v>
      </c>
      <c r="H601" s="6" t="str">
        <f>_xlfn.XLOOKUP(Input_Table[[#This Row],[INVOICE ID]],'SuperMarket Analysis'!A:A,'SuperMarket Analysis'!F:F)</f>
        <v>Food and beverages</v>
      </c>
      <c r="I601" s="12">
        <f>_xlfn.XLOOKUP(Input_Table[[#This Row],[INVOICE ID]],'SuperMarket Analysis'!A:A,'SuperMarket Analysis'!G:G)</f>
        <v>67.45</v>
      </c>
      <c r="J601" s="12">
        <f>_xlfn.XLOOKUP(Input_Table[[#This Row],[INVOICE ID]],'SuperMarket Analysis'!A:A,'SuperMarket Analysis'!N:N)</f>
        <v>674.5</v>
      </c>
      <c r="K601" s="12">
        <f>_xlfn.XLOOKUP(Input_Table[[#This Row],[INVOICE ID]],'SuperMarket Analysis'!A:A,'SuperMarket Analysis'!J:J)</f>
        <v>708.22500000000002</v>
      </c>
      <c r="L601" s="6">
        <f>DAY(Input_Table[[#This Row],[DATE]])</f>
        <v>2</v>
      </c>
      <c r="M601" s="6" t="str">
        <f>TEXT(Input_Table[[#This Row],[DATE]],"mmmm")</f>
        <v>March</v>
      </c>
      <c r="N601" s="6">
        <f>YEAR(Input_Table[[#This Row],[DATE]])</f>
        <v>2019</v>
      </c>
    </row>
    <row r="602" spans="1:14" x14ac:dyDescent="0.3">
      <c r="A602" s="2">
        <f>_xlfn.XLOOKUP(B602,SuperMarket_Analysis[Invoice ID],SuperMarket_Analysis[Date])</f>
        <v>43648</v>
      </c>
      <c r="B602" s="6" t="s">
        <v>633</v>
      </c>
      <c r="C602" s="7">
        <f>_xlfn.XLOOKUP(B602,SuperMarket_Analysis[Invoice ID],SuperMarket_Analysis[Quantity])</f>
        <v>6</v>
      </c>
      <c r="D602" s="6" t="str">
        <f>_xlfn.XLOOKUP('Input data'!B602,'SuperMarket Analysis'!A:A,'SuperMarket Analysis'!F:F)</f>
        <v>Fashion accessories</v>
      </c>
      <c r="E602" s="6" t="str">
        <f>_xlfn.XLOOKUP(B602,'SuperMarket Analysis'!A:A,'SuperMarket Analysis'!M:M)</f>
        <v>Ewallet</v>
      </c>
      <c r="F602" s="6">
        <f>0.05*Input_Table[[#This Row],[TOTAL C.O.G.S]]</f>
        <v>13.038</v>
      </c>
      <c r="G602" s="6" t="str">
        <f>_xlfn.XLOOKUP(Input_Table[[#This Row],[INVOICE ID]],'SuperMarket Analysis'!A:A,'SuperMarket Analysis'!B:B)</f>
        <v>Giza</v>
      </c>
      <c r="H602" s="6" t="str">
        <f>_xlfn.XLOOKUP(Input_Table[[#This Row],[INVOICE ID]],'SuperMarket Analysis'!A:A,'SuperMarket Analysis'!F:F)</f>
        <v>Fashion accessories</v>
      </c>
      <c r="I602" s="12">
        <f>_xlfn.XLOOKUP(Input_Table[[#This Row],[INVOICE ID]],'SuperMarket Analysis'!A:A,'SuperMarket Analysis'!G:G)</f>
        <v>43.46</v>
      </c>
      <c r="J602" s="12">
        <f>_xlfn.XLOOKUP(Input_Table[[#This Row],[INVOICE ID]],'SuperMarket Analysis'!A:A,'SuperMarket Analysis'!N:N)</f>
        <v>260.76</v>
      </c>
      <c r="K602" s="12">
        <f>_xlfn.XLOOKUP(Input_Table[[#This Row],[INVOICE ID]],'SuperMarket Analysis'!A:A,'SuperMarket Analysis'!J:J)</f>
        <v>273.798</v>
      </c>
      <c r="L602" s="6">
        <f>DAY(Input_Table[[#This Row],[DATE]])</f>
        <v>2</v>
      </c>
      <c r="M602" s="6" t="str">
        <f>TEXT(Input_Table[[#This Row],[DATE]],"mmmm")</f>
        <v>July</v>
      </c>
      <c r="N602" s="6">
        <f>YEAR(Input_Table[[#This Row],[DATE]])</f>
        <v>2019</v>
      </c>
    </row>
    <row r="603" spans="1:14" x14ac:dyDescent="0.3">
      <c r="A603" s="2">
        <f>_xlfn.XLOOKUP(B603,SuperMarket_Analysis[Invoice ID],SuperMarket_Analysis[Date])</f>
        <v>43800</v>
      </c>
      <c r="B603" s="6" t="s">
        <v>634</v>
      </c>
      <c r="C603" s="7">
        <f>_xlfn.XLOOKUP(B603,SuperMarket_Analysis[Invoice ID],SuperMarket_Analysis[Quantity])</f>
        <v>10</v>
      </c>
      <c r="D603" s="6" t="str">
        <f>_xlfn.XLOOKUP('Input data'!B603,'SuperMarket Analysis'!A:A,'SuperMarket Analysis'!F:F)</f>
        <v>Fashion accessories</v>
      </c>
      <c r="E603" s="6" t="str">
        <f>_xlfn.XLOOKUP(B603,'SuperMarket Analysis'!A:A,'SuperMarket Analysis'!M:M)</f>
        <v>Credit card</v>
      </c>
      <c r="F603" s="6">
        <f>0.05*Input_Table[[#This Row],[TOTAL C.O.G.S]]</f>
        <v>41.625</v>
      </c>
      <c r="G603" s="6" t="str">
        <f>_xlfn.XLOOKUP(Input_Table[[#This Row],[INVOICE ID]],'SuperMarket Analysis'!A:A,'SuperMarket Analysis'!B:B)</f>
        <v>Cairo</v>
      </c>
      <c r="H603" s="6" t="str">
        <f>_xlfn.XLOOKUP(Input_Table[[#This Row],[INVOICE ID]],'SuperMarket Analysis'!A:A,'SuperMarket Analysis'!F:F)</f>
        <v>Fashion accessories</v>
      </c>
      <c r="I603" s="12">
        <f>_xlfn.XLOOKUP(Input_Table[[#This Row],[INVOICE ID]],'SuperMarket Analysis'!A:A,'SuperMarket Analysis'!G:G)</f>
        <v>83.25</v>
      </c>
      <c r="J603" s="12">
        <f>_xlfn.XLOOKUP(Input_Table[[#This Row],[INVOICE ID]],'SuperMarket Analysis'!A:A,'SuperMarket Analysis'!N:N)</f>
        <v>832.5</v>
      </c>
      <c r="K603" s="12">
        <f>_xlfn.XLOOKUP(Input_Table[[#This Row],[INVOICE ID]],'SuperMarket Analysis'!A:A,'SuperMarket Analysis'!J:J)</f>
        <v>874.125</v>
      </c>
      <c r="L603" s="6">
        <f>DAY(Input_Table[[#This Row],[DATE]])</f>
        <v>1</v>
      </c>
      <c r="M603" s="6" t="str">
        <f>TEXT(Input_Table[[#This Row],[DATE]],"mmmm")</f>
        <v>December</v>
      </c>
      <c r="N603" s="6">
        <f>YEAR(Input_Table[[#This Row],[DATE]])</f>
        <v>2019</v>
      </c>
    </row>
    <row r="604" spans="1:14" x14ac:dyDescent="0.3">
      <c r="A604" s="2">
        <f>_xlfn.XLOOKUP(B604,SuperMarket_Analysis[Invoice ID],SuperMarket_Analysis[Date])</f>
        <v>43711</v>
      </c>
      <c r="B604" s="6" t="s">
        <v>635</v>
      </c>
      <c r="C604" s="7">
        <f>_xlfn.XLOOKUP(B604,SuperMarket_Analysis[Invoice ID],SuperMarket_Analysis[Quantity])</f>
        <v>2</v>
      </c>
      <c r="D604" s="6" t="str">
        <f>_xlfn.XLOOKUP('Input data'!B604,'SuperMarket Analysis'!A:A,'SuperMarket Analysis'!F:F)</f>
        <v>Sports and travel</v>
      </c>
      <c r="E604" s="6" t="str">
        <f>_xlfn.XLOOKUP(B604,'SuperMarket Analysis'!A:A,'SuperMarket Analysis'!M:M)</f>
        <v>Ewallet</v>
      </c>
      <c r="F604" s="6">
        <f>0.05*Input_Table[[#This Row],[TOTAL C.O.G.S]]</f>
        <v>6.0869999999999997</v>
      </c>
      <c r="G604" s="6" t="str">
        <f>_xlfn.XLOOKUP(Input_Table[[#This Row],[INVOICE ID]],'SuperMarket Analysis'!A:A,'SuperMarket Analysis'!B:B)</f>
        <v>Alex</v>
      </c>
      <c r="H604" s="6" t="str">
        <f>_xlfn.XLOOKUP(Input_Table[[#This Row],[INVOICE ID]],'SuperMarket Analysis'!A:A,'SuperMarket Analysis'!F:F)</f>
        <v>Sports and travel</v>
      </c>
      <c r="I604" s="12">
        <f>_xlfn.XLOOKUP(Input_Table[[#This Row],[INVOICE ID]],'SuperMarket Analysis'!A:A,'SuperMarket Analysis'!G:G)</f>
        <v>60.87</v>
      </c>
      <c r="J604" s="12">
        <f>_xlfn.XLOOKUP(Input_Table[[#This Row],[INVOICE ID]],'SuperMarket Analysis'!A:A,'SuperMarket Analysis'!N:N)</f>
        <v>121.74</v>
      </c>
      <c r="K604" s="12">
        <f>_xlfn.XLOOKUP(Input_Table[[#This Row],[INVOICE ID]],'SuperMarket Analysis'!A:A,'SuperMarket Analysis'!J:J)</f>
        <v>127.827</v>
      </c>
      <c r="L604" s="6">
        <f>DAY(Input_Table[[#This Row],[DATE]])</f>
        <v>3</v>
      </c>
      <c r="M604" s="6" t="str">
        <f>TEXT(Input_Table[[#This Row],[DATE]],"mmmm")</f>
        <v>September</v>
      </c>
      <c r="N604" s="6">
        <f>YEAR(Input_Table[[#This Row],[DATE]])</f>
        <v>2019</v>
      </c>
    </row>
    <row r="605" spans="1:14" x14ac:dyDescent="0.3">
      <c r="A605" s="2">
        <f>_xlfn.XLOOKUP(B605,SuperMarket_Analysis[Invoice ID],SuperMarket_Analysis[Date])</f>
        <v>43588</v>
      </c>
      <c r="B605" s="6" t="s">
        <v>636</v>
      </c>
      <c r="C605" s="7">
        <f>_xlfn.XLOOKUP(B605,SuperMarket_Analysis[Invoice ID],SuperMarket_Analysis[Quantity])</f>
        <v>3</v>
      </c>
      <c r="D605" s="6" t="str">
        <f>_xlfn.XLOOKUP('Input data'!B605,'SuperMarket Analysis'!A:A,'SuperMarket Analysis'!F:F)</f>
        <v>Electronic accessories</v>
      </c>
      <c r="E605" s="6" t="str">
        <f>_xlfn.XLOOKUP(B605,'SuperMarket Analysis'!A:A,'SuperMarket Analysis'!M:M)</f>
        <v>Ewallet</v>
      </c>
      <c r="F605" s="6">
        <f>0.05*Input_Table[[#This Row],[TOTAL C.O.G.S]]</f>
        <v>11.746500000000001</v>
      </c>
      <c r="G605" s="6" t="str">
        <f>_xlfn.XLOOKUP(Input_Table[[#This Row],[INVOICE ID]],'SuperMarket Analysis'!A:A,'SuperMarket Analysis'!B:B)</f>
        <v>Alex</v>
      </c>
      <c r="H605" s="6" t="str">
        <f>_xlfn.XLOOKUP(Input_Table[[#This Row],[INVOICE ID]],'SuperMarket Analysis'!A:A,'SuperMarket Analysis'!F:F)</f>
        <v>Electronic accessories</v>
      </c>
      <c r="I605" s="12">
        <f>_xlfn.XLOOKUP(Input_Table[[#This Row],[INVOICE ID]],'SuperMarket Analysis'!A:A,'SuperMarket Analysis'!G:G)</f>
        <v>78.31</v>
      </c>
      <c r="J605" s="12">
        <f>_xlfn.XLOOKUP(Input_Table[[#This Row],[INVOICE ID]],'SuperMarket Analysis'!A:A,'SuperMarket Analysis'!N:N)</f>
        <v>234.93</v>
      </c>
      <c r="K605" s="12">
        <f>_xlfn.XLOOKUP(Input_Table[[#This Row],[INVOICE ID]],'SuperMarket Analysis'!A:A,'SuperMarket Analysis'!J:J)</f>
        <v>246.6765</v>
      </c>
      <c r="L605" s="6">
        <f>DAY(Input_Table[[#This Row],[DATE]])</f>
        <v>3</v>
      </c>
      <c r="M605" s="6" t="str">
        <f>TEXT(Input_Table[[#This Row],[DATE]],"mmmm")</f>
        <v>May</v>
      </c>
      <c r="N605" s="6">
        <f>YEAR(Input_Table[[#This Row],[DATE]])</f>
        <v>2019</v>
      </c>
    </row>
    <row r="606" spans="1:14" x14ac:dyDescent="0.3">
      <c r="A606" s="2">
        <f>_xlfn.XLOOKUP(B606,SuperMarket_Analysis[Invoice ID],SuperMarket_Analysis[Date])</f>
        <v>43527</v>
      </c>
      <c r="B606" s="6" t="s">
        <v>637</v>
      </c>
      <c r="C606" s="7">
        <f>_xlfn.XLOOKUP(B606,SuperMarket_Analysis[Invoice ID],SuperMarket_Analysis[Quantity])</f>
        <v>7</v>
      </c>
      <c r="D606" s="6" t="str">
        <f>_xlfn.XLOOKUP('Input data'!B606,'SuperMarket Analysis'!A:A,'SuperMarket Analysis'!F:F)</f>
        <v>Health and beauty</v>
      </c>
      <c r="E606" s="6" t="str">
        <f>_xlfn.XLOOKUP(B606,'SuperMarket Analysis'!A:A,'SuperMarket Analysis'!M:M)</f>
        <v>Credit card</v>
      </c>
      <c r="F606" s="6">
        <f>0.05*Input_Table[[#This Row],[TOTAL C.O.G.S]]</f>
        <v>10.1325</v>
      </c>
      <c r="G606" s="6" t="str">
        <f>_xlfn.XLOOKUP(Input_Table[[#This Row],[INVOICE ID]],'SuperMarket Analysis'!A:A,'SuperMarket Analysis'!B:B)</f>
        <v>Alex</v>
      </c>
      <c r="H606" s="6" t="str">
        <f>_xlfn.XLOOKUP(Input_Table[[#This Row],[INVOICE ID]],'SuperMarket Analysis'!A:A,'SuperMarket Analysis'!F:F)</f>
        <v>Health and beauty</v>
      </c>
      <c r="I606" s="12">
        <f>_xlfn.XLOOKUP(Input_Table[[#This Row],[INVOICE ID]],'SuperMarket Analysis'!A:A,'SuperMarket Analysis'!G:G)</f>
        <v>28.95</v>
      </c>
      <c r="J606" s="12">
        <f>_xlfn.XLOOKUP(Input_Table[[#This Row],[INVOICE ID]],'SuperMarket Analysis'!A:A,'SuperMarket Analysis'!N:N)</f>
        <v>202.65</v>
      </c>
      <c r="K606" s="12">
        <f>_xlfn.XLOOKUP(Input_Table[[#This Row],[INVOICE ID]],'SuperMarket Analysis'!A:A,'SuperMarket Analysis'!J:J)</f>
        <v>212.7825</v>
      </c>
      <c r="L606" s="6">
        <f>DAY(Input_Table[[#This Row],[DATE]])</f>
        <v>3</v>
      </c>
      <c r="M606" s="6" t="str">
        <f>TEXT(Input_Table[[#This Row],[DATE]],"mmmm")</f>
        <v>March</v>
      </c>
      <c r="N606" s="6">
        <f>YEAR(Input_Table[[#This Row],[DATE]])</f>
        <v>2019</v>
      </c>
    </row>
    <row r="607" spans="1:14" x14ac:dyDescent="0.3">
      <c r="A607" s="2">
        <f>_xlfn.XLOOKUP(B607,SuperMarket_Analysis[Invoice ID],SuperMarket_Analysis[Date])</f>
        <v>43680</v>
      </c>
      <c r="B607" s="6" t="s">
        <v>638</v>
      </c>
      <c r="C607" s="7">
        <f>_xlfn.XLOOKUP(B607,SuperMarket_Analysis[Invoice ID],SuperMarket_Analysis[Quantity])</f>
        <v>5</v>
      </c>
      <c r="D607" s="6" t="str">
        <f>_xlfn.XLOOKUP('Input data'!B607,'SuperMarket Analysis'!A:A,'SuperMarket Analysis'!F:F)</f>
        <v>Food and beverages</v>
      </c>
      <c r="E607" s="6" t="str">
        <f>_xlfn.XLOOKUP(B607,'SuperMarket Analysis'!A:A,'SuperMarket Analysis'!M:M)</f>
        <v>Cash</v>
      </c>
      <c r="F607" s="6">
        <f>0.05*Input_Table[[#This Row],[TOTAL C.O.G.S]]</f>
        <v>4.4075000000000006</v>
      </c>
      <c r="G607" s="6" t="str">
        <f>_xlfn.XLOOKUP(Input_Table[[#This Row],[INVOICE ID]],'SuperMarket Analysis'!A:A,'SuperMarket Analysis'!B:B)</f>
        <v>Cairo</v>
      </c>
      <c r="H607" s="6" t="str">
        <f>_xlfn.XLOOKUP(Input_Table[[#This Row],[INVOICE ID]],'SuperMarket Analysis'!A:A,'SuperMarket Analysis'!F:F)</f>
        <v>Food and beverages</v>
      </c>
      <c r="I607" s="12">
        <f>_xlfn.XLOOKUP(Input_Table[[#This Row],[INVOICE ID]],'SuperMarket Analysis'!A:A,'SuperMarket Analysis'!G:G)</f>
        <v>17.63</v>
      </c>
      <c r="J607" s="12">
        <f>_xlfn.XLOOKUP(Input_Table[[#This Row],[INVOICE ID]],'SuperMarket Analysis'!A:A,'SuperMarket Analysis'!N:N)</f>
        <v>88.15</v>
      </c>
      <c r="K607" s="12">
        <f>_xlfn.XLOOKUP(Input_Table[[#This Row],[INVOICE ID]],'SuperMarket Analysis'!A:A,'SuperMarket Analysis'!J:J)</f>
        <v>92.557500000000005</v>
      </c>
      <c r="L607" s="6">
        <f>DAY(Input_Table[[#This Row],[DATE]])</f>
        <v>3</v>
      </c>
      <c r="M607" s="6" t="str">
        <f>TEXT(Input_Table[[#This Row],[DATE]],"mmmm")</f>
        <v>August</v>
      </c>
      <c r="N607" s="6">
        <f>YEAR(Input_Table[[#This Row],[DATE]])</f>
        <v>2019</v>
      </c>
    </row>
    <row r="608" spans="1:14" x14ac:dyDescent="0.3">
      <c r="A608" s="2">
        <f>_xlfn.XLOOKUP(B608,SuperMarket_Analysis[Invoice ID],SuperMarket_Analysis[Date])</f>
        <v>43526</v>
      </c>
      <c r="B608" s="6" t="s">
        <v>639</v>
      </c>
      <c r="C608" s="7">
        <f>_xlfn.XLOOKUP(B608,SuperMarket_Analysis[Invoice ID],SuperMarket_Analysis[Quantity])</f>
        <v>10</v>
      </c>
      <c r="D608" s="6" t="str">
        <f>_xlfn.XLOOKUP('Input data'!B608,'SuperMarket Analysis'!A:A,'SuperMarket Analysis'!F:F)</f>
        <v>Home and lifestyle</v>
      </c>
      <c r="E608" s="6" t="str">
        <f>_xlfn.XLOOKUP(B608,'SuperMarket Analysis'!A:A,'SuperMarket Analysis'!M:M)</f>
        <v>Cash</v>
      </c>
      <c r="F608" s="6">
        <f>0.05*Input_Table[[#This Row],[TOTAL C.O.G.S]]</f>
        <v>36.39</v>
      </c>
      <c r="G608" s="6" t="str">
        <f>_xlfn.XLOOKUP(Input_Table[[#This Row],[INVOICE ID]],'SuperMarket Analysis'!A:A,'SuperMarket Analysis'!B:B)</f>
        <v>Alex</v>
      </c>
      <c r="H608" s="6" t="str">
        <f>_xlfn.XLOOKUP(Input_Table[[#This Row],[INVOICE ID]],'SuperMarket Analysis'!A:A,'SuperMarket Analysis'!F:F)</f>
        <v>Home and lifestyle</v>
      </c>
      <c r="I608" s="12">
        <f>_xlfn.XLOOKUP(Input_Table[[#This Row],[INVOICE ID]],'SuperMarket Analysis'!A:A,'SuperMarket Analysis'!G:G)</f>
        <v>72.78</v>
      </c>
      <c r="J608" s="12">
        <f>_xlfn.XLOOKUP(Input_Table[[#This Row],[INVOICE ID]],'SuperMarket Analysis'!A:A,'SuperMarket Analysis'!N:N)</f>
        <v>727.8</v>
      </c>
      <c r="K608" s="12">
        <f>_xlfn.XLOOKUP(Input_Table[[#This Row],[INVOICE ID]],'SuperMarket Analysis'!A:A,'SuperMarket Analysis'!J:J)</f>
        <v>764.19</v>
      </c>
      <c r="L608" s="6">
        <f>DAY(Input_Table[[#This Row],[DATE]])</f>
        <v>2</v>
      </c>
      <c r="M608" s="6" t="str">
        <f>TEXT(Input_Table[[#This Row],[DATE]],"mmmm")</f>
        <v>March</v>
      </c>
      <c r="N608" s="6">
        <f>YEAR(Input_Table[[#This Row],[DATE]])</f>
        <v>2019</v>
      </c>
    </row>
    <row r="609" spans="1:14" x14ac:dyDescent="0.3">
      <c r="A609" s="2">
        <f>_xlfn.XLOOKUP(B609,SuperMarket_Analysis[Invoice ID],SuperMarket_Analysis[Date])</f>
        <v>43619</v>
      </c>
      <c r="B609" s="6" t="s">
        <v>640</v>
      </c>
      <c r="C609" s="7">
        <f>_xlfn.XLOOKUP(B609,SuperMarket_Analysis[Invoice ID],SuperMarket_Analysis[Quantity])</f>
        <v>9</v>
      </c>
      <c r="D609" s="6" t="str">
        <f>_xlfn.XLOOKUP('Input data'!B609,'SuperMarket Analysis'!A:A,'SuperMarket Analysis'!F:F)</f>
        <v>Sports and travel</v>
      </c>
      <c r="E609" s="6" t="str">
        <f>_xlfn.XLOOKUP(B609,'SuperMarket Analysis'!A:A,'SuperMarket Analysis'!M:M)</f>
        <v>Ewallet</v>
      </c>
      <c r="F609" s="6">
        <f>0.05*Input_Table[[#This Row],[TOTAL C.O.G.S]]</f>
        <v>16.794</v>
      </c>
      <c r="G609" s="6" t="str">
        <f>_xlfn.XLOOKUP(Input_Table[[#This Row],[INVOICE ID]],'SuperMarket Analysis'!A:A,'SuperMarket Analysis'!B:B)</f>
        <v>Cairo</v>
      </c>
      <c r="H609" s="6" t="str">
        <f>_xlfn.XLOOKUP(Input_Table[[#This Row],[INVOICE ID]],'SuperMarket Analysis'!A:A,'SuperMarket Analysis'!F:F)</f>
        <v>Sports and travel</v>
      </c>
      <c r="I609" s="12">
        <f>_xlfn.XLOOKUP(Input_Table[[#This Row],[INVOICE ID]],'SuperMarket Analysis'!A:A,'SuperMarket Analysis'!G:G)</f>
        <v>37.32</v>
      </c>
      <c r="J609" s="12">
        <f>_xlfn.XLOOKUP(Input_Table[[#This Row],[INVOICE ID]],'SuperMarket Analysis'!A:A,'SuperMarket Analysis'!N:N)</f>
        <v>335.88</v>
      </c>
      <c r="K609" s="12">
        <f>_xlfn.XLOOKUP(Input_Table[[#This Row],[INVOICE ID]],'SuperMarket Analysis'!A:A,'SuperMarket Analysis'!J:J)</f>
        <v>352.67399999999998</v>
      </c>
      <c r="L609" s="6">
        <f>DAY(Input_Table[[#This Row],[DATE]])</f>
        <v>3</v>
      </c>
      <c r="M609" s="6" t="str">
        <f>TEXT(Input_Table[[#This Row],[DATE]],"mmmm")</f>
        <v>June</v>
      </c>
      <c r="N609" s="6">
        <f>YEAR(Input_Table[[#This Row],[DATE]])</f>
        <v>2019</v>
      </c>
    </row>
    <row r="610" spans="1:14" x14ac:dyDescent="0.3">
      <c r="A610" s="2">
        <f>_xlfn.XLOOKUP(B610,SuperMarket_Analysis[Invoice ID],SuperMarket_Analysis[Date])</f>
        <v>43526</v>
      </c>
      <c r="B610" s="6" t="s">
        <v>641</v>
      </c>
      <c r="C610" s="7">
        <f>_xlfn.XLOOKUP(B610,SuperMarket_Analysis[Invoice ID],SuperMarket_Analysis[Quantity])</f>
        <v>3</v>
      </c>
      <c r="D610" s="6" t="str">
        <f>_xlfn.XLOOKUP('Input data'!B610,'SuperMarket Analysis'!A:A,'SuperMarket Analysis'!F:F)</f>
        <v>Sports and travel</v>
      </c>
      <c r="E610" s="6" t="str">
        <f>_xlfn.XLOOKUP(B610,'SuperMarket Analysis'!A:A,'SuperMarket Analysis'!M:M)</f>
        <v>Cash</v>
      </c>
      <c r="F610" s="6">
        <f>0.05*Input_Table[[#This Row],[TOTAL C.O.G.S]]</f>
        <v>6.4455</v>
      </c>
      <c r="G610" s="6" t="str">
        <f>_xlfn.XLOOKUP(Input_Table[[#This Row],[INVOICE ID]],'SuperMarket Analysis'!A:A,'SuperMarket Analysis'!B:B)</f>
        <v>Cairo</v>
      </c>
      <c r="H610" s="6" t="str">
        <f>_xlfn.XLOOKUP(Input_Table[[#This Row],[INVOICE ID]],'SuperMarket Analysis'!A:A,'SuperMarket Analysis'!F:F)</f>
        <v>Sports and travel</v>
      </c>
      <c r="I610" s="12">
        <f>_xlfn.XLOOKUP(Input_Table[[#This Row],[INVOICE ID]],'SuperMarket Analysis'!A:A,'SuperMarket Analysis'!G:G)</f>
        <v>42.97</v>
      </c>
      <c r="J610" s="12">
        <f>_xlfn.XLOOKUP(Input_Table[[#This Row],[INVOICE ID]],'SuperMarket Analysis'!A:A,'SuperMarket Analysis'!N:N)</f>
        <v>128.91</v>
      </c>
      <c r="K610" s="12">
        <f>_xlfn.XLOOKUP(Input_Table[[#This Row],[INVOICE ID]],'SuperMarket Analysis'!A:A,'SuperMarket Analysis'!J:J)</f>
        <v>135.35550000000001</v>
      </c>
      <c r="L610" s="6">
        <f>DAY(Input_Table[[#This Row],[DATE]])</f>
        <v>2</v>
      </c>
      <c r="M610" s="6" t="str">
        <f>TEXT(Input_Table[[#This Row],[DATE]],"mmmm")</f>
        <v>March</v>
      </c>
      <c r="N610" s="6">
        <f>YEAR(Input_Table[[#This Row],[DATE]])</f>
        <v>2019</v>
      </c>
    </row>
    <row r="611" spans="1:14" x14ac:dyDescent="0.3">
      <c r="A611" s="2">
        <f>_xlfn.XLOOKUP(B611,SuperMarket_Analysis[Invoice ID],SuperMarket_Analysis[Date])</f>
        <v>43801</v>
      </c>
      <c r="B611" s="6" t="s">
        <v>642</v>
      </c>
      <c r="C611" s="7">
        <f>_xlfn.XLOOKUP(B611,SuperMarket_Analysis[Invoice ID],SuperMarket_Analysis[Quantity])</f>
        <v>10</v>
      </c>
      <c r="D611" s="6" t="str">
        <f>_xlfn.XLOOKUP('Input data'!B611,'SuperMarket Analysis'!A:A,'SuperMarket Analysis'!F:F)</f>
        <v>Food and beverages</v>
      </c>
      <c r="E611" s="6" t="str">
        <f>_xlfn.XLOOKUP(B611,'SuperMarket Analysis'!A:A,'SuperMarket Analysis'!M:M)</f>
        <v>Credit card</v>
      </c>
      <c r="F611" s="6">
        <f>0.05*Input_Table[[#This Row],[TOTAL C.O.G.S]]</f>
        <v>43.550000000000004</v>
      </c>
      <c r="G611" s="6" t="str">
        <f>_xlfn.XLOOKUP(Input_Table[[#This Row],[INVOICE ID]],'SuperMarket Analysis'!A:A,'SuperMarket Analysis'!B:B)</f>
        <v>Giza</v>
      </c>
      <c r="H611" s="6" t="str">
        <f>_xlfn.XLOOKUP(Input_Table[[#This Row],[INVOICE ID]],'SuperMarket Analysis'!A:A,'SuperMarket Analysis'!F:F)</f>
        <v>Food and beverages</v>
      </c>
      <c r="I611" s="12">
        <f>_xlfn.XLOOKUP(Input_Table[[#This Row],[INVOICE ID]],'SuperMarket Analysis'!A:A,'SuperMarket Analysis'!G:G)</f>
        <v>87.1</v>
      </c>
      <c r="J611" s="12">
        <f>_xlfn.XLOOKUP(Input_Table[[#This Row],[INVOICE ID]],'SuperMarket Analysis'!A:A,'SuperMarket Analysis'!N:N)</f>
        <v>871</v>
      </c>
      <c r="K611" s="12">
        <f>_xlfn.XLOOKUP(Input_Table[[#This Row],[INVOICE ID]],'SuperMarket Analysis'!A:A,'SuperMarket Analysis'!J:J)</f>
        <v>914.55</v>
      </c>
      <c r="L611" s="6">
        <f>DAY(Input_Table[[#This Row],[DATE]])</f>
        <v>2</v>
      </c>
      <c r="M611" s="6" t="str">
        <f>TEXT(Input_Table[[#This Row],[DATE]],"mmmm")</f>
        <v>December</v>
      </c>
      <c r="N611" s="6">
        <f>YEAR(Input_Table[[#This Row],[DATE]])</f>
        <v>2019</v>
      </c>
    </row>
    <row r="612" spans="1:14" x14ac:dyDescent="0.3">
      <c r="A612" s="2">
        <f>_xlfn.XLOOKUP(B612,SuperMarket_Analysis[Invoice ID],SuperMarket_Analysis[Date])</f>
        <v>43557</v>
      </c>
      <c r="B612" s="6" t="s">
        <v>643</v>
      </c>
      <c r="C612" s="7">
        <f>_xlfn.XLOOKUP(B612,SuperMarket_Analysis[Invoice ID],SuperMarket_Analysis[Quantity])</f>
        <v>4</v>
      </c>
      <c r="D612" s="6" t="str">
        <f>_xlfn.XLOOKUP('Input data'!B612,'SuperMarket Analysis'!A:A,'SuperMarket Analysis'!F:F)</f>
        <v>Fashion accessories</v>
      </c>
      <c r="E612" s="6" t="str">
        <f>_xlfn.XLOOKUP(B612,'SuperMarket Analysis'!A:A,'SuperMarket Analysis'!M:M)</f>
        <v>Ewallet</v>
      </c>
      <c r="F612" s="6">
        <f>0.05*Input_Table[[#This Row],[TOTAL C.O.G.S]]</f>
        <v>9.7260000000000009</v>
      </c>
      <c r="G612" s="6" t="str">
        <f>_xlfn.XLOOKUP(Input_Table[[#This Row],[INVOICE ID]],'SuperMarket Analysis'!A:A,'SuperMarket Analysis'!B:B)</f>
        <v>Alex</v>
      </c>
      <c r="H612" s="6" t="str">
        <f>_xlfn.XLOOKUP(Input_Table[[#This Row],[INVOICE ID]],'SuperMarket Analysis'!A:A,'SuperMarket Analysis'!F:F)</f>
        <v>Fashion accessories</v>
      </c>
      <c r="I612" s="12">
        <f>_xlfn.XLOOKUP(Input_Table[[#This Row],[INVOICE ID]],'SuperMarket Analysis'!A:A,'SuperMarket Analysis'!G:G)</f>
        <v>48.63</v>
      </c>
      <c r="J612" s="12">
        <f>_xlfn.XLOOKUP(Input_Table[[#This Row],[INVOICE ID]],'SuperMarket Analysis'!A:A,'SuperMarket Analysis'!N:N)</f>
        <v>194.52</v>
      </c>
      <c r="K612" s="12">
        <f>_xlfn.XLOOKUP(Input_Table[[#This Row],[INVOICE ID]],'SuperMarket Analysis'!A:A,'SuperMarket Analysis'!J:J)</f>
        <v>204.24600000000001</v>
      </c>
      <c r="L612" s="6">
        <f>DAY(Input_Table[[#This Row],[DATE]])</f>
        <v>2</v>
      </c>
      <c r="M612" s="6" t="str">
        <f>TEXT(Input_Table[[#This Row],[DATE]],"mmmm")</f>
        <v>April</v>
      </c>
      <c r="N612" s="6">
        <f>YEAR(Input_Table[[#This Row],[DATE]])</f>
        <v>2019</v>
      </c>
    </row>
    <row r="613" spans="1:14" x14ac:dyDescent="0.3">
      <c r="A613" s="2">
        <f>_xlfn.XLOOKUP(B613,SuperMarket_Analysis[Invoice ID],SuperMarket_Analysis[Date])</f>
        <v>43499</v>
      </c>
      <c r="B613" s="6" t="s">
        <v>644</v>
      </c>
      <c r="C613" s="7">
        <f>_xlfn.XLOOKUP(B613,SuperMarket_Analysis[Invoice ID],SuperMarket_Analysis[Quantity])</f>
        <v>3</v>
      </c>
      <c r="D613" s="6" t="str">
        <f>_xlfn.XLOOKUP('Input data'!B613,'SuperMarket Analysis'!A:A,'SuperMarket Analysis'!F:F)</f>
        <v>Health and beauty</v>
      </c>
      <c r="E613" s="6" t="str">
        <f>_xlfn.XLOOKUP(B613,'SuperMarket Analysis'!A:A,'SuperMarket Analysis'!M:M)</f>
        <v>Ewallet</v>
      </c>
      <c r="F613" s="6">
        <f>0.05*Input_Table[[#This Row],[TOTAL C.O.G.S]]</f>
        <v>11.0115</v>
      </c>
      <c r="G613" s="6" t="str">
        <f>_xlfn.XLOOKUP(Input_Table[[#This Row],[INVOICE ID]],'SuperMarket Analysis'!A:A,'SuperMarket Analysis'!B:B)</f>
        <v>Cairo</v>
      </c>
      <c r="H613" s="6" t="str">
        <f>_xlfn.XLOOKUP(Input_Table[[#This Row],[INVOICE ID]],'SuperMarket Analysis'!A:A,'SuperMarket Analysis'!F:F)</f>
        <v>Health and beauty</v>
      </c>
      <c r="I613" s="12">
        <f>_xlfn.XLOOKUP(Input_Table[[#This Row],[INVOICE ID]],'SuperMarket Analysis'!A:A,'SuperMarket Analysis'!G:G)</f>
        <v>73.41</v>
      </c>
      <c r="J613" s="12">
        <f>_xlfn.XLOOKUP(Input_Table[[#This Row],[INVOICE ID]],'SuperMarket Analysis'!A:A,'SuperMarket Analysis'!N:N)</f>
        <v>220.23</v>
      </c>
      <c r="K613" s="12">
        <f>_xlfn.XLOOKUP(Input_Table[[#This Row],[INVOICE ID]],'SuperMarket Analysis'!A:A,'SuperMarket Analysis'!J:J)</f>
        <v>231.2415</v>
      </c>
      <c r="L613" s="6">
        <f>DAY(Input_Table[[#This Row],[DATE]])</f>
        <v>3</v>
      </c>
      <c r="M613" s="6" t="str">
        <f>TEXT(Input_Table[[#This Row],[DATE]],"mmmm")</f>
        <v>February</v>
      </c>
      <c r="N613" s="6">
        <f>YEAR(Input_Table[[#This Row],[DATE]])</f>
        <v>2019</v>
      </c>
    </row>
    <row r="614" spans="1:14" x14ac:dyDescent="0.3">
      <c r="A614" s="2">
        <f>_xlfn.XLOOKUP(B614,SuperMarket_Analysis[Invoice ID],SuperMarket_Analysis[Date])</f>
        <v>43468</v>
      </c>
      <c r="B614" s="6" t="s">
        <v>645</v>
      </c>
      <c r="C614" s="7">
        <f>_xlfn.XLOOKUP(B614,SuperMarket_Analysis[Invoice ID],SuperMarket_Analysis[Quantity])</f>
        <v>10</v>
      </c>
      <c r="D614" s="6" t="str">
        <f>_xlfn.XLOOKUP('Input data'!B614,'SuperMarket Analysis'!A:A,'SuperMarket Analysis'!F:F)</f>
        <v>Electronic accessories</v>
      </c>
      <c r="E614" s="6" t="str">
        <f>_xlfn.XLOOKUP(B614,'SuperMarket Analysis'!A:A,'SuperMarket Analysis'!M:M)</f>
        <v>Credit card</v>
      </c>
      <c r="F614" s="6">
        <f>0.05*Input_Table[[#This Row],[TOTAL C.O.G.S]]</f>
        <v>22.740000000000002</v>
      </c>
      <c r="G614" s="6" t="str">
        <f>_xlfn.XLOOKUP(Input_Table[[#This Row],[INVOICE ID]],'SuperMarket Analysis'!A:A,'SuperMarket Analysis'!B:B)</f>
        <v>Alex</v>
      </c>
      <c r="H614" s="6" t="str">
        <f>_xlfn.XLOOKUP(Input_Table[[#This Row],[INVOICE ID]],'SuperMarket Analysis'!A:A,'SuperMarket Analysis'!F:F)</f>
        <v>Electronic accessories</v>
      </c>
      <c r="I614" s="12">
        <f>_xlfn.XLOOKUP(Input_Table[[#This Row],[INVOICE ID]],'SuperMarket Analysis'!A:A,'SuperMarket Analysis'!G:G)</f>
        <v>45.48</v>
      </c>
      <c r="J614" s="12">
        <f>_xlfn.XLOOKUP(Input_Table[[#This Row],[INVOICE ID]],'SuperMarket Analysis'!A:A,'SuperMarket Analysis'!N:N)</f>
        <v>454.8</v>
      </c>
      <c r="K614" s="12">
        <f>_xlfn.XLOOKUP(Input_Table[[#This Row],[INVOICE ID]],'SuperMarket Analysis'!A:A,'SuperMarket Analysis'!J:J)</f>
        <v>477.54</v>
      </c>
      <c r="L614" s="6">
        <f>DAY(Input_Table[[#This Row],[DATE]])</f>
        <v>3</v>
      </c>
      <c r="M614" s="6" t="str">
        <f>TEXT(Input_Table[[#This Row],[DATE]],"mmmm")</f>
        <v>January</v>
      </c>
      <c r="N614" s="6">
        <f>YEAR(Input_Table[[#This Row],[DATE]])</f>
        <v>2019</v>
      </c>
    </row>
    <row r="615" spans="1:14" x14ac:dyDescent="0.3">
      <c r="A615" s="2">
        <f>_xlfn.XLOOKUP(B615,SuperMarket_Analysis[Invoice ID],SuperMarket_Analysis[Date])</f>
        <v>43648</v>
      </c>
      <c r="B615" s="6" t="s">
        <v>646</v>
      </c>
      <c r="C615" s="7">
        <f>_xlfn.XLOOKUP(B615,SuperMarket_Analysis[Invoice ID],SuperMarket_Analysis[Quantity])</f>
        <v>10</v>
      </c>
      <c r="D615" s="6" t="str">
        <f>_xlfn.XLOOKUP('Input data'!B615,'SuperMarket Analysis'!A:A,'SuperMarket Analysis'!F:F)</f>
        <v>Health and beauty</v>
      </c>
      <c r="E615" s="6" t="str">
        <f>_xlfn.XLOOKUP(B615,'SuperMarket Analysis'!A:A,'SuperMarket Analysis'!M:M)</f>
        <v>Ewallet</v>
      </c>
      <c r="F615" s="6">
        <f>0.05*Input_Table[[#This Row],[TOTAL C.O.G.S]]</f>
        <v>29.475000000000001</v>
      </c>
      <c r="G615" s="6" t="str">
        <f>_xlfn.XLOOKUP(Input_Table[[#This Row],[INVOICE ID]],'SuperMarket Analysis'!A:A,'SuperMarket Analysis'!B:B)</f>
        <v>Giza</v>
      </c>
      <c r="H615" s="6" t="str">
        <f>_xlfn.XLOOKUP(Input_Table[[#This Row],[INVOICE ID]],'SuperMarket Analysis'!A:A,'SuperMarket Analysis'!F:F)</f>
        <v>Health and beauty</v>
      </c>
      <c r="I615" s="12">
        <f>_xlfn.XLOOKUP(Input_Table[[#This Row],[INVOICE ID]],'SuperMarket Analysis'!A:A,'SuperMarket Analysis'!G:G)</f>
        <v>58.95</v>
      </c>
      <c r="J615" s="12">
        <f>_xlfn.XLOOKUP(Input_Table[[#This Row],[INVOICE ID]],'SuperMarket Analysis'!A:A,'SuperMarket Analysis'!N:N)</f>
        <v>589.5</v>
      </c>
      <c r="K615" s="12">
        <f>_xlfn.XLOOKUP(Input_Table[[#This Row],[INVOICE ID]],'SuperMarket Analysis'!A:A,'SuperMarket Analysis'!J:J)</f>
        <v>618.97500000000002</v>
      </c>
      <c r="L615" s="6">
        <f>DAY(Input_Table[[#This Row],[DATE]])</f>
        <v>2</v>
      </c>
      <c r="M615" s="6" t="str">
        <f>TEXT(Input_Table[[#This Row],[DATE]],"mmmm")</f>
        <v>July</v>
      </c>
      <c r="N615" s="6">
        <f>YEAR(Input_Table[[#This Row],[DATE]])</f>
        <v>2019</v>
      </c>
    </row>
    <row r="616" spans="1:14" x14ac:dyDescent="0.3">
      <c r="A616" s="2">
        <f>_xlfn.XLOOKUP(B616,SuperMarket_Analysis[Invoice ID],SuperMarket_Analysis[Date])</f>
        <v>43770</v>
      </c>
      <c r="B616" s="6" t="s">
        <v>647</v>
      </c>
      <c r="C616" s="7">
        <f>_xlfn.XLOOKUP(B616,SuperMarket_Analysis[Invoice ID],SuperMarket_Analysis[Quantity])</f>
        <v>6</v>
      </c>
      <c r="D616" s="6" t="str">
        <f>_xlfn.XLOOKUP('Input data'!B616,'SuperMarket Analysis'!A:A,'SuperMarket Analysis'!F:F)</f>
        <v>Food and beverages</v>
      </c>
      <c r="E616" s="6" t="str">
        <f>_xlfn.XLOOKUP(B616,'SuperMarket Analysis'!A:A,'SuperMarket Analysis'!M:M)</f>
        <v>Ewallet</v>
      </c>
      <c r="F616" s="6">
        <f>0.05*Input_Table[[#This Row],[TOTAL C.O.G.S]]</f>
        <v>14.55</v>
      </c>
      <c r="G616" s="6" t="str">
        <f>_xlfn.XLOOKUP(Input_Table[[#This Row],[INVOICE ID]],'SuperMarket Analysis'!A:A,'SuperMarket Analysis'!B:B)</f>
        <v>Alex</v>
      </c>
      <c r="H616" s="6" t="str">
        <f>_xlfn.XLOOKUP(Input_Table[[#This Row],[INVOICE ID]],'SuperMarket Analysis'!A:A,'SuperMarket Analysis'!F:F)</f>
        <v>Food and beverages</v>
      </c>
      <c r="I616" s="12">
        <f>_xlfn.XLOOKUP(Input_Table[[#This Row],[INVOICE ID]],'SuperMarket Analysis'!A:A,'SuperMarket Analysis'!G:G)</f>
        <v>48.5</v>
      </c>
      <c r="J616" s="12">
        <f>_xlfn.XLOOKUP(Input_Table[[#This Row],[INVOICE ID]],'SuperMarket Analysis'!A:A,'SuperMarket Analysis'!N:N)</f>
        <v>291</v>
      </c>
      <c r="K616" s="12">
        <f>_xlfn.XLOOKUP(Input_Table[[#This Row],[INVOICE ID]],'SuperMarket Analysis'!A:A,'SuperMarket Analysis'!J:J)</f>
        <v>305.55</v>
      </c>
      <c r="L616" s="6">
        <f>DAY(Input_Table[[#This Row],[DATE]])</f>
        <v>1</v>
      </c>
      <c r="M616" s="6" t="str">
        <f>TEXT(Input_Table[[#This Row],[DATE]],"mmmm")</f>
        <v>November</v>
      </c>
      <c r="N616" s="6">
        <f>YEAR(Input_Table[[#This Row],[DATE]])</f>
        <v>2019</v>
      </c>
    </row>
    <row r="617" spans="1:14" x14ac:dyDescent="0.3">
      <c r="A617" s="2">
        <f>_xlfn.XLOOKUP(B617,SuperMarket_Analysis[Invoice ID],SuperMarket_Analysis[Date])</f>
        <v>43801</v>
      </c>
      <c r="B617" s="6" t="s">
        <v>648</v>
      </c>
      <c r="C617" s="7">
        <f>_xlfn.XLOOKUP(B617,SuperMarket_Analysis[Invoice ID],SuperMarket_Analysis[Quantity])</f>
        <v>1</v>
      </c>
      <c r="D617" s="6" t="str">
        <f>_xlfn.XLOOKUP('Input data'!B617,'SuperMarket Analysis'!A:A,'SuperMarket Analysis'!F:F)</f>
        <v>Electronic accessories</v>
      </c>
      <c r="E617" s="6" t="str">
        <f>_xlfn.XLOOKUP(B617,'SuperMarket Analysis'!A:A,'SuperMarket Analysis'!M:M)</f>
        <v>Cash</v>
      </c>
      <c r="F617" s="6">
        <f>0.05*Input_Table[[#This Row],[TOTAL C.O.G.S]]</f>
        <v>1.974</v>
      </c>
      <c r="G617" s="6" t="str">
        <f>_xlfn.XLOOKUP(Input_Table[[#This Row],[INVOICE ID]],'SuperMarket Analysis'!A:A,'SuperMarket Analysis'!B:B)</f>
        <v>Cairo</v>
      </c>
      <c r="H617" s="6" t="str">
        <f>_xlfn.XLOOKUP(Input_Table[[#This Row],[INVOICE ID]],'SuperMarket Analysis'!A:A,'SuperMarket Analysis'!F:F)</f>
        <v>Electronic accessories</v>
      </c>
      <c r="I617" s="12">
        <f>_xlfn.XLOOKUP(Input_Table[[#This Row],[INVOICE ID]],'SuperMarket Analysis'!A:A,'SuperMarket Analysis'!G:G)</f>
        <v>39.479999999999997</v>
      </c>
      <c r="J617" s="12">
        <f>_xlfn.XLOOKUP(Input_Table[[#This Row],[INVOICE ID]],'SuperMarket Analysis'!A:A,'SuperMarket Analysis'!N:N)</f>
        <v>39.479999999999997</v>
      </c>
      <c r="K617" s="12">
        <f>_xlfn.XLOOKUP(Input_Table[[#This Row],[INVOICE ID]],'SuperMarket Analysis'!A:A,'SuperMarket Analysis'!J:J)</f>
        <v>41.454000000000001</v>
      </c>
      <c r="L617" s="6">
        <f>DAY(Input_Table[[#This Row],[DATE]])</f>
        <v>2</v>
      </c>
      <c r="M617" s="6" t="str">
        <f>TEXT(Input_Table[[#This Row],[DATE]],"mmmm")</f>
        <v>December</v>
      </c>
      <c r="N617" s="6">
        <f>YEAR(Input_Table[[#This Row],[DATE]])</f>
        <v>2019</v>
      </c>
    </row>
    <row r="618" spans="1:14" x14ac:dyDescent="0.3">
      <c r="A618" s="2">
        <f>_xlfn.XLOOKUP(B618,SuperMarket_Analysis[Invoice ID],SuperMarket_Analysis[Date])</f>
        <v>43709</v>
      </c>
      <c r="B618" s="6" t="s">
        <v>649</v>
      </c>
      <c r="C618" s="7">
        <f>_xlfn.XLOOKUP(B618,SuperMarket_Analysis[Invoice ID],SuperMarket_Analysis[Quantity])</f>
        <v>6</v>
      </c>
      <c r="D618" s="6" t="str">
        <f>_xlfn.XLOOKUP('Input data'!B618,'SuperMarket Analysis'!A:A,'SuperMarket Analysis'!F:F)</f>
        <v>Fashion accessories</v>
      </c>
      <c r="E618" s="6" t="str">
        <f>_xlfn.XLOOKUP(B618,'SuperMarket Analysis'!A:A,'SuperMarket Analysis'!M:M)</f>
        <v>Ewallet</v>
      </c>
      <c r="F618" s="6">
        <f>0.05*Input_Table[[#This Row],[TOTAL C.O.G.S]]</f>
        <v>14.796000000000001</v>
      </c>
      <c r="G618" s="6" t="str">
        <f>_xlfn.XLOOKUP(Input_Table[[#This Row],[INVOICE ID]],'SuperMarket Analysis'!A:A,'SuperMarket Analysis'!B:B)</f>
        <v>Giza</v>
      </c>
      <c r="H618" s="6" t="str">
        <f>_xlfn.XLOOKUP(Input_Table[[#This Row],[INVOICE ID]],'SuperMarket Analysis'!A:A,'SuperMarket Analysis'!F:F)</f>
        <v>Fashion accessories</v>
      </c>
      <c r="I618" s="12">
        <f>_xlfn.XLOOKUP(Input_Table[[#This Row],[INVOICE ID]],'SuperMarket Analysis'!A:A,'SuperMarket Analysis'!G:G)</f>
        <v>49.32</v>
      </c>
      <c r="J618" s="12">
        <f>_xlfn.XLOOKUP(Input_Table[[#This Row],[INVOICE ID]],'SuperMarket Analysis'!A:A,'SuperMarket Analysis'!N:N)</f>
        <v>295.92</v>
      </c>
      <c r="K618" s="12">
        <f>_xlfn.XLOOKUP(Input_Table[[#This Row],[INVOICE ID]],'SuperMarket Analysis'!A:A,'SuperMarket Analysis'!J:J)</f>
        <v>310.71600000000001</v>
      </c>
      <c r="L618" s="6">
        <f>DAY(Input_Table[[#This Row],[DATE]])</f>
        <v>1</v>
      </c>
      <c r="M618" s="6" t="str">
        <f>TEXT(Input_Table[[#This Row],[DATE]],"mmmm")</f>
        <v>September</v>
      </c>
      <c r="N618" s="6">
        <f>YEAR(Input_Table[[#This Row],[DATE]])</f>
        <v>2019</v>
      </c>
    </row>
    <row r="619" spans="1:14" x14ac:dyDescent="0.3">
      <c r="A619" s="2">
        <f>_xlfn.XLOOKUP(B619,SuperMarket_Analysis[Invoice ID],SuperMarket_Analysis[Date])</f>
        <v>43678</v>
      </c>
      <c r="B619" s="6" t="s">
        <v>650</v>
      </c>
      <c r="C619" s="7">
        <f>_xlfn.XLOOKUP(B619,SuperMarket_Analysis[Invoice ID],SuperMarket_Analysis[Quantity])</f>
        <v>2</v>
      </c>
      <c r="D619" s="6" t="str">
        <f>_xlfn.XLOOKUP('Input data'!B619,'SuperMarket Analysis'!A:A,'SuperMarket Analysis'!F:F)</f>
        <v>Home and lifestyle</v>
      </c>
      <c r="E619" s="6" t="str">
        <f>_xlfn.XLOOKUP(B619,'SuperMarket Analysis'!A:A,'SuperMarket Analysis'!M:M)</f>
        <v>Credit card</v>
      </c>
      <c r="F619" s="6">
        <f>0.05*Input_Table[[#This Row],[TOTAL C.O.G.S]]</f>
        <v>4.91</v>
      </c>
      <c r="G619" s="6" t="str">
        <f>_xlfn.XLOOKUP(Input_Table[[#This Row],[INVOICE ID]],'SuperMarket Analysis'!A:A,'SuperMarket Analysis'!B:B)</f>
        <v>Cairo</v>
      </c>
      <c r="H619" s="6" t="str">
        <f>_xlfn.XLOOKUP(Input_Table[[#This Row],[INVOICE ID]],'SuperMarket Analysis'!A:A,'SuperMarket Analysis'!F:F)</f>
        <v>Home and lifestyle</v>
      </c>
      <c r="I619" s="12">
        <f>_xlfn.XLOOKUP(Input_Table[[#This Row],[INVOICE ID]],'SuperMarket Analysis'!A:A,'SuperMarket Analysis'!G:G)</f>
        <v>49.1</v>
      </c>
      <c r="J619" s="12">
        <f>_xlfn.XLOOKUP(Input_Table[[#This Row],[INVOICE ID]],'SuperMarket Analysis'!A:A,'SuperMarket Analysis'!N:N)</f>
        <v>98.2</v>
      </c>
      <c r="K619" s="12">
        <f>_xlfn.XLOOKUP(Input_Table[[#This Row],[INVOICE ID]],'SuperMarket Analysis'!A:A,'SuperMarket Analysis'!J:J)</f>
        <v>103.11</v>
      </c>
      <c r="L619" s="6">
        <f>DAY(Input_Table[[#This Row],[DATE]])</f>
        <v>1</v>
      </c>
      <c r="M619" s="6" t="str">
        <f>TEXT(Input_Table[[#This Row],[DATE]],"mmmm")</f>
        <v>August</v>
      </c>
      <c r="N619" s="6">
        <f>YEAR(Input_Table[[#This Row],[DATE]])</f>
        <v>2019</v>
      </c>
    </row>
    <row r="620" spans="1:14" x14ac:dyDescent="0.3">
      <c r="A620" s="2">
        <f>_xlfn.XLOOKUP(B620,SuperMarket_Analysis[Invoice ID],SuperMarket_Analysis[Date])</f>
        <v>43678</v>
      </c>
      <c r="B620" s="6" t="s">
        <v>651</v>
      </c>
      <c r="C620" s="7">
        <f>_xlfn.XLOOKUP(B620,SuperMarket_Analysis[Invoice ID],SuperMarket_Analysis[Quantity])</f>
        <v>2</v>
      </c>
      <c r="D620" s="6" t="str">
        <f>_xlfn.XLOOKUP('Input data'!B620,'SuperMarket Analysis'!A:A,'SuperMarket Analysis'!F:F)</f>
        <v>Sports and travel</v>
      </c>
      <c r="E620" s="6" t="str">
        <f>_xlfn.XLOOKUP(B620,'SuperMarket Analysis'!A:A,'SuperMarket Analysis'!M:M)</f>
        <v>Credit card</v>
      </c>
      <c r="F620" s="6">
        <f>0.05*Input_Table[[#This Row],[TOTAL C.O.G.S]]</f>
        <v>6.4830000000000005</v>
      </c>
      <c r="G620" s="6" t="str">
        <f>_xlfn.XLOOKUP(Input_Table[[#This Row],[INVOICE ID]],'SuperMarket Analysis'!A:A,'SuperMarket Analysis'!B:B)</f>
        <v>Cairo</v>
      </c>
      <c r="H620" s="6" t="str">
        <f>_xlfn.XLOOKUP(Input_Table[[#This Row],[INVOICE ID]],'SuperMarket Analysis'!A:A,'SuperMarket Analysis'!F:F)</f>
        <v>Sports and travel</v>
      </c>
      <c r="I620" s="12">
        <f>_xlfn.XLOOKUP(Input_Table[[#This Row],[INVOICE ID]],'SuperMarket Analysis'!A:A,'SuperMarket Analysis'!G:G)</f>
        <v>64.83</v>
      </c>
      <c r="J620" s="12">
        <f>_xlfn.XLOOKUP(Input_Table[[#This Row],[INVOICE ID]],'SuperMarket Analysis'!A:A,'SuperMarket Analysis'!N:N)</f>
        <v>129.66</v>
      </c>
      <c r="K620" s="12">
        <f>_xlfn.XLOOKUP(Input_Table[[#This Row],[INVOICE ID]],'SuperMarket Analysis'!A:A,'SuperMarket Analysis'!J:J)</f>
        <v>136.143</v>
      </c>
      <c r="L620" s="6">
        <f>DAY(Input_Table[[#This Row],[DATE]])</f>
        <v>1</v>
      </c>
      <c r="M620" s="6" t="str">
        <f>TEXT(Input_Table[[#This Row],[DATE]],"mmmm")</f>
        <v>August</v>
      </c>
      <c r="N620" s="6">
        <f>YEAR(Input_Table[[#This Row],[DATE]])</f>
        <v>2019</v>
      </c>
    </row>
    <row r="621" spans="1:14" x14ac:dyDescent="0.3">
      <c r="A621" s="2">
        <f>_xlfn.XLOOKUP(B621,SuperMarket_Analysis[Invoice ID],SuperMarket_Analysis[Date])</f>
        <v>43802</v>
      </c>
      <c r="B621" s="6" t="s">
        <v>652</v>
      </c>
      <c r="C621" s="7">
        <f>_xlfn.XLOOKUP(B621,SuperMarket_Analysis[Invoice ID],SuperMarket_Analysis[Quantity])</f>
        <v>7</v>
      </c>
      <c r="D621" s="6" t="str">
        <f>_xlfn.XLOOKUP('Input data'!B621,'SuperMarket Analysis'!A:A,'SuperMarket Analysis'!F:F)</f>
        <v>Food and beverages</v>
      </c>
      <c r="E621" s="6" t="str">
        <f>_xlfn.XLOOKUP(B621,'SuperMarket Analysis'!A:A,'SuperMarket Analysis'!M:M)</f>
        <v>Ewallet</v>
      </c>
      <c r="F621" s="6">
        <f>0.05*Input_Table[[#This Row],[TOTAL C.O.G.S]]</f>
        <v>19.263999999999999</v>
      </c>
      <c r="G621" s="6" t="str">
        <f>_xlfn.XLOOKUP(Input_Table[[#This Row],[INVOICE ID]],'SuperMarket Analysis'!A:A,'SuperMarket Analysis'!B:B)</f>
        <v>Giza</v>
      </c>
      <c r="H621" s="6" t="str">
        <f>_xlfn.XLOOKUP(Input_Table[[#This Row],[INVOICE ID]],'SuperMarket Analysis'!A:A,'SuperMarket Analysis'!F:F)</f>
        <v>Food and beverages</v>
      </c>
      <c r="I621" s="12">
        <f>_xlfn.XLOOKUP(Input_Table[[#This Row],[INVOICE ID]],'SuperMarket Analysis'!A:A,'SuperMarket Analysis'!G:G)</f>
        <v>55.04</v>
      </c>
      <c r="J621" s="12">
        <f>_xlfn.XLOOKUP(Input_Table[[#This Row],[INVOICE ID]],'SuperMarket Analysis'!A:A,'SuperMarket Analysis'!N:N)</f>
        <v>385.28</v>
      </c>
      <c r="K621" s="12">
        <f>_xlfn.XLOOKUP(Input_Table[[#This Row],[INVOICE ID]],'SuperMarket Analysis'!A:A,'SuperMarket Analysis'!J:J)</f>
        <v>404.54399999999998</v>
      </c>
      <c r="L621" s="6">
        <f>DAY(Input_Table[[#This Row],[DATE]])</f>
        <v>3</v>
      </c>
      <c r="M621" s="6" t="str">
        <f>TEXT(Input_Table[[#This Row],[DATE]],"mmmm")</f>
        <v>December</v>
      </c>
      <c r="N621" s="6">
        <f>YEAR(Input_Table[[#This Row],[DATE]])</f>
        <v>2019</v>
      </c>
    </row>
    <row r="622" spans="1:14" x14ac:dyDescent="0.3">
      <c r="A622" s="2">
        <f>_xlfn.XLOOKUP(B622,SuperMarket_Analysis[Invoice ID],SuperMarket_Analysis[Date])</f>
        <v>43558</v>
      </c>
      <c r="B622" s="6" t="s">
        <v>653</v>
      </c>
      <c r="C622" s="7">
        <f>_xlfn.XLOOKUP(B622,SuperMarket_Analysis[Invoice ID],SuperMarket_Analysis[Quantity])</f>
        <v>10</v>
      </c>
      <c r="D622" s="6" t="str">
        <f>_xlfn.XLOOKUP('Input data'!B622,'SuperMarket Analysis'!A:A,'SuperMarket Analysis'!F:F)</f>
        <v>Health and beauty</v>
      </c>
      <c r="E622" s="6" t="str">
        <f>_xlfn.XLOOKUP(B622,'SuperMarket Analysis'!A:A,'SuperMarket Analysis'!M:M)</f>
        <v>Cash</v>
      </c>
      <c r="F622" s="6">
        <f>0.05*Input_Table[[#This Row],[TOTAL C.O.G.S]]</f>
        <v>24.315000000000001</v>
      </c>
      <c r="G622" s="6" t="str">
        <f>_xlfn.XLOOKUP(Input_Table[[#This Row],[INVOICE ID]],'SuperMarket Analysis'!A:A,'SuperMarket Analysis'!B:B)</f>
        <v>Alex</v>
      </c>
      <c r="H622" s="6" t="str">
        <f>_xlfn.XLOOKUP(Input_Table[[#This Row],[INVOICE ID]],'SuperMarket Analysis'!A:A,'SuperMarket Analysis'!F:F)</f>
        <v>Health and beauty</v>
      </c>
      <c r="I622" s="12">
        <f>_xlfn.XLOOKUP(Input_Table[[#This Row],[INVOICE ID]],'SuperMarket Analysis'!A:A,'SuperMarket Analysis'!G:G)</f>
        <v>48.63</v>
      </c>
      <c r="J622" s="12">
        <f>_xlfn.XLOOKUP(Input_Table[[#This Row],[INVOICE ID]],'SuperMarket Analysis'!A:A,'SuperMarket Analysis'!N:N)</f>
        <v>486.3</v>
      </c>
      <c r="K622" s="12">
        <f>_xlfn.XLOOKUP(Input_Table[[#This Row],[INVOICE ID]],'SuperMarket Analysis'!A:A,'SuperMarket Analysis'!J:J)</f>
        <v>510.61500000000001</v>
      </c>
      <c r="L622" s="6">
        <f>DAY(Input_Table[[#This Row],[DATE]])</f>
        <v>3</v>
      </c>
      <c r="M622" s="6" t="str">
        <f>TEXT(Input_Table[[#This Row],[DATE]],"mmmm")</f>
        <v>April</v>
      </c>
      <c r="N622" s="6">
        <f>YEAR(Input_Table[[#This Row],[DATE]])</f>
        <v>2019</v>
      </c>
    </row>
    <row r="623" spans="1:14" x14ac:dyDescent="0.3">
      <c r="A623" s="2">
        <f>_xlfn.XLOOKUP(B623,SuperMarket_Analysis[Invoice ID],SuperMarket_Analysis[Date])</f>
        <v>43740</v>
      </c>
      <c r="B623" s="6" t="s">
        <v>654</v>
      </c>
      <c r="C623" s="7">
        <f>_xlfn.XLOOKUP(B623,SuperMarket_Analysis[Invoice ID],SuperMarket_Analysis[Quantity])</f>
        <v>7</v>
      </c>
      <c r="D623" s="6" t="str">
        <f>_xlfn.XLOOKUP('Input data'!B623,'SuperMarket Analysis'!A:A,'SuperMarket Analysis'!F:F)</f>
        <v>Fashion accessories</v>
      </c>
      <c r="E623" s="6" t="str">
        <f>_xlfn.XLOOKUP(B623,'SuperMarket Analysis'!A:A,'SuperMarket Analysis'!M:M)</f>
        <v>Cash</v>
      </c>
      <c r="F623" s="6">
        <f>0.05*Input_Table[[#This Row],[TOTAL C.O.G.S]]</f>
        <v>25.683</v>
      </c>
      <c r="G623" s="6" t="str">
        <f>_xlfn.XLOOKUP(Input_Table[[#This Row],[INVOICE ID]],'SuperMarket Analysis'!A:A,'SuperMarket Analysis'!B:B)</f>
        <v>Giza</v>
      </c>
      <c r="H623" s="6" t="str">
        <f>_xlfn.XLOOKUP(Input_Table[[#This Row],[INVOICE ID]],'SuperMarket Analysis'!A:A,'SuperMarket Analysis'!F:F)</f>
        <v>Fashion accessories</v>
      </c>
      <c r="I623" s="12">
        <f>_xlfn.XLOOKUP(Input_Table[[#This Row],[INVOICE ID]],'SuperMarket Analysis'!A:A,'SuperMarket Analysis'!G:G)</f>
        <v>73.38</v>
      </c>
      <c r="J623" s="12">
        <f>_xlfn.XLOOKUP(Input_Table[[#This Row],[INVOICE ID]],'SuperMarket Analysis'!A:A,'SuperMarket Analysis'!N:N)</f>
        <v>513.66</v>
      </c>
      <c r="K623" s="12">
        <f>_xlfn.XLOOKUP(Input_Table[[#This Row],[INVOICE ID]],'SuperMarket Analysis'!A:A,'SuperMarket Analysis'!J:J)</f>
        <v>539.34299999999996</v>
      </c>
      <c r="L623" s="6">
        <f>DAY(Input_Table[[#This Row],[DATE]])</f>
        <v>2</v>
      </c>
      <c r="M623" s="6" t="str">
        <f>TEXT(Input_Table[[#This Row],[DATE]],"mmmm")</f>
        <v>October</v>
      </c>
      <c r="N623" s="6">
        <f>YEAR(Input_Table[[#This Row],[DATE]])</f>
        <v>2019</v>
      </c>
    </row>
    <row r="624" spans="1:14" x14ac:dyDescent="0.3">
      <c r="A624" s="2">
        <f>_xlfn.XLOOKUP(B624,SuperMarket_Analysis[Invoice ID],SuperMarket_Analysis[Date])</f>
        <v>43466</v>
      </c>
      <c r="B624" s="6" t="s">
        <v>655</v>
      </c>
      <c r="C624" s="7">
        <f>_xlfn.XLOOKUP(B624,SuperMarket_Analysis[Invoice ID],SuperMarket_Analysis[Quantity])</f>
        <v>4</v>
      </c>
      <c r="D624" s="6" t="str">
        <f>_xlfn.XLOOKUP('Input data'!B624,'SuperMarket Analysis'!A:A,'SuperMarket Analysis'!F:F)</f>
        <v>Sports and travel</v>
      </c>
      <c r="E624" s="6" t="str">
        <f>_xlfn.XLOOKUP(B624,'SuperMarket Analysis'!A:A,'SuperMarket Analysis'!M:M)</f>
        <v>Ewallet</v>
      </c>
      <c r="F624" s="6">
        <f>0.05*Input_Table[[#This Row],[TOTAL C.O.G.S]]</f>
        <v>5.4080000000000004</v>
      </c>
      <c r="G624" s="6" t="str">
        <f>_xlfn.XLOOKUP(Input_Table[[#This Row],[INVOICE ID]],'SuperMarket Analysis'!A:A,'SuperMarket Analysis'!B:B)</f>
        <v>Alex</v>
      </c>
      <c r="H624" s="6" t="str">
        <f>_xlfn.XLOOKUP(Input_Table[[#This Row],[INVOICE ID]],'SuperMarket Analysis'!A:A,'SuperMarket Analysis'!F:F)</f>
        <v>Sports and travel</v>
      </c>
      <c r="I624" s="12">
        <f>_xlfn.XLOOKUP(Input_Table[[#This Row],[INVOICE ID]],'SuperMarket Analysis'!A:A,'SuperMarket Analysis'!G:G)</f>
        <v>27.04</v>
      </c>
      <c r="J624" s="12">
        <f>_xlfn.XLOOKUP(Input_Table[[#This Row],[INVOICE ID]],'SuperMarket Analysis'!A:A,'SuperMarket Analysis'!N:N)</f>
        <v>108.16</v>
      </c>
      <c r="K624" s="12">
        <f>_xlfn.XLOOKUP(Input_Table[[#This Row],[INVOICE ID]],'SuperMarket Analysis'!A:A,'SuperMarket Analysis'!J:J)</f>
        <v>113.568</v>
      </c>
      <c r="L624" s="6">
        <f>DAY(Input_Table[[#This Row],[DATE]])</f>
        <v>1</v>
      </c>
      <c r="M624" s="6" t="str">
        <f>TEXT(Input_Table[[#This Row],[DATE]],"mmmm")</f>
        <v>January</v>
      </c>
      <c r="N624" s="6">
        <f>YEAR(Input_Table[[#This Row],[DATE]])</f>
        <v>2019</v>
      </c>
    </row>
    <row r="625" spans="1:14" x14ac:dyDescent="0.3">
      <c r="A625" s="2">
        <f>_xlfn.XLOOKUP(B625,SuperMarket_Analysis[Invoice ID],SuperMarket_Analysis[Date])</f>
        <v>43617</v>
      </c>
      <c r="B625" s="6" t="s">
        <v>656</v>
      </c>
      <c r="C625" s="7">
        <f>_xlfn.XLOOKUP(B625,SuperMarket_Analysis[Invoice ID],SuperMarket_Analysis[Quantity])</f>
        <v>4</v>
      </c>
      <c r="D625" s="6" t="str">
        <f>_xlfn.XLOOKUP('Input data'!B625,'SuperMarket Analysis'!A:A,'SuperMarket Analysis'!F:F)</f>
        <v>Home and lifestyle</v>
      </c>
      <c r="E625" s="6" t="str">
        <f>_xlfn.XLOOKUP(B625,'SuperMarket Analysis'!A:A,'SuperMarket Analysis'!M:M)</f>
        <v>Ewallet</v>
      </c>
      <c r="F625" s="6">
        <f>0.05*Input_Table[[#This Row],[TOTAL C.O.G.S]]</f>
        <v>12.438000000000001</v>
      </c>
      <c r="G625" s="6" t="str">
        <f>_xlfn.XLOOKUP(Input_Table[[#This Row],[INVOICE ID]],'SuperMarket Analysis'!A:A,'SuperMarket Analysis'!B:B)</f>
        <v>Cairo</v>
      </c>
      <c r="H625" s="6" t="str">
        <f>_xlfn.XLOOKUP(Input_Table[[#This Row],[INVOICE ID]],'SuperMarket Analysis'!A:A,'SuperMarket Analysis'!F:F)</f>
        <v>Home and lifestyle</v>
      </c>
      <c r="I625" s="12">
        <f>_xlfn.XLOOKUP(Input_Table[[#This Row],[INVOICE ID]],'SuperMarket Analysis'!A:A,'SuperMarket Analysis'!G:G)</f>
        <v>62.19</v>
      </c>
      <c r="J625" s="12">
        <f>_xlfn.XLOOKUP(Input_Table[[#This Row],[INVOICE ID]],'SuperMarket Analysis'!A:A,'SuperMarket Analysis'!N:N)</f>
        <v>248.76</v>
      </c>
      <c r="K625" s="12">
        <f>_xlfn.XLOOKUP(Input_Table[[#This Row],[INVOICE ID]],'SuperMarket Analysis'!A:A,'SuperMarket Analysis'!J:J)</f>
        <v>261.19799999999998</v>
      </c>
      <c r="L625" s="6">
        <f>DAY(Input_Table[[#This Row],[DATE]])</f>
        <v>1</v>
      </c>
      <c r="M625" s="6" t="str">
        <f>TEXT(Input_Table[[#This Row],[DATE]],"mmmm")</f>
        <v>June</v>
      </c>
      <c r="N625" s="6">
        <f>YEAR(Input_Table[[#This Row],[DATE]])</f>
        <v>2019</v>
      </c>
    </row>
    <row r="626" spans="1:14" x14ac:dyDescent="0.3">
      <c r="A626" s="2">
        <f>_xlfn.XLOOKUP(B626,SuperMarket_Analysis[Invoice ID],SuperMarket_Analysis[Date])</f>
        <v>43800</v>
      </c>
      <c r="B626" s="6" t="s">
        <v>657</v>
      </c>
      <c r="C626" s="7">
        <f>_xlfn.XLOOKUP(B626,SuperMarket_Analysis[Invoice ID],SuperMarket_Analysis[Quantity])</f>
        <v>10</v>
      </c>
      <c r="D626" s="6" t="str">
        <f>_xlfn.XLOOKUP('Input data'!B626,'SuperMarket Analysis'!A:A,'SuperMarket Analysis'!F:F)</f>
        <v>Home and lifestyle</v>
      </c>
      <c r="E626" s="6" t="str">
        <f>_xlfn.XLOOKUP(B626,'SuperMarket Analysis'!A:A,'SuperMarket Analysis'!M:M)</f>
        <v>Ewallet</v>
      </c>
      <c r="F626" s="6">
        <f>0.05*Input_Table[[#This Row],[TOTAL C.O.G.S]]</f>
        <v>48.75</v>
      </c>
      <c r="G626" s="6" t="str">
        <f>_xlfn.XLOOKUP(Input_Table[[#This Row],[INVOICE ID]],'SuperMarket Analysis'!A:A,'SuperMarket Analysis'!B:B)</f>
        <v>Giza</v>
      </c>
      <c r="H626" s="6" t="str">
        <f>_xlfn.XLOOKUP(Input_Table[[#This Row],[INVOICE ID]],'SuperMarket Analysis'!A:A,'SuperMarket Analysis'!F:F)</f>
        <v>Home and lifestyle</v>
      </c>
      <c r="I626" s="12">
        <f>_xlfn.XLOOKUP(Input_Table[[#This Row],[INVOICE ID]],'SuperMarket Analysis'!A:A,'SuperMarket Analysis'!G:G)</f>
        <v>97.5</v>
      </c>
      <c r="J626" s="12">
        <f>_xlfn.XLOOKUP(Input_Table[[#This Row],[INVOICE ID]],'SuperMarket Analysis'!A:A,'SuperMarket Analysis'!N:N)</f>
        <v>975</v>
      </c>
      <c r="K626" s="12">
        <f>_xlfn.XLOOKUP(Input_Table[[#This Row],[INVOICE ID]],'SuperMarket Analysis'!A:A,'SuperMarket Analysis'!J:J)</f>
        <v>1023.75</v>
      </c>
      <c r="L626" s="6">
        <f>DAY(Input_Table[[#This Row],[DATE]])</f>
        <v>1</v>
      </c>
      <c r="M626" s="6" t="str">
        <f>TEXT(Input_Table[[#This Row],[DATE]],"mmmm")</f>
        <v>December</v>
      </c>
      <c r="N626" s="6">
        <f>YEAR(Input_Table[[#This Row],[DATE]])</f>
        <v>2019</v>
      </c>
    </row>
    <row r="627" spans="1:14" x14ac:dyDescent="0.3">
      <c r="A627" s="2">
        <f>_xlfn.XLOOKUP(B627,SuperMarket_Analysis[Invoice ID],SuperMarket_Analysis[Date])</f>
        <v>43648</v>
      </c>
      <c r="B627" s="6" t="s">
        <v>658</v>
      </c>
      <c r="C627" s="7">
        <f>_xlfn.XLOOKUP(B627,SuperMarket_Analysis[Invoice ID],SuperMarket_Analysis[Quantity])</f>
        <v>8</v>
      </c>
      <c r="D627" s="6" t="str">
        <f>_xlfn.XLOOKUP('Input data'!B627,'SuperMarket Analysis'!A:A,'SuperMarket Analysis'!F:F)</f>
        <v>Fashion accessories</v>
      </c>
      <c r="E627" s="6" t="str">
        <f>_xlfn.XLOOKUP(B627,'SuperMarket Analysis'!A:A,'SuperMarket Analysis'!M:M)</f>
        <v>Ewallet</v>
      </c>
      <c r="F627" s="6">
        <f>0.05*Input_Table[[#This Row],[TOTAL C.O.G.S]]</f>
        <v>24.164000000000001</v>
      </c>
      <c r="G627" s="6" t="str">
        <f>_xlfn.XLOOKUP(Input_Table[[#This Row],[INVOICE ID]],'SuperMarket Analysis'!A:A,'SuperMarket Analysis'!B:B)</f>
        <v>Giza</v>
      </c>
      <c r="H627" s="6" t="str">
        <f>_xlfn.XLOOKUP(Input_Table[[#This Row],[INVOICE ID]],'SuperMarket Analysis'!A:A,'SuperMarket Analysis'!F:F)</f>
        <v>Fashion accessories</v>
      </c>
      <c r="I627" s="12">
        <f>_xlfn.XLOOKUP(Input_Table[[#This Row],[INVOICE ID]],'SuperMarket Analysis'!A:A,'SuperMarket Analysis'!G:G)</f>
        <v>60.41</v>
      </c>
      <c r="J627" s="12">
        <f>_xlfn.XLOOKUP(Input_Table[[#This Row],[INVOICE ID]],'SuperMarket Analysis'!A:A,'SuperMarket Analysis'!N:N)</f>
        <v>483.28</v>
      </c>
      <c r="K627" s="12">
        <f>_xlfn.XLOOKUP(Input_Table[[#This Row],[INVOICE ID]],'SuperMarket Analysis'!A:A,'SuperMarket Analysis'!J:J)</f>
        <v>507.44400000000002</v>
      </c>
      <c r="L627" s="6">
        <f>DAY(Input_Table[[#This Row],[DATE]])</f>
        <v>2</v>
      </c>
      <c r="M627" s="6" t="str">
        <f>TEXT(Input_Table[[#This Row],[DATE]],"mmmm")</f>
        <v>July</v>
      </c>
      <c r="N627" s="6">
        <f>YEAR(Input_Table[[#This Row],[DATE]])</f>
        <v>2019</v>
      </c>
    </row>
    <row r="628" spans="1:14" x14ac:dyDescent="0.3">
      <c r="A628" s="2">
        <f>_xlfn.XLOOKUP(B628,SuperMarket_Analysis[Invoice ID],SuperMarket_Analysis[Date])</f>
        <v>43617</v>
      </c>
      <c r="B628" s="6" t="s">
        <v>659</v>
      </c>
      <c r="C628" s="7">
        <f>_xlfn.XLOOKUP(B628,SuperMarket_Analysis[Invoice ID],SuperMarket_Analysis[Quantity])</f>
        <v>9</v>
      </c>
      <c r="D628" s="6" t="str">
        <f>_xlfn.XLOOKUP('Input data'!B628,'SuperMarket Analysis'!A:A,'SuperMarket Analysis'!F:F)</f>
        <v>Health and beauty</v>
      </c>
      <c r="E628" s="6" t="str">
        <f>_xlfn.XLOOKUP(B628,'SuperMarket Analysis'!A:A,'SuperMarket Analysis'!M:M)</f>
        <v>Cash</v>
      </c>
      <c r="F628" s="6">
        <f>0.05*Input_Table[[#This Row],[TOTAL C.O.G.S]]</f>
        <v>36.211500000000001</v>
      </c>
      <c r="G628" s="6" t="str">
        <f>_xlfn.XLOOKUP(Input_Table[[#This Row],[INVOICE ID]],'SuperMarket Analysis'!A:A,'SuperMarket Analysis'!B:B)</f>
        <v>Cairo</v>
      </c>
      <c r="H628" s="6" t="str">
        <f>_xlfn.XLOOKUP(Input_Table[[#This Row],[INVOICE ID]],'SuperMarket Analysis'!A:A,'SuperMarket Analysis'!F:F)</f>
        <v>Health and beauty</v>
      </c>
      <c r="I628" s="12">
        <f>_xlfn.XLOOKUP(Input_Table[[#This Row],[INVOICE ID]],'SuperMarket Analysis'!A:A,'SuperMarket Analysis'!G:G)</f>
        <v>80.47</v>
      </c>
      <c r="J628" s="12">
        <f>_xlfn.XLOOKUP(Input_Table[[#This Row],[INVOICE ID]],'SuperMarket Analysis'!A:A,'SuperMarket Analysis'!N:N)</f>
        <v>724.23</v>
      </c>
      <c r="K628" s="12">
        <f>_xlfn.XLOOKUP(Input_Table[[#This Row],[INVOICE ID]],'SuperMarket Analysis'!A:A,'SuperMarket Analysis'!J:J)</f>
        <v>760.44150000000002</v>
      </c>
      <c r="L628" s="6">
        <f>DAY(Input_Table[[#This Row],[DATE]])</f>
        <v>1</v>
      </c>
      <c r="M628" s="6" t="str">
        <f>TEXT(Input_Table[[#This Row],[DATE]],"mmmm")</f>
        <v>June</v>
      </c>
      <c r="N628" s="6">
        <f>YEAR(Input_Table[[#This Row],[DATE]])</f>
        <v>2019</v>
      </c>
    </row>
    <row r="629" spans="1:14" x14ac:dyDescent="0.3">
      <c r="A629" s="2">
        <f>_xlfn.XLOOKUP(B629,SuperMarket_Analysis[Invoice ID],SuperMarket_Analysis[Date])</f>
        <v>43499</v>
      </c>
      <c r="B629" s="6" t="s">
        <v>660</v>
      </c>
      <c r="C629" s="7">
        <f>_xlfn.XLOOKUP(B629,SuperMarket_Analysis[Invoice ID],SuperMarket_Analysis[Quantity])</f>
        <v>9</v>
      </c>
      <c r="D629" s="6" t="str">
        <f>_xlfn.XLOOKUP('Input data'!B629,'SuperMarket Analysis'!A:A,'SuperMarket Analysis'!F:F)</f>
        <v>Home and lifestyle</v>
      </c>
      <c r="E629" s="6" t="str">
        <f>_xlfn.XLOOKUP(B629,'SuperMarket Analysis'!A:A,'SuperMarket Analysis'!M:M)</f>
        <v>Cash</v>
      </c>
      <c r="F629" s="6">
        <f>0.05*Input_Table[[#This Row],[TOTAL C.O.G.S]]</f>
        <v>39.775500000000001</v>
      </c>
      <c r="G629" s="6" t="str">
        <f>_xlfn.XLOOKUP(Input_Table[[#This Row],[INVOICE ID]],'SuperMarket Analysis'!A:A,'SuperMarket Analysis'!B:B)</f>
        <v>Cairo</v>
      </c>
      <c r="H629" s="6" t="str">
        <f>_xlfn.XLOOKUP(Input_Table[[#This Row],[INVOICE ID]],'SuperMarket Analysis'!A:A,'SuperMarket Analysis'!F:F)</f>
        <v>Home and lifestyle</v>
      </c>
      <c r="I629" s="12">
        <f>_xlfn.XLOOKUP(Input_Table[[#This Row],[INVOICE ID]],'SuperMarket Analysis'!A:A,'SuperMarket Analysis'!G:G)</f>
        <v>88.39</v>
      </c>
      <c r="J629" s="12">
        <f>_xlfn.XLOOKUP(Input_Table[[#This Row],[INVOICE ID]],'SuperMarket Analysis'!A:A,'SuperMarket Analysis'!N:N)</f>
        <v>795.51</v>
      </c>
      <c r="K629" s="12">
        <f>_xlfn.XLOOKUP(Input_Table[[#This Row],[INVOICE ID]],'SuperMarket Analysis'!A:A,'SuperMarket Analysis'!J:J)</f>
        <v>835.28549999999996</v>
      </c>
      <c r="L629" s="6">
        <f>DAY(Input_Table[[#This Row],[DATE]])</f>
        <v>3</v>
      </c>
      <c r="M629" s="6" t="str">
        <f>TEXT(Input_Table[[#This Row],[DATE]],"mmmm")</f>
        <v>February</v>
      </c>
      <c r="N629" s="6">
        <f>YEAR(Input_Table[[#This Row],[DATE]])</f>
        <v>2019</v>
      </c>
    </row>
    <row r="630" spans="1:14" x14ac:dyDescent="0.3">
      <c r="A630" s="2">
        <f>_xlfn.XLOOKUP(B630,SuperMarket_Analysis[Invoice ID],SuperMarket_Analysis[Date])</f>
        <v>43557</v>
      </c>
      <c r="B630" s="6" t="s">
        <v>661</v>
      </c>
      <c r="C630" s="7">
        <f>_xlfn.XLOOKUP(B630,SuperMarket_Analysis[Invoice ID],SuperMarket_Analysis[Quantity])</f>
        <v>9</v>
      </c>
      <c r="D630" s="6" t="str">
        <f>_xlfn.XLOOKUP('Input data'!B630,'SuperMarket Analysis'!A:A,'SuperMarket Analysis'!F:F)</f>
        <v>Health and beauty</v>
      </c>
      <c r="E630" s="6" t="str">
        <f>_xlfn.XLOOKUP(B630,'SuperMarket Analysis'!A:A,'SuperMarket Analysis'!M:M)</f>
        <v>Ewallet</v>
      </c>
      <c r="F630" s="6">
        <f>0.05*Input_Table[[#This Row],[TOTAL C.O.G.S]]</f>
        <v>6.2325000000000008</v>
      </c>
      <c r="G630" s="6" t="str">
        <f>_xlfn.XLOOKUP(Input_Table[[#This Row],[INVOICE ID]],'SuperMarket Analysis'!A:A,'SuperMarket Analysis'!B:B)</f>
        <v>Giza</v>
      </c>
      <c r="H630" s="6" t="str">
        <f>_xlfn.XLOOKUP(Input_Table[[#This Row],[INVOICE ID]],'SuperMarket Analysis'!A:A,'SuperMarket Analysis'!F:F)</f>
        <v>Health and beauty</v>
      </c>
      <c r="I630" s="12">
        <f>_xlfn.XLOOKUP(Input_Table[[#This Row],[INVOICE ID]],'SuperMarket Analysis'!A:A,'SuperMarket Analysis'!G:G)</f>
        <v>13.85</v>
      </c>
      <c r="J630" s="12">
        <f>_xlfn.XLOOKUP(Input_Table[[#This Row],[INVOICE ID]],'SuperMarket Analysis'!A:A,'SuperMarket Analysis'!N:N)</f>
        <v>124.65</v>
      </c>
      <c r="K630" s="12">
        <f>_xlfn.XLOOKUP(Input_Table[[#This Row],[INVOICE ID]],'SuperMarket Analysis'!A:A,'SuperMarket Analysis'!J:J)</f>
        <v>130.88249999999999</v>
      </c>
      <c r="L630" s="6">
        <f>DAY(Input_Table[[#This Row],[DATE]])</f>
        <v>2</v>
      </c>
      <c r="M630" s="6" t="str">
        <f>TEXT(Input_Table[[#This Row],[DATE]],"mmmm")</f>
        <v>April</v>
      </c>
      <c r="N630" s="6">
        <f>YEAR(Input_Table[[#This Row],[DATE]])</f>
        <v>2019</v>
      </c>
    </row>
    <row r="631" spans="1:14" x14ac:dyDescent="0.3">
      <c r="A631" s="2">
        <f>_xlfn.XLOOKUP(B631,SuperMarket_Analysis[Invoice ID],SuperMarket_Analysis[Date])</f>
        <v>43618</v>
      </c>
      <c r="B631" s="6" t="s">
        <v>662</v>
      </c>
      <c r="C631" s="7">
        <f>_xlfn.XLOOKUP(B631,SuperMarket_Analysis[Invoice ID],SuperMarket_Analysis[Quantity])</f>
        <v>5</v>
      </c>
      <c r="D631" s="6" t="str">
        <f>_xlfn.XLOOKUP('Input data'!B631,'SuperMarket Analysis'!A:A,'SuperMarket Analysis'!F:F)</f>
        <v>Health and beauty</v>
      </c>
      <c r="E631" s="6" t="str">
        <f>_xlfn.XLOOKUP(B631,'SuperMarket Analysis'!A:A,'SuperMarket Analysis'!M:M)</f>
        <v>Credit card</v>
      </c>
      <c r="F631" s="6">
        <f>0.05*Input_Table[[#This Row],[TOTAL C.O.G.S]]</f>
        <v>8.92</v>
      </c>
      <c r="G631" s="6" t="str">
        <f>_xlfn.XLOOKUP(Input_Table[[#This Row],[INVOICE ID]],'SuperMarket Analysis'!A:A,'SuperMarket Analysis'!B:B)</f>
        <v>Alex</v>
      </c>
      <c r="H631" s="6" t="str">
        <f>_xlfn.XLOOKUP(Input_Table[[#This Row],[INVOICE ID]],'SuperMarket Analysis'!A:A,'SuperMarket Analysis'!F:F)</f>
        <v>Health and beauty</v>
      </c>
      <c r="I631" s="12">
        <f>_xlfn.XLOOKUP(Input_Table[[#This Row],[INVOICE ID]],'SuperMarket Analysis'!A:A,'SuperMarket Analysis'!G:G)</f>
        <v>35.68</v>
      </c>
      <c r="J631" s="12">
        <f>_xlfn.XLOOKUP(Input_Table[[#This Row],[INVOICE ID]],'SuperMarket Analysis'!A:A,'SuperMarket Analysis'!N:N)</f>
        <v>178.4</v>
      </c>
      <c r="K631" s="12">
        <f>_xlfn.XLOOKUP(Input_Table[[#This Row],[INVOICE ID]],'SuperMarket Analysis'!A:A,'SuperMarket Analysis'!J:J)</f>
        <v>187.32</v>
      </c>
      <c r="L631" s="6">
        <f>DAY(Input_Table[[#This Row],[DATE]])</f>
        <v>2</v>
      </c>
      <c r="M631" s="6" t="str">
        <f>TEXT(Input_Table[[#This Row],[DATE]],"mmmm")</f>
        <v>June</v>
      </c>
      <c r="N631" s="6">
        <f>YEAR(Input_Table[[#This Row],[DATE]])</f>
        <v>2019</v>
      </c>
    </row>
    <row r="632" spans="1:14" x14ac:dyDescent="0.3">
      <c r="A632" s="2">
        <f>_xlfn.XLOOKUP(B632,SuperMarket_Analysis[Invoice ID],SuperMarket_Analysis[Date])</f>
        <v>43498</v>
      </c>
      <c r="B632" s="6" t="s">
        <v>663</v>
      </c>
      <c r="C632" s="7">
        <f>_xlfn.XLOOKUP(B632,SuperMarket_Analysis[Invoice ID],SuperMarket_Analysis[Quantity])</f>
        <v>7</v>
      </c>
      <c r="D632" s="6" t="str">
        <f>_xlfn.XLOOKUP('Input data'!B632,'SuperMarket Analysis'!A:A,'SuperMarket Analysis'!F:F)</f>
        <v>Fashion accessories</v>
      </c>
      <c r="E632" s="6" t="str">
        <f>_xlfn.XLOOKUP(B632,'SuperMarket Analysis'!A:A,'SuperMarket Analysis'!M:M)</f>
        <v>Cash</v>
      </c>
      <c r="F632" s="6">
        <f>0.05*Input_Table[[#This Row],[TOTAL C.O.G.S]]</f>
        <v>8.9459999999999997</v>
      </c>
      <c r="G632" s="6" t="str">
        <f>_xlfn.XLOOKUP(Input_Table[[#This Row],[INVOICE ID]],'SuperMarket Analysis'!A:A,'SuperMarket Analysis'!B:B)</f>
        <v>Cairo</v>
      </c>
      <c r="H632" s="6" t="str">
        <f>_xlfn.XLOOKUP(Input_Table[[#This Row],[INVOICE ID]],'SuperMarket Analysis'!A:A,'SuperMarket Analysis'!F:F)</f>
        <v>Fashion accessories</v>
      </c>
      <c r="I632" s="12">
        <f>_xlfn.XLOOKUP(Input_Table[[#This Row],[INVOICE ID]],'SuperMarket Analysis'!A:A,'SuperMarket Analysis'!G:G)</f>
        <v>25.56</v>
      </c>
      <c r="J632" s="12">
        <f>_xlfn.XLOOKUP(Input_Table[[#This Row],[INVOICE ID]],'SuperMarket Analysis'!A:A,'SuperMarket Analysis'!N:N)</f>
        <v>178.92</v>
      </c>
      <c r="K632" s="12">
        <f>_xlfn.XLOOKUP(Input_Table[[#This Row],[INVOICE ID]],'SuperMarket Analysis'!A:A,'SuperMarket Analysis'!J:J)</f>
        <v>187.86600000000001</v>
      </c>
      <c r="L632" s="6">
        <f>DAY(Input_Table[[#This Row],[DATE]])</f>
        <v>2</v>
      </c>
      <c r="M632" s="6" t="str">
        <f>TEXT(Input_Table[[#This Row],[DATE]],"mmmm")</f>
        <v>February</v>
      </c>
      <c r="N632" s="6">
        <f>YEAR(Input_Table[[#This Row],[DATE]])</f>
        <v>2019</v>
      </c>
    </row>
    <row r="633" spans="1:14" x14ac:dyDescent="0.3">
      <c r="A633" s="2">
        <f>_xlfn.XLOOKUP(B633,SuperMarket_Analysis[Invoice ID],SuperMarket_Analysis[Date])</f>
        <v>43770</v>
      </c>
      <c r="B633" s="6" t="s">
        <v>664</v>
      </c>
      <c r="C633" s="7">
        <f>_xlfn.XLOOKUP(B633,SuperMarket_Analysis[Invoice ID],SuperMarket_Analysis[Quantity])</f>
        <v>7</v>
      </c>
      <c r="D633" s="6" t="str">
        <f>_xlfn.XLOOKUP('Input data'!B633,'SuperMarket Analysis'!A:A,'SuperMarket Analysis'!F:F)</f>
        <v>Food and beverages</v>
      </c>
      <c r="E633" s="6" t="str">
        <f>_xlfn.XLOOKUP(B633,'SuperMarket Analysis'!A:A,'SuperMarket Analysis'!M:M)</f>
        <v>Cash</v>
      </c>
      <c r="F633" s="6">
        <f>0.05*Input_Table[[#This Row],[TOTAL C.O.G.S]]</f>
        <v>12.8695</v>
      </c>
      <c r="G633" s="6" t="str">
        <f>_xlfn.XLOOKUP(Input_Table[[#This Row],[INVOICE ID]],'SuperMarket Analysis'!A:A,'SuperMarket Analysis'!B:B)</f>
        <v>Giza</v>
      </c>
      <c r="H633" s="6" t="str">
        <f>_xlfn.XLOOKUP(Input_Table[[#This Row],[INVOICE ID]],'SuperMarket Analysis'!A:A,'SuperMarket Analysis'!F:F)</f>
        <v>Food and beverages</v>
      </c>
      <c r="I633" s="12">
        <f>_xlfn.XLOOKUP(Input_Table[[#This Row],[INVOICE ID]],'SuperMarket Analysis'!A:A,'SuperMarket Analysis'!G:G)</f>
        <v>36.770000000000003</v>
      </c>
      <c r="J633" s="12">
        <f>_xlfn.XLOOKUP(Input_Table[[#This Row],[INVOICE ID]],'SuperMarket Analysis'!A:A,'SuperMarket Analysis'!N:N)</f>
        <v>257.39</v>
      </c>
      <c r="K633" s="12">
        <f>_xlfn.XLOOKUP(Input_Table[[#This Row],[INVOICE ID]],'SuperMarket Analysis'!A:A,'SuperMarket Analysis'!J:J)</f>
        <v>270.2595</v>
      </c>
      <c r="L633" s="6">
        <f>DAY(Input_Table[[#This Row],[DATE]])</f>
        <v>1</v>
      </c>
      <c r="M633" s="6" t="str">
        <f>TEXT(Input_Table[[#This Row],[DATE]],"mmmm")</f>
        <v>November</v>
      </c>
      <c r="N633" s="6">
        <f>YEAR(Input_Table[[#This Row],[DATE]])</f>
        <v>2019</v>
      </c>
    </row>
    <row r="634" spans="1:14" x14ac:dyDescent="0.3">
      <c r="A634" s="2">
        <f>_xlfn.XLOOKUP(B634,SuperMarket_Analysis[Invoice ID],SuperMarket_Analysis[Date])</f>
        <v>43557</v>
      </c>
      <c r="B634" s="6" t="s">
        <v>665</v>
      </c>
      <c r="C634" s="7">
        <f>_xlfn.XLOOKUP(B634,SuperMarket_Analysis[Invoice ID],SuperMarket_Analysis[Quantity])</f>
        <v>4</v>
      </c>
      <c r="D634" s="6" t="str">
        <f>_xlfn.XLOOKUP('Input data'!B634,'SuperMarket Analysis'!A:A,'SuperMarket Analysis'!F:F)</f>
        <v>Food and beverages</v>
      </c>
      <c r="E634" s="6" t="str">
        <f>_xlfn.XLOOKUP(B634,'SuperMarket Analysis'!A:A,'SuperMarket Analysis'!M:M)</f>
        <v>Ewallet</v>
      </c>
      <c r="F634" s="6">
        <f>0.05*Input_Table[[#This Row],[TOTAL C.O.G.S]]</f>
        <v>4.6680000000000001</v>
      </c>
      <c r="G634" s="6" t="str">
        <f>_xlfn.XLOOKUP(Input_Table[[#This Row],[INVOICE ID]],'SuperMarket Analysis'!A:A,'SuperMarket Analysis'!B:B)</f>
        <v>Cairo</v>
      </c>
      <c r="H634" s="6" t="str">
        <f>_xlfn.XLOOKUP(Input_Table[[#This Row],[INVOICE ID]],'SuperMarket Analysis'!A:A,'SuperMarket Analysis'!F:F)</f>
        <v>Food and beverages</v>
      </c>
      <c r="I634" s="12">
        <f>_xlfn.XLOOKUP(Input_Table[[#This Row],[INVOICE ID]],'SuperMarket Analysis'!A:A,'SuperMarket Analysis'!G:G)</f>
        <v>23.34</v>
      </c>
      <c r="J634" s="12">
        <f>_xlfn.XLOOKUP(Input_Table[[#This Row],[INVOICE ID]],'SuperMarket Analysis'!A:A,'SuperMarket Analysis'!N:N)</f>
        <v>93.36</v>
      </c>
      <c r="K634" s="12">
        <f>_xlfn.XLOOKUP(Input_Table[[#This Row],[INVOICE ID]],'SuperMarket Analysis'!A:A,'SuperMarket Analysis'!J:J)</f>
        <v>98.028000000000006</v>
      </c>
      <c r="L634" s="6">
        <f>DAY(Input_Table[[#This Row],[DATE]])</f>
        <v>2</v>
      </c>
      <c r="M634" s="6" t="str">
        <f>TEXT(Input_Table[[#This Row],[DATE]],"mmmm")</f>
        <v>April</v>
      </c>
      <c r="N634" s="6">
        <f>YEAR(Input_Table[[#This Row],[DATE]])</f>
        <v>2019</v>
      </c>
    </row>
    <row r="635" spans="1:14" x14ac:dyDescent="0.3">
      <c r="A635" s="2">
        <f>_xlfn.XLOOKUP(B635,SuperMarket_Analysis[Invoice ID],SuperMarket_Analysis[Date])</f>
        <v>43618</v>
      </c>
      <c r="B635" s="6" t="s">
        <v>666</v>
      </c>
      <c r="C635" s="7">
        <f>_xlfn.XLOOKUP(B635,SuperMarket_Analysis[Invoice ID],SuperMarket_Analysis[Quantity])</f>
        <v>8</v>
      </c>
      <c r="D635" s="6" t="str">
        <f>_xlfn.XLOOKUP('Input data'!B635,'SuperMarket Analysis'!A:A,'SuperMarket Analysis'!F:F)</f>
        <v>Health and beauty</v>
      </c>
      <c r="E635" s="6" t="str">
        <f>_xlfn.XLOOKUP(B635,'SuperMarket Analysis'!A:A,'SuperMarket Analysis'!M:M)</f>
        <v>Cash</v>
      </c>
      <c r="F635" s="6">
        <f>0.05*Input_Table[[#This Row],[TOTAL C.O.G.S]]</f>
        <v>11.4</v>
      </c>
      <c r="G635" s="6" t="str">
        <f>_xlfn.XLOOKUP(Input_Table[[#This Row],[INVOICE ID]],'SuperMarket Analysis'!A:A,'SuperMarket Analysis'!B:B)</f>
        <v>Giza</v>
      </c>
      <c r="H635" s="6" t="str">
        <f>_xlfn.XLOOKUP(Input_Table[[#This Row],[INVOICE ID]],'SuperMarket Analysis'!A:A,'SuperMarket Analysis'!F:F)</f>
        <v>Health and beauty</v>
      </c>
      <c r="I635" s="12">
        <f>_xlfn.XLOOKUP(Input_Table[[#This Row],[INVOICE ID]],'SuperMarket Analysis'!A:A,'SuperMarket Analysis'!G:G)</f>
        <v>28.5</v>
      </c>
      <c r="J635" s="12">
        <f>_xlfn.XLOOKUP(Input_Table[[#This Row],[INVOICE ID]],'SuperMarket Analysis'!A:A,'SuperMarket Analysis'!N:N)</f>
        <v>228</v>
      </c>
      <c r="K635" s="12">
        <f>_xlfn.XLOOKUP(Input_Table[[#This Row],[INVOICE ID]],'SuperMarket Analysis'!A:A,'SuperMarket Analysis'!J:J)</f>
        <v>239.4</v>
      </c>
      <c r="L635" s="6">
        <f>DAY(Input_Table[[#This Row],[DATE]])</f>
        <v>2</v>
      </c>
      <c r="M635" s="6" t="str">
        <f>TEXT(Input_Table[[#This Row],[DATE]],"mmmm")</f>
        <v>June</v>
      </c>
      <c r="N635" s="6">
        <f>YEAR(Input_Table[[#This Row],[DATE]])</f>
        <v>2019</v>
      </c>
    </row>
    <row r="636" spans="1:14" x14ac:dyDescent="0.3">
      <c r="A636" s="2">
        <f>_xlfn.XLOOKUP(B636,SuperMarket_Analysis[Invoice ID],SuperMarket_Analysis[Date])</f>
        <v>43678</v>
      </c>
      <c r="B636" s="6" t="s">
        <v>667</v>
      </c>
      <c r="C636" s="7">
        <f>_xlfn.XLOOKUP(B636,SuperMarket_Analysis[Invoice ID],SuperMarket_Analysis[Quantity])</f>
        <v>3</v>
      </c>
      <c r="D636" s="6" t="str">
        <f>_xlfn.XLOOKUP('Input data'!B636,'SuperMarket Analysis'!A:A,'SuperMarket Analysis'!F:F)</f>
        <v>Home and lifestyle</v>
      </c>
      <c r="E636" s="6" t="str">
        <f>_xlfn.XLOOKUP(B636,'SuperMarket Analysis'!A:A,'SuperMarket Analysis'!M:M)</f>
        <v>Credit card</v>
      </c>
      <c r="F636" s="6">
        <f>0.05*Input_Table[[#This Row],[TOTAL C.O.G.S]]</f>
        <v>8.3355000000000015</v>
      </c>
      <c r="G636" s="6" t="str">
        <f>_xlfn.XLOOKUP(Input_Table[[#This Row],[INVOICE ID]],'SuperMarket Analysis'!A:A,'SuperMarket Analysis'!B:B)</f>
        <v>Giza</v>
      </c>
      <c r="H636" s="6" t="str">
        <f>_xlfn.XLOOKUP(Input_Table[[#This Row],[INVOICE ID]],'SuperMarket Analysis'!A:A,'SuperMarket Analysis'!F:F)</f>
        <v>Home and lifestyle</v>
      </c>
      <c r="I636" s="12">
        <f>_xlfn.XLOOKUP(Input_Table[[#This Row],[INVOICE ID]],'SuperMarket Analysis'!A:A,'SuperMarket Analysis'!G:G)</f>
        <v>55.57</v>
      </c>
      <c r="J636" s="12">
        <f>_xlfn.XLOOKUP(Input_Table[[#This Row],[INVOICE ID]],'SuperMarket Analysis'!A:A,'SuperMarket Analysis'!N:N)</f>
        <v>166.71</v>
      </c>
      <c r="K636" s="12">
        <f>_xlfn.XLOOKUP(Input_Table[[#This Row],[INVOICE ID]],'SuperMarket Analysis'!A:A,'SuperMarket Analysis'!J:J)</f>
        <v>175.0455</v>
      </c>
      <c r="L636" s="6">
        <f>DAY(Input_Table[[#This Row],[DATE]])</f>
        <v>1</v>
      </c>
      <c r="M636" s="6" t="str">
        <f>TEXT(Input_Table[[#This Row],[DATE]],"mmmm")</f>
        <v>August</v>
      </c>
      <c r="N636" s="6">
        <f>YEAR(Input_Table[[#This Row],[DATE]])</f>
        <v>2019</v>
      </c>
    </row>
    <row r="637" spans="1:14" x14ac:dyDescent="0.3">
      <c r="A637" s="2">
        <f>_xlfn.XLOOKUP(B637,SuperMarket_Analysis[Invoice ID],SuperMarket_Analysis[Date])</f>
        <v>43588</v>
      </c>
      <c r="B637" s="6" t="s">
        <v>668</v>
      </c>
      <c r="C637" s="7">
        <f>_xlfn.XLOOKUP(B637,SuperMarket_Analysis[Invoice ID],SuperMarket_Analysis[Quantity])</f>
        <v>10</v>
      </c>
      <c r="D637" s="6" t="str">
        <f>_xlfn.XLOOKUP('Input data'!B637,'SuperMarket Analysis'!A:A,'SuperMarket Analysis'!F:F)</f>
        <v>Sports and travel</v>
      </c>
      <c r="E637" s="6" t="str">
        <f>_xlfn.XLOOKUP(B637,'SuperMarket Analysis'!A:A,'SuperMarket Analysis'!M:M)</f>
        <v>Credit card</v>
      </c>
      <c r="F637" s="6">
        <f>0.05*Input_Table[[#This Row],[TOTAL C.O.G.S]]</f>
        <v>34.869999999999997</v>
      </c>
      <c r="G637" s="6" t="str">
        <f>_xlfn.XLOOKUP(Input_Table[[#This Row],[INVOICE ID]],'SuperMarket Analysis'!A:A,'SuperMarket Analysis'!B:B)</f>
        <v>Cairo</v>
      </c>
      <c r="H637" s="6" t="str">
        <f>_xlfn.XLOOKUP(Input_Table[[#This Row],[INVOICE ID]],'SuperMarket Analysis'!A:A,'SuperMarket Analysis'!F:F)</f>
        <v>Sports and travel</v>
      </c>
      <c r="I637" s="12">
        <f>_xlfn.XLOOKUP(Input_Table[[#This Row],[INVOICE ID]],'SuperMarket Analysis'!A:A,'SuperMarket Analysis'!G:G)</f>
        <v>69.739999999999995</v>
      </c>
      <c r="J637" s="12">
        <f>_xlfn.XLOOKUP(Input_Table[[#This Row],[INVOICE ID]],'SuperMarket Analysis'!A:A,'SuperMarket Analysis'!N:N)</f>
        <v>697.4</v>
      </c>
      <c r="K637" s="12">
        <f>_xlfn.XLOOKUP(Input_Table[[#This Row],[INVOICE ID]],'SuperMarket Analysis'!A:A,'SuperMarket Analysis'!J:J)</f>
        <v>732.27</v>
      </c>
      <c r="L637" s="6">
        <f>DAY(Input_Table[[#This Row],[DATE]])</f>
        <v>3</v>
      </c>
      <c r="M637" s="6" t="str">
        <f>TEXT(Input_Table[[#This Row],[DATE]],"mmmm")</f>
        <v>May</v>
      </c>
      <c r="N637" s="6">
        <f>YEAR(Input_Table[[#This Row],[DATE]])</f>
        <v>2019</v>
      </c>
    </row>
    <row r="638" spans="1:14" x14ac:dyDescent="0.3">
      <c r="A638" s="2">
        <f>_xlfn.XLOOKUP(B638,SuperMarket_Analysis[Invoice ID],SuperMarket_Analysis[Date])</f>
        <v>43711</v>
      </c>
      <c r="B638" s="6" t="s">
        <v>669</v>
      </c>
      <c r="C638" s="7">
        <f>_xlfn.XLOOKUP(B638,SuperMarket_Analysis[Invoice ID],SuperMarket_Analysis[Quantity])</f>
        <v>7</v>
      </c>
      <c r="D638" s="6" t="str">
        <f>_xlfn.XLOOKUP('Input data'!B638,'SuperMarket Analysis'!A:A,'SuperMarket Analysis'!F:F)</f>
        <v>Home and lifestyle</v>
      </c>
      <c r="E638" s="6" t="str">
        <f>_xlfn.XLOOKUP(B638,'SuperMarket Analysis'!A:A,'SuperMarket Analysis'!M:M)</f>
        <v>Cash</v>
      </c>
      <c r="F638" s="6">
        <f>0.05*Input_Table[[#This Row],[TOTAL C.O.G.S]]</f>
        <v>18.263000000000002</v>
      </c>
      <c r="G638" s="6" t="str">
        <f>_xlfn.XLOOKUP(Input_Table[[#This Row],[INVOICE ID]],'SuperMarket Analysis'!A:A,'SuperMarket Analysis'!B:B)</f>
        <v>Cairo</v>
      </c>
      <c r="H638" s="6" t="str">
        <f>_xlfn.XLOOKUP(Input_Table[[#This Row],[INVOICE ID]],'SuperMarket Analysis'!A:A,'SuperMarket Analysis'!F:F)</f>
        <v>Home and lifestyle</v>
      </c>
      <c r="I638" s="12">
        <f>_xlfn.XLOOKUP(Input_Table[[#This Row],[INVOICE ID]],'SuperMarket Analysis'!A:A,'SuperMarket Analysis'!G:G)</f>
        <v>52.18</v>
      </c>
      <c r="J638" s="12">
        <f>_xlfn.XLOOKUP(Input_Table[[#This Row],[INVOICE ID]],'SuperMarket Analysis'!A:A,'SuperMarket Analysis'!N:N)</f>
        <v>365.26</v>
      </c>
      <c r="K638" s="12">
        <f>_xlfn.XLOOKUP(Input_Table[[#This Row],[INVOICE ID]],'SuperMarket Analysis'!A:A,'SuperMarket Analysis'!J:J)</f>
        <v>383.52300000000002</v>
      </c>
      <c r="L638" s="6">
        <f>DAY(Input_Table[[#This Row],[DATE]])</f>
        <v>3</v>
      </c>
      <c r="M638" s="6" t="str">
        <f>TEXT(Input_Table[[#This Row],[DATE]],"mmmm")</f>
        <v>September</v>
      </c>
      <c r="N638" s="6">
        <f>YEAR(Input_Table[[#This Row],[DATE]])</f>
        <v>2019</v>
      </c>
    </row>
    <row r="639" spans="1:14" x14ac:dyDescent="0.3">
      <c r="A639" s="2">
        <f>_xlfn.XLOOKUP(B639,SuperMarket_Analysis[Invoice ID],SuperMarket_Analysis[Date])</f>
        <v>43468</v>
      </c>
      <c r="B639" s="6" t="s">
        <v>670</v>
      </c>
      <c r="C639" s="7">
        <f>_xlfn.XLOOKUP(B639,SuperMarket_Analysis[Invoice ID],SuperMarket_Analysis[Quantity])</f>
        <v>4</v>
      </c>
      <c r="D639" s="6" t="str">
        <f>_xlfn.XLOOKUP('Input data'!B639,'SuperMarket Analysis'!A:A,'SuperMarket Analysis'!F:F)</f>
        <v>Fashion accessories</v>
      </c>
      <c r="E639" s="6" t="str">
        <f>_xlfn.XLOOKUP(B639,'SuperMarket Analysis'!A:A,'SuperMarket Analysis'!M:M)</f>
        <v>Credit card</v>
      </c>
      <c r="F639" s="6">
        <f>0.05*Input_Table[[#This Row],[TOTAL C.O.G.S]]</f>
        <v>4.4640000000000004</v>
      </c>
      <c r="G639" s="6" t="str">
        <f>_xlfn.XLOOKUP(Input_Table[[#This Row],[INVOICE ID]],'SuperMarket Analysis'!A:A,'SuperMarket Analysis'!B:B)</f>
        <v>Alex</v>
      </c>
      <c r="H639" s="6" t="str">
        <f>_xlfn.XLOOKUP(Input_Table[[#This Row],[INVOICE ID]],'SuperMarket Analysis'!A:A,'SuperMarket Analysis'!F:F)</f>
        <v>Fashion accessories</v>
      </c>
      <c r="I639" s="12">
        <f>_xlfn.XLOOKUP(Input_Table[[#This Row],[INVOICE ID]],'SuperMarket Analysis'!A:A,'SuperMarket Analysis'!G:G)</f>
        <v>22.32</v>
      </c>
      <c r="J639" s="12">
        <f>_xlfn.XLOOKUP(Input_Table[[#This Row],[INVOICE ID]],'SuperMarket Analysis'!A:A,'SuperMarket Analysis'!N:N)</f>
        <v>89.28</v>
      </c>
      <c r="K639" s="12">
        <f>_xlfn.XLOOKUP(Input_Table[[#This Row],[INVOICE ID]],'SuperMarket Analysis'!A:A,'SuperMarket Analysis'!J:J)</f>
        <v>93.744</v>
      </c>
      <c r="L639" s="6">
        <f>DAY(Input_Table[[#This Row],[DATE]])</f>
        <v>3</v>
      </c>
      <c r="M639" s="6" t="str">
        <f>TEXT(Input_Table[[#This Row],[DATE]],"mmmm")</f>
        <v>January</v>
      </c>
      <c r="N639" s="6">
        <f>YEAR(Input_Table[[#This Row],[DATE]])</f>
        <v>2019</v>
      </c>
    </row>
    <row r="640" spans="1:14" x14ac:dyDescent="0.3">
      <c r="A640" s="2">
        <f>_xlfn.XLOOKUP(B640,SuperMarket_Analysis[Invoice ID],SuperMarket_Analysis[Date])</f>
        <v>43679</v>
      </c>
      <c r="B640" s="6" t="s">
        <v>671</v>
      </c>
      <c r="C640" s="7">
        <f>_xlfn.XLOOKUP(B640,SuperMarket_Analysis[Invoice ID],SuperMarket_Analysis[Quantity])</f>
        <v>1</v>
      </c>
      <c r="D640" s="6" t="str">
        <f>_xlfn.XLOOKUP('Input data'!B640,'SuperMarket Analysis'!A:A,'SuperMarket Analysis'!F:F)</f>
        <v>Fashion accessories</v>
      </c>
      <c r="E640" s="6" t="str">
        <f>_xlfn.XLOOKUP(B640,'SuperMarket Analysis'!A:A,'SuperMarket Analysis'!M:M)</f>
        <v>Ewallet</v>
      </c>
      <c r="F640" s="6">
        <f>0.05*Input_Table[[#This Row],[TOTAL C.O.G.S]]</f>
        <v>0.98499999999999999</v>
      </c>
      <c r="G640" s="6" t="str">
        <f>_xlfn.XLOOKUP(Input_Table[[#This Row],[INVOICE ID]],'SuperMarket Analysis'!A:A,'SuperMarket Analysis'!B:B)</f>
        <v>Alex</v>
      </c>
      <c r="H640" s="6" t="str">
        <f>_xlfn.XLOOKUP(Input_Table[[#This Row],[INVOICE ID]],'SuperMarket Analysis'!A:A,'SuperMarket Analysis'!F:F)</f>
        <v>Fashion accessories</v>
      </c>
      <c r="I640" s="12">
        <f>_xlfn.XLOOKUP(Input_Table[[#This Row],[INVOICE ID]],'SuperMarket Analysis'!A:A,'SuperMarket Analysis'!G:G)</f>
        <v>19.7</v>
      </c>
      <c r="J640" s="12">
        <f>_xlfn.XLOOKUP(Input_Table[[#This Row],[INVOICE ID]],'SuperMarket Analysis'!A:A,'SuperMarket Analysis'!N:N)</f>
        <v>19.7</v>
      </c>
      <c r="K640" s="12">
        <f>_xlfn.XLOOKUP(Input_Table[[#This Row],[INVOICE ID]],'SuperMarket Analysis'!A:A,'SuperMarket Analysis'!J:J)</f>
        <v>20.684999999999999</v>
      </c>
      <c r="L640" s="6">
        <f>DAY(Input_Table[[#This Row],[DATE]])</f>
        <v>2</v>
      </c>
      <c r="M640" s="6" t="str">
        <f>TEXT(Input_Table[[#This Row],[DATE]],"mmmm")</f>
        <v>August</v>
      </c>
      <c r="N640" s="6">
        <f>YEAR(Input_Table[[#This Row],[DATE]])</f>
        <v>2019</v>
      </c>
    </row>
    <row r="641" spans="1:14" x14ac:dyDescent="0.3">
      <c r="A641" s="2">
        <f>_xlfn.XLOOKUP(B641,SuperMarket_Analysis[Invoice ID],SuperMarket_Analysis[Date])</f>
        <v>43468</v>
      </c>
      <c r="B641" s="6" t="s">
        <v>672</v>
      </c>
      <c r="C641" s="7">
        <f>_xlfn.XLOOKUP(B641,SuperMarket_Analysis[Invoice ID],SuperMarket_Analysis[Quantity])</f>
        <v>1</v>
      </c>
      <c r="D641" s="6" t="str">
        <f>_xlfn.XLOOKUP('Input data'!B641,'SuperMarket Analysis'!A:A,'SuperMarket Analysis'!F:F)</f>
        <v>Food and beverages</v>
      </c>
      <c r="E641" s="6" t="str">
        <f>_xlfn.XLOOKUP(B641,'SuperMarket Analysis'!A:A,'SuperMarket Analysis'!M:M)</f>
        <v>Ewallet</v>
      </c>
      <c r="F641" s="6">
        <f>0.05*Input_Table[[#This Row],[TOTAL C.O.G.S]]</f>
        <v>2.6859999999999999</v>
      </c>
      <c r="G641" s="6" t="str">
        <f>_xlfn.XLOOKUP(Input_Table[[#This Row],[INVOICE ID]],'SuperMarket Analysis'!A:A,'SuperMarket Analysis'!B:B)</f>
        <v>Cairo</v>
      </c>
      <c r="H641" s="6" t="str">
        <f>_xlfn.XLOOKUP(Input_Table[[#This Row],[INVOICE ID]],'SuperMarket Analysis'!A:A,'SuperMarket Analysis'!F:F)</f>
        <v>Food and beverages</v>
      </c>
      <c r="I641" s="12">
        <f>_xlfn.XLOOKUP(Input_Table[[#This Row],[INVOICE ID]],'SuperMarket Analysis'!A:A,'SuperMarket Analysis'!G:G)</f>
        <v>53.72</v>
      </c>
      <c r="J641" s="12">
        <f>_xlfn.XLOOKUP(Input_Table[[#This Row],[INVOICE ID]],'SuperMarket Analysis'!A:A,'SuperMarket Analysis'!N:N)</f>
        <v>53.72</v>
      </c>
      <c r="K641" s="12">
        <f>_xlfn.XLOOKUP(Input_Table[[#This Row],[INVOICE ID]],'SuperMarket Analysis'!A:A,'SuperMarket Analysis'!J:J)</f>
        <v>56.405999999999999</v>
      </c>
      <c r="L641" s="6">
        <f>DAY(Input_Table[[#This Row],[DATE]])</f>
        <v>3</v>
      </c>
      <c r="M641" s="6" t="str">
        <f>TEXT(Input_Table[[#This Row],[DATE]],"mmmm")</f>
        <v>January</v>
      </c>
      <c r="N641" s="6">
        <f>YEAR(Input_Table[[#This Row],[DATE]])</f>
        <v>2019</v>
      </c>
    </row>
    <row r="642" spans="1:14" x14ac:dyDescent="0.3">
      <c r="A642" s="2">
        <f>_xlfn.XLOOKUP(B642,SuperMarket_Analysis[Invoice ID],SuperMarket_Analysis[Date])</f>
        <v>43741</v>
      </c>
      <c r="B642" s="6" t="s">
        <v>673</v>
      </c>
      <c r="C642" s="7">
        <f>_xlfn.XLOOKUP(B642,SuperMarket_Analysis[Invoice ID],SuperMarket_Analysis[Quantity])</f>
        <v>10</v>
      </c>
      <c r="D642" s="6" t="str">
        <f>_xlfn.XLOOKUP('Input data'!B642,'SuperMarket Analysis'!A:A,'SuperMarket Analysis'!F:F)</f>
        <v>Health and beauty</v>
      </c>
      <c r="E642" s="6" t="str">
        <f>_xlfn.XLOOKUP(B642,'SuperMarket Analysis'!A:A,'SuperMarket Analysis'!M:M)</f>
        <v>Credit card</v>
      </c>
      <c r="F642" s="6">
        <f>0.05*Input_Table[[#This Row],[TOTAL C.O.G.S]]</f>
        <v>40.975000000000001</v>
      </c>
      <c r="G642" s="6" t="str">
        <f>_xlfn.XLOOKUP(Input_Table[[#This Row],[INVOICE ID]],'SuperMarket Analysis'!A:A,'SuperMarket Analysis'!B:B)</f>
        <v>Giza</v>
      </c>
      <c r="H642" s="6" t="str">
        <f>_xlfn.XLOOKUP(Input_Table[[#This Row],[INVOICE ID]],'SuperMarket Analysis'!A:A,'SuperMarket Analysis'!F:F)</f>
        <v>Health and beauty</v>
      </c>
      <c r="I642" s="12">
        <f>_xlfn.XLOOKUP(Input_Table[[#This Row],[INVOICE ID]],'SuperMarket Analysis'!A:A,'SuperMarket Analysis'!G:G)</f>
        <v>81.95</v>
      </c>
      <c r="J642" s="12">
        <f>_xlfn.XLOOKUP(Input_Table[[#This Row],[INVOICE ID]],'SuperMarket Analysis'!A:A,'SuperMarket Analysis'!N:N)</f>
        <v>819.5</v>
      </c>
      <c r="K642" s="12">
        <f>_xlfn.XLOOKUP(Input_Table[[#This Row],[INVOICE ID]],'SuperMarket Analysis'!A:A,'SuperMarket Analysis'!J:J)</f>
        <v>860.47500000000002</v>
      </c>
      <c r="L642" s="6">
        <f>DAY(Input_Table[[#This Row],[DATE]])</f>
        <v>3</v>
      </c>
      <c r="M642" s="6" t="str">
        <f>TEXT(Input_Table[[#This Row],[DATE]],"mmmm")</f>
        <v>October</v>
      </c>
      <c r="N642" s="6">
        <f>YEAR(Input_Table[[#This Row],[DATE]])</f>
        <v>2019</v>
      </c>
    </row>
    <row r="643" spans="1:14" x14ac:dyDescent="0.3">
      <c r="A643" s="2">
        <f>_xlfn.XLOOKUP(B643,SuperMarket_Analysis[Invoice ID],SuperMarket_Analysis[Date])</f>
        <v>43800</v>
      </c>
      <c r="B643" s="6" t="s">
        <v>674</v>
      </c>
      <c r="C643" s="7">
        <f>_xlfn.XLOOKUP(B643,SuperMarket_Analysis[Invoice ID],SuperMarket_Analysis[Quantity])</f>
        <v>8</v>
      </c>
      <c r="D643" s="6" t="str">
        <f>_xlfn.XLOOKUP('Input data'!B643,'SuperMarket Analysis'!A:A,'SuperMarket Analysis'!F:F)</f>
        <v>Electronic accessories</v>
      </c>
      <c r="E643" s="6" t="str">
        <f>_xlfn.XLOOKUP(B643,'SuperMarket Analysis'!A:A,'SuperMarket Analysis'!M:M)</f>
        <v>Ewallet</v>
      </c>
      <c r="F643" s="6">
        <f>0.05*Input_Table[[#This Row],[TOTAL C.O.G.S]]</f>
        <v>36.624000000000002</v>
      </c>
      <c r="G643" s="6" t="str">
        <f>_xlfn.XLOOKUP(Input_Table[[#This Row],[INVOICE ID]],'SuperMarket Analysis'!A:A,'SuperMarket Analysis'!B:B)</f>
        <v>Cairo</v>
      </c>
      <c r="H643" s="6" t="str">
        <f>_xlfn.XLOOKUP(Input_Table[[#This Row],[INVOICE ID]],'SuperMarket Analysis'!A:A,'SuperMarket Analysis'!F:F)</f>
        <v>Electronic accessories</v>
      </c>
      <c r="I643" s="12">
        <f>_xlfn.XLOOKUP(Input_Table[[#This Row],[INVOICE ID]],'SuperMarket Analysis'!A:A,'SuperMarket Analysis'!G:G)</f>
        <v>91.56</v>
      </c>
      <c r="J643" s="12">
        <f>_xlfn.XLOOKUP(Input_Table[[#This Row],[INVOICE ID]],'SuperMarket Analysis'!A:A,'SuperMarket Analysis'!N:N)</f>
        <v>732.48</v>
      </c>
      <c r="K643" s="12">
        <f>_xlfn.XLOOKUP(Input_Table[[#This Row],[INVOICE ID]],'SuperMarket Analysis'!A:A,'SuperMarket Analysis'!J:J)</f>
        <v>769.10400000000004</v>
      </c>
      <c r="L643" s="6">
        <f>DAY(Input_Table[[#This Row],[DATE]])</f>
        <v>1</v>
      </c>
      <c r="M643" s="6" t="str">
        <f>TEXT(Input_Table[[#This Row],[DATE]],"mmmm")</f>
        <v>December</v>
      </c>
      <c r="N643" s="6">
        <f>YEAR(Input_Table[[#This Row],[DATE]])</f>
        <v>2019</v>
      </c>
    </row>
    <row r="644" spans="1:14" x14ac:dyDescent="0.3">
      <c r="A644" s="2">
        <f>_xlfn.XLOOKUP(B644,SuperMarket_Analysis[Invoice ID],SuperMarket_Analysis[Date])</f>
        <v>43801</v>
      </c>
      <c r="B644" s="6" t="s">
        <v>675</v>
      </c>
      <c r="C644" s="7">
        <f>_xlfn.XLOOKUP(B644,SuperMarket_Analysis[Invoice ID],SuperMarket_Analysis[Quantity])</f>
        <v>2</v>
      </c>
      <c r="D644" s="6" t="str">
        <f>_xlfn.XLOOKUP('Input data'!B644,'SuperMarket Analysis'!A:A,'SuperMarket Analysis'!F:F)</f>
        <v>Sports and travel</v>
      </c>
      <c r="E644" s="6" t="str">
        <f>_xlfn.XLOOKUP(B644,'SuperMarket Analysis'!A:A,'SuperMarket Analysis'!M:M)</f>
        <v>Ewallet</v>
      </c>
      <c r="F644" s="6">
        <f>0.05*Input_Table[[#This Row],[TOTAL C.O.G.S]]</f>
        <v>7.1630000000000003</v>
      </c>
      <c r="G644" s="6" t="str">
        <f>_xlfn.XLOOKUP(Input_Table[[#This Row],[INVOICE ID]],'SuperMarket Analysis'!A:A,'SuperMarket Analysis'!B:B)</f>
        <v>Alex</v>
      </c>
      <c r="H644" s="6" t="str">
        <f>_xlfn.XLOOKUP(Input_Table[[#This Row],[INVOICE ID]],'SuperMarket Analysis'!A:A,'SuperMarket Analysis'!F:F)</f>
        <v>Sports and travel</v>
      </c>
      <c r="I644" s="12">
        <f>_xlfn.XLOOKUP(Input_Table[[#This Row],[INVOICE ID]],'SuperMarket Analysis'!A:A,'SuperMarket Analysis'!G:G)</f>
        <v>71.63</v>
      </c>
      <c r="J644" s="12">
        <f>_xlfn.XLOOKUP(Input_Table[[#This Row],[INVOICE ID]],'SuperMarket Analysis'!A:A,'SuperMarket Analysis'!N:N)</f>
        <v>143.26</v>
      </c>
      <c r="K644" s="12">
        <f>_xlfn.XLOOKUP(Input_Table[[#This Row],[INVOICE ID]],'SuperMarket Analysis'!A:A,'SuperMarket Analysis'!J:J)</f>
        <v>150.423</v>
      </c>
      <c r="L644" s="6">
        <f>DAY(Input_Table[[#This Row],[DATE]])</f>
        <v>2</v>
      </c>
      <c r="M644" s="6" t="str">
        <f>TEXT(Input_Table[[#This Row],[DATE]],"mmmm")</f>
        <v>December</v>
      </c>
      <c r="N644" s="6">
        <f>YEAR(Input_Table[[#This Row],[DATE]])</f>
        <v>2019</v>
      </c>
    </row>
    <row r="645" spans="1:14" x14ac:dyDescent="0.3">
      <c r="A645" s="2">
        <f>_xlfn.XLOOKUP(B645,SuperMarket_Analysis[Invoice ID],SuperMarket_Analysis[Date])</f>
        <v>43497</v>
      </c>
      <c r="B645" s="6" t="s">
        <v>676</v>
      </c>
      <c r="C645" s="7">
        <f>_xlfn.XLOOKUP(B645,SuperMarket_Analysis[Invoice ID],SuperMarket_Analysis[Quantity])</f>
        <v>8</v>
      </c>
      <c r="D645" s="6" t="str">
        <f>_xlfn.XLOOKUP('Input data'!B645,'SuperMarket Analysis'!A:A,'SuperMarket Analysis'!F:F)</f>
        <v>Sports and travel</v>
      </c>
      <c r="E645" s="6" t="str">
        <f>_xlfn.XLOOKUP(B645,'SuperMarket Analysis'!A:A,'SuperMarket Analysis'!M:M)</f>
        <v>Credit card</v>
      </c>
      <c r="F645" s="6">
        <f>0.05*Input_Table[[#This Row],[TOTAL C.O.G.S]]</f>
        <v>12.668000000000001</v>
      </c>
      <c r="G645" s="6" t="str">
        <f>_xlfn.XLOOKUP(Input_Table[[#This Row],[INVOICE ID]],'SuperMarket Analysis'!A:A,'SuperMarket Analysis'!B:B)</f>
        <v>Giza</v>
      </c>
      <c r="H645" s="6" t="str">
        <f>_xlfn.XLOOKUP(Input_Table[[#This Row],[INVOICE ID]],'SuperMarket Analysis'!A:A,'SuperMarket Analysis'!F:F)</f>
        <v>Sports and travel</v>
      </c>
      <c r="I645" s="12">
        <f>_xlfn.XLOOKUP(Input_Table[[#This Row],[INVOICE ID]],'SuperMarket Analysis'!A:A,'SuperMarket Analysis'!G:G)</f>
        <v>31.67</v>
      </c>
      <c r="J645" s="12">
        <f>_xlfn.XLOOKUP(Input_Table[[#This Row],[INVOICE ID]],'SuperMarket Analysis'!A:A,'SuperMarket Analysis'!N:N)</f>
        <v>253.36</v>
      </c>
      <c r="K645" s="12">
        <f>_xlfn.XLOOKUP(Input_Table[[#This Row],[INVOICE ID]],'SuperMarket Analysis'!A:A,'SuperMarket Analysis'!J:J)</f>
        <v>266.02800000000002</v>
      </c>
      <c r="L645" s="6">
        <f>DAY(Input_Table[[#This Row],[DATE]])</f>
        <v>1</v>
      </c>
      <c r="M645" s="6" t="str">
        <f>TEXT(Input_Table[[#This Row],[DATE]],"mmmm")</f>
        <v>February</v>
      </c>
      <c r="N645" s="6">
        <f>YEAR(Input_Table[[#This Row],[DATE]])</f>
        <v>2019</v>
      </c>
    </row>
    <row r="646" spans="1:14" x14ac:dyDescent="0.3">
      <c r="A646" s="2">
        <f>_xlfn.XLOOKUP(B646,SuperMarket_Analysis[Invoice ID],SuperMarket_Analysis[Date])</f>
        <v>43498</v>
      </c>
      <c r="B646" s="6" t="s">
        <v>677</v>
      </c>
      <c r="C646" s="7">
        <f>_xlfn.XLOOKUP(B646,SuperMarket_Analysis[Invoice ID],SuperMarket_Analysis[Quantity])</f>
        <v>1</v>
      </c>
      <c r="D646" s="6" t="str">
        <f>_xlfn.XLOOKUP('Input data'!B646,'SuperMarket Analysis'!A:A,'SuperMarket Analysis'!F:F)</f>
        <v>Food and beverages</v>
      </c>
      <c r="E646" s="6" t="str">
        <f>_xlfn.XLOOKUP(B646,'SuperMarket Analysis'!A:A,'SuperMarket Analysis'!M:M)</f>
        <v>Cash</v>
      </c>
      <c r="F646" s="6">
        <f>0.05*Input_Table[[#This Row],[TOTAL C.O.G.S]]</f>
        <v>1.9210000000000003</v>
      </c>
      <c r="G646" s="6" t="str">
        <f>_xlfn.XLOOKUP(Input_Table[[#This Row],[INVOICE ID]],'SuperMarket Analysis'!A:A,'SuperMarket Analysis'!B:B)</f>
        <v>Giza</v>
      </c>
      <c r="H646" s="6" t="str">
        <f>_xlfn.XLOOKUP(Input_Table[[#This Row],[INVOICE ID]],'SuperMarket Analysis'!A:A,'SuperMarket Analysis'!F:F)</f>
        <v>Food and beverages</v>
      </c>
      <c r="I646" s="12">
        <f>_xlfn.XLOOKUP(Input_Table[[#This Row],[INVOICE ID]],'SuperMarket Analysis'!A:A,'SuperMarket Analysis'!G:G)</f>
        <v>38.42</v>
      </c>
      <c r="J646" s="12">
        <f>_xlfn.XLOOKUP(Input_Table[[#This Row],[INVOICE ID]],'SuperMarket Analysis'!A:A,'SuperMarket Analysis'!N:N)</f>
        <v>38.42</v>
      </c>
      <c r="K646" s="12">
        <f>_xlfn.XLOOKUP(Input_Table[[#This Row],[INVOICE ID]],'SuperMarket Analysis'!A:A,'SuperMarket Analysis'!J:J)</f>
        <v>40.341000000000001</v>
      </c>
      <c r="L646" s="6">
        <f>DAY(Input_Table[[#This Row],[DATE]])</f>
        <v>2</v>
      </c>
      <c r="M646" s="6" t="str">
        <f>TEXT(Input_Table[[#This Row],[DATE]],"mmmm")</f>
        <v>February</v>
      </c>
      <c r="N646" s="6">
        <f>YEAR(Input_Table[[#This Row],[DATE]])</f>
        <v>2019</v>
      </c>
    </row>
    <row r="647" spans="1:14" x14ac:dyDescent="0.3">
      <c r="A647" s="2">
        <f>_xlfn.XLOOKUP(B647,SuperMarket_Analysis[Invoice ID],SuperMarket_Analysis[Date])</f>
        <v>43678</v>
      </c>
      <c r="B647" s="6" t="s">
        <v>678</v>
      </c>
      <c r="C647" s="7">
        <f>_xlfn.XLOOKUP(B647,SuperMarket_Analysis[Invoice ID],SuperMarket_Analysis[Quantity])</f>
        <v>10</v>
      </c>
      <c r="D647" s="6" t="str">
        <f>_xlfn.XLOOKUP('Input data'!B647,'SuperMarket Analysis'!A:A,'SuperMarket Analysis'!F:F)</f>
        <v>Fashion accessories</v>
      </c>
      <c r="E647" s="6" t="str">
        <f>_xlfn.XLOOKUP(B647,'SuperMarket Analysis'!A:A,'SuperMarket Analysis'!M:M)</f>
        <v>Credit card</v>
      </c>
      <c r="F647" s="6">
        <f>0.05*Input_Table[[#This Row],[TOTAL C.O.G.S]]</f>
        <v>32.615000000000002</v>
      </c>
      <c r="G647" s="6" t="str">
        <f>_xlfn.XLOOKUP(Input_Table[[#This Row],[INVOICE ID]],'SuperMarket Analysis'!A:A,'SuperMarket Analysis'!B:B)</f>
        <v>Cairo</v>
      </c>
      <c r="H647" s="6" t="str">
        <f>_xlfn.XLOOKUP(Input_Table[[#This Row],[INVOICE ID]],'SuperMarket Analysis'!A:A,'SuperMarket Analysis'!F:F)</f>
        <v>Fashion accessories</v>
      </c>
      <c r="I647" s="12">
        <f>_xlfn.XLOOKUP(Input_Table[[#This Row],[INVOICE ID]],'SuperMarket Analysis'!A:A,'SuperMarket Analysis'!G:G)</f>
        <v>65.23</v>
      </c>
      <c r="J647" s="12">
        <f>_xlfn.XLOOKUP(Input_Table[[#This Row],[INVOICE ID]],'SuperMarket Analysis'!A:A,'SuperMarket Analysis'!N:N)</f>
        <v>652.29999999999995</v>
      </c>
      <c r="K647" s="12">
        <f>_xlfn.XLOOKUP(Input_Table[[#This Row],[INVOICE ID]],'SuperMarket Analysis'!A:A,'SuperMarket Analysis'!J:J)</f>
        <v>684.91499999999996</v>
      </c>
      <c r="L647" s="6">
        <f>DAY(Input_Table[[#This Row],[DATE]])</f>
        <v>1</v>
      </c>
      <c r="M647" s="6" t="str">
        <f>TEXT(Input_Table[[#This Row],[DATE]],"mmmm")</f>
        <v>August</v>
      </c>
      <c r="N647" s="6">
        <f>YEAR(Input_Table[[#This Row],[DATE]])</f>
        <v>2019</v>
      </c>
    </row>
    <row r="648" spans="1:14" x14ac:dyDescent="0.3">
      <c r="A648" s="2">
        <f>_xlfn.XLOOKUP(B648,SuperMarket_Analysis[Invoice ID],SuperMarket_Analysis[Date])</f>
        <v>43526</v>
      </c>
      <c r="B648" s="6" t="s">
        <v>679</v>
      </c>
      <c r="C648" s="7">
        <f>_xlfn.XLOOKUP(B648,SuperMarket_Analysis[Invoice ID],SuperMarket_Analysis[Quantity])</f>
        <v>5</v>
      </c>
      <c r="D648" s="6" t="str">
        <f>_xlfn.XLOOKUP('Input data'!B648,'SuperMarket Analysis'!A:A,'SuperMarket Analysis'!F:F)</f>
        <v>Food and beverages</v>
      </c>
      <c r="E648" s="6" t="str">
        <f>_xlfn.XLOOKUP(B648,'SuperMarket Analysis'!A:A,'SuperMarket Analysis'!M:M)</f>
        <v>Credit card</v>
      </c>
      <c r="F648" s="6">
        <f>0.05*Input_Table[[#This Row],[TOTAL C.O.G.S]]</f>
        <v>6.82</v>
      </c>
      <c r="G648" s="6" t="str">
        <f>_xlfn.XLOOKUP(Input_Table[[#This Row],[INVOICE ID]],'SuperMarket Analysis'!A:A,'SuperMarket Analysis'!B:B)</f>
        <v>Alex</v>
      </c>
      <c r="H648" s="6" t="str">
        <f>_xlfn.XLOOKUP(Input_Table[[#This Row],[INVOICE ID]],'SuperMarket Analysis'!A:A,'SuperMarket Analysis'!F:F)</f>
        <v>Food and beverages</v>
      </c>
      <c r="I648" s="12">
        <f>_xlfn.XLOOKUP(Input_Table[[#This Row],[INVOICE ID]],'SuperMarket Analysis'!A:A,'SuperMarket Analysis'!G:G)</f>
        <v>27.28</v>
      </c>
      <c r="J648" s="12">
        <f>_xlfn.XLOOKUP(Input_Table[[#This Row],[INVOICE ID]],'SuperMarket Analysis'!A:A,'SuperMarket Analysis'!N:N)</f>
        <v>136.4</v>
      </c>
      <c r="K648" s="12">
        <f>_xlfn.XLOOKUP(Input_Table[[#This Row],[INVOICE ID]],'SuperMarket Analysis'!A:A,'SuperMarket Analysis'!J:J)</f>
        <v>143.22</v>
      </c>
      <c r="L648" s="6">
        <f>DAY(Input_Table[[#This Row],[DATE]])</f>
        <v>2</v>
      </c>
      <c r="M648" s="6" t="str">
        <f>TEXT(Input_Table[[#This Row],[DATE]],"mmmm")</f>
        <v>March</v>
      </c>
      <c r="N648" s="6">
        <f>YEAR(Input_Table[[#This Row],[DATE]])</f>
        <v>2019</v>
      </c>
    </row>
    <row r="649" spans="1:14" x14ac:dyDescent="0.3">
      <c r="A649" s="2">
        <f>_xlfn.XLOOKUP(B649,SuperMarket_Analysis[Invoice ID],SuperMarket_Analysis[Date])</f>
        <v>43711</v>
      </c>
      <c r="B649" s="6" t="s">
        <v>680</v>
      </c>
      <c r="C649" s="7">
        <f>_xlfn.XLOOKUP(B649,SuperMarket_Analysis[Invoice ID],SuperMarket_Analysis[Quantity])</f>
        <v>8</v>
      </c>
      <c r="D649" s="6" t="str">
        <f>_xlfn.XLOOKUP('Input data'!B649,'SuperMarket Analysis'!A:A,'SuperMarket Analysis'!F:F)</f>
        <v>Fashion accessories</v>
      </c>
      <c r="E649" s="6" t="str">
        <f>_xlfn.XLOOKUP(B649,'SuperMarket Analysis'!A:A,'SuperMarket Analysis'!M:M)</f>
        <v>Credit card</v>
      </c>
      <c r="F649" s="6">
        <f>0.05*Input_Table[[#This Row],[TOTAL C.O.G.S]]</f>
        <v>38.916000000000004</v>
      </c>
      <c r="G649" s="6" t="str">
        <f>_xlfn.XLOOKUP(Input_Table[[#This Row],[INVOICE ID]],'SuperMarket Analysis'!A:A,'SuperMarket Analysis'!B:B)</f>
        <v>Alex</v>
      </c>
      <c r="H649" s="6" t="str">
        <f>_xlfn.XLOOKUP(Input_Table[[#This Row],[INVOICE ID]],'SuperMarket Analysis'!A:A,'SuperMarket Analysis'!F:F)</f>
        <v>Fashion accessories</v>
      </c>
      <c r="I649" s="12">
        <f>_xlfn.XLOOKUP(Input_Table[[#This Row],[INVOICE ID]],'SuperMarket Analysis'!A:A,'SuperMarket Analysis'!G:G)</f>
        <v>97.29</v>
      </c>
      <c r="J649" s="12">
        <f>_xlfn.XLOOKUP(Input_Table[[#This Row],[INVOICE ID]],'SuperMarket Analysis'!A:A,'SuperMarket Analysis'!N:N)</f>
        <v>778.32</v>
      </c>
      <c r="K649" s="12">
        <f>_xlfn.XLOOKUP(Input_Table[[#This Row],[INVOICE ID]],'SuperMarket Analysis'!A:A,'SuperMarket Analysis'!J:J)</f>
        <v>817.23599999999999</v>
      </c>
      <c r="L649" s="6">
        <f>DAY(Input_Table[[#This Row],[DATE]])</f>
        <v>3</v>
      </c>
      <c r="M649" s="6" t="str">
        <f>TEXT(Input_Table[[#This Row],[DATE]],"mmmm")</f>
        <v>September</v>
      </c>
      <c r="N649" s="6">
        <f>YEAR(Input_Table[[#This Row],[DATE]])</f>
        <v>2019</v>
      </c>
    </row>
    <row r="650" spans="1:14" x14ac:dyDescent="0.3">
      <c r="A650" s="2">
        <f>_xlfn.XLOOKUP(B650,SuperMarket_Analysis[Invoice ID],SuperMarket_Analysis[Date])</f>
        <v>43770</v>
      </c>
      <c r="B650" s="6" t="s">
        <v>681</v>
      </c>
      <c r="C650" s="7">
        <f>_xlfn.XLOOKUP(B650,SuperMarket_Analysis[Invoice ID],SuperMarket_Analysis[Quantity])</f>
        <v>6</v>
      </c>
      <c r="D650" s="6" t="str">
        <f>_xlfn.XLOOKUP('Input data'!B650,'SuperMarket Analysis'!A:A,'SuperMarket Analysis'!F:F)</f>
        <v>Home and lifestyle</v>
      </c>
      <c r="E650" s="6" t="str">
        <f>_xlfn.XLOOKUP(B650,'SuperMarket Analysis'!A:A,'SuperMarket Analysis'!M:M)</f>
        <v>Cash</v>
      </c>
      <c r="F650" s="6">
        <f>0.05*Input_Table[[#This Row],[TOTAL C.O.G.S]]</f>
        <v>28.956000000000003</v>
      </c>
      <c r="G650" s="6" t="str">
        <f>_xlfn.XLOOKUP(Input_Table[[#This Row],[INVOICE ID]],'SuperMarket Analysis'!A:A,'SuperMarket Analysis'!B:B)</f>
        <v>Alex</v>
      </c>
      <c r="H650" s="6" t="str">
        <f>_xlfn.XLOOKUP(Input_Table[[#This Row],[INVOICE ID]],'SuperMarket Analysis'!A:A,'SuperMarket Analysis'!F:F)</f>
        <v>Home and lifestyle</v>
      </c>
      <c r="I650" s="12">
        <f>_xlfn.XLOOKUP(Input_Table[[#This Row],[INVOICE ID]],'SuperMarket Analysis'!A:A,'SuperMarket Analysis'!G:G)</f>
        <v>96.52</v>
      </c>
      <c r="J650" s="12">
        <f>_xlfn.XLOOKUP(Input_Table[[#This Row],[INVOICE ID]],'SuperMarket Analysis'!A:A,'SuperMarket Analysis'!N:N)</f>
        <v>579.12</v>
      </c>
      <c r="K650" s="12">
        <f>_xlfn.XLOOKUP(Input_Table[[#This Row],[INVOICE ID]],'SuperMarket Analysis'!A:A,'SuperMarket Analysis'!J:J)</f>
        <v>608.07600000000002</v>
      </c>
      <c r="L650" s="6">
        <f>DAY(Input_Table[[#This Row],[DATE]])</f>
        <v>1</v>
      </c>
      <c r="M650" s="6" t="str">
        <f>TEXT(Input_Table[[#This Row],[DATE]],"mmmm")</f>
        <v>November</v>
      </c>
      <c r="N650" s="6">
        <f>YEAR(Input_Table[[#This Row],[DATE]])</f>
        <v>2019</v>
      </c>
    </row>
    <row r="651" spans="1:14" x14ac:dyDescent="0.3">
      <c r="A651" s="2">
        <f>_xlfn.XLOOKUP(B651,SuperMarket_Analysis[Invoice ID],SuperMarket_Analysis[Date])</f>
        <v>43771</v>
      </c>
      <c r="B651" s="6" t="s">
        <v>682</v>
      </c>
      <c r="C651" s="7">
        <f>_xlfn.XLOOKUP(B651,SuperMarket_Analysis[Invoice ID],SuperMarket_Analysis[Quantity])</f>
        <v>10</v>
      </c>
      <c r="D651" s="6" t="str">
        <f>_xlfn.XLOOKUP('Input data'!B651,'SuperMarket Analysis'!A:A,'SuperMarket Analysis'!F:F)</f>
        <v>Food and beverages</v>
      </c>
      <c r="E651" s="6" t="str">
        <f>_xlfn.XLOOKUP(B651,'SuperMarket Analysis'!A:A,'SuperMarket Analysis'!M:M)</f>
        <v>Credit card</v>
      </c>
      <c r="F651" s="6">
        <f>0.05*Input_Table[[#This Row],[TOTAL C.O.G.S]]</f>
        <v>38.6</v>
      </c>
      <c r="G651" s="6" t="str">
        <f>_xlfn.XLOOKUP(Input_Table[[#This Row],[INVOICE ID]],'SuperMarket Analysis'!A:A,'SuperMarket Analysis'!B:B)</f>
        <v>Cairo</v>
      </c>
      <c r="H651" s="6" t="str">
        <f>_xlfn.XLOOKUP(Input_Table[[#This Row],[INVOICE ID]],'SuperMarket Analysis'!A:A,'SuperMarket Analysis'!F:F)</f>
        <v>Food and beverages</v>
      </c>
      <c r="I651" s="12">
        <f>_xlfn.XLOOKUP(Input_Table[[#This Row],[INVOICE ID]],'SuperMarket Analysis'!A:A,'SuperMarket Analysis'!G:G)</f>
        <v>77.2</v>
      </c>
      <c r="J651" s="12">
        <f>_xlfn.XLOOKUP(Input_Table[[#This Row],[INVOICE ID]],'SuperMarket Analysis'!A:A,'SuperMarket Analysis'!N:N)</f>
        <v>772</v>
      </c>
      <c r="K651" s="12">
        <f>_xlfn.XLOOKUP(Input_Table[[#This Row],[INVOICE ID]],'SuperMarket Analysis'!A:A,'SuperMarket Analysis'!J:J)</f>
        <v>810.6</v>
      </c>
      <c r="L651" s="6">
        <f>DAY(Input_Table[[#This Row],[DATE]])</f>
        <v>2</v>
      </c>
      <c r="M651" s="6" t="str">
        <f>TEXT(Input_Table[[#This Row],[DATE]],"mmmm")</f>
        <v>November</v>
      </c>
      <c r="N651" s="6">
        <f>YEAR(Input_Table[[#This Row],[DATE]])</f>
        <v>2019</v>
      </c>
    </row>
    <row r="652" spans="1:14" x14ac:dyDescent="0.3">
      <c r="A652" s="2">
        <f>_xlfn.XLOOKUP(B652,SuperMarket_Analysis[Invoice ID],SuperMarket_Analysis[Date])</f>
        <v>43588</v>
      </c>
      <c r="B652" s="6" t="s">
        <v>683</v>
      </c>
      <c r="C652" s="7">
        <f>_xlfn.XLOOKUP(B652,SuperMarket_Analysis[Invoice ID],SuperMarket_Analysis[Quantity])</f>
        <v>8</v>
      </c>
      <c r="D652" s="6" t="str">
        <f>_xlfn.XLOOKUP('Input data'!B652,'SuperMarket Analysis'!A:A,'SuperMarket Analysis'!F:F)</f>
        <v>Home and lifestyle</v>
      </c>
      <c r="E652" s="6" t="str">
        <f>_xlfn.XLOOKUP(B652,'SuperMarket Analysis'!A:A,'SuperMarket Analysis'!M:M)</f>
        <v>Ewallet</v>
      </c>
      <c r="F652" s="6">
        <f>0.05*Input_Table[[#This Row],[TOTAL C.O.G.S]]</f>
        <v>38.183999999999997</v>
      </c>
      <c r="G652" s="6" t="str">
        <f>_xlfn.XLOOKUP(Input_Table[[#This Row],[INVOICE ID]],'SuperMarket Analysis'!A:A,'SuperMarket Analysis'!B:B)</f>
        <v>Cairo</v>
      </c>
      <c r="H652" s="6" t="str">
        <f>_xlfn.XLOOKUP(Input_Table[[#This Row],[INVOICE ID]],'SuperMarket Analysis'!A:A,'SuperMarket Analysis'!F:F)</f>
        <v>Home and lifestyle</v>
      </c>
      <c r="I652" s="12">
        <f>_xlfn.XLOOKUP(Input_Table[[#This Row],[INVOICE ID]],'SuperMarket Analysis'!A:A,'SuperMarket Analysis'!G:G)</f>
        <v>95.46</v>
      </c>
      <c r="J652" s="12">
        <f>_xlfn.XLOOKUP(Input_Table[[#This Row],[INVOICE ID]],'SuperMarket Analysis'!A:A,'SuperMarket Analysis'!N:N)</f>
        <v>763.68</v>
      </c>
      <c r="K652" s="12">
        <f>_xlfn.XLOOKUP(Input_Table[[#This Row],[INVOICE ID]],'SuperMarket Analysis'!A:A,'SuperMarket Analysis'!J:J)</f>
        <v>801.86400000000003</v>
      </c>
      <c r="L652" s="6">
        <f>DAY(Input_Table[[#This Row],[DATE]])</f>
        <v>3</v>
      </c>
      <c r="M652" s="6" t="str">
        <f>TEXT(Input_Table[[#This Row],[DATE]],"mmmm")</f>
        <v>May</v>
      </c>
      <c r="N652" s="6">
        <f>YEAR(Input_Table[[#This Row],[DATE]])</f>
        <v>2019</v>
      </c>
    </row>
    <row r="653" spans="1:14" x14ac:dyDescent="0.3">
      <c r="A653" s="2">
        <f>_xlfn.XLOOKUP(B653,SuperMarket_Analysis[Invoice ID],SuperMarket_Analysis[Date])</f>
        <v>43586</v>
      </c>
      <c r="B653" s="6" t="s">
        <v>684</v>
      </c>
      <c r="C653" s="7">
        <f>_xlfn.XLOOKUP(B653,SuperMarket_Analysis[Invoice ID],SuperMarket_Analysis[Quantity])</f>
        <v>3</v>
      </c>
      <c r="D653" s="6" t="str">
        <f>_xlfn.XLOOKUP('Input data'!B653,'SuperMarket Analysis'!A:A,'SuperMarket Analysis'!F:F)</f>
        <v>Fashion accessories</v>
      </c>
      <c r="E653" s="6" t="str">
        <f>_xlfn.XLOOKUP(B653,'SuperMarket Analysis'!A:A,'SuperMarket Analysis'!M:M)</f>
        <v>Credit card</v>
      </c>
      <c r="F653" s="6">
        <f>0.05*Input_Table[[#This Row],[TOTAL C.O.G.S]]</f>
        <v>11.409000000000001</v>
      </c>
      <c r="G653" s="6" t="str">
        <f>_xlfn.XLOOKUP(Input_Table[[#This Row],[INVOICE ID]],'SuperMarket Analysis'!A:A,'SuperMarket Analysis'!B:B)</f>
        <v>Giza</v>
      </c>
      <c r="H653" s="6" t="str">
        <f>_xlfn.XLOOKUP(Input_Table[[#This Row],[INVOICE ID]],'SuperMarket Analysis'!A:A,'SuperMarket Analysis'!F:F)</f>
        <v>Fashion accessories</v>
      </c>
      <c r="I653" s="12">
        <f>_xlfn.XLOOKUP(Input_Table[[#This Row],[INVOICE ID]],'SuperMarket Analysis'!A:A,'SuperMarket Analysis'!G:G)</f>
        <v>76.06</v>
      </c>
      <c r="J653" s="12">
        <f>_xlfn.XLOOKUP(Input_Table[[#This Row],[INVOICE ID]],'SuperMarket Analysis'!A:A,'SuperMarket Analysis'!N:N)</f>
        <v>228.18</v>
      </c>
      <c r="K653" s="12">
        <f>_xlfn.XLOOKUP(Input_Table[[#This Row],[INVOICE ID]],'SuperMarket Analysis'!A:A,'SuperMarket Analysis'!J:J)</f>
        <v>239.589</v>
      </c>
      <c r="L653" s="6">
        <f>DAY(Input_Table[[#This Row],[DATE]])</f>
        <v>1</v>
      </c>
      <c r="M653" s="6" t="str">
        <f>TEXT(Input_Table[[#This Row],[DATE]],"mmmm")</f>
        <v>May</v>
      </c>
      <c r="N653" s="6">
        <f>YEAR(Input_Table[[#This Row],[DATE]])</f>
        <v>2019</v>
      </c>
    </row>
    <row r="654" spans="1:14" x14ac:dyDescent="0.3">
      <c r="A654" s="2">
        <f>_xlfn.XLOOKUP(B654,SuperMarket_Analysis[Invoice ID],SuperMarket_Analysis[Date])</f>
        <v>43618</v>
      </c>
      <c r="B654" s="6" t="s">
        <v>685</v>
      </c>
      <c r="C654" s="7">
        <f>_xlfn.XLOOKUP(B654,SuperMarket_Analysis[Invoice ID],SuperMarket_Analysis[Quantity])</f>
        <v>1</v>
      </c>
      <c r="D654" s="6" t="str">
        <f>_xlfn.XLOOKUP('Input data'!B654,'SuperMarket Analysis'!A:A,'SuperMarket Analysis'!F:F)</f>
        <v>Food and beverages</v>
      </c>
      <c r="E654" s="6" t="str">
        <f>_xlfn.XLOOKUP(B654,'SuperMarket Analysis'!A:A,'SuperMarket Analysis'!M:M)</f>
        <v>Credit card</v>
      </c>
      <c r="F654" s="6">
        <f>0.05*Input_Table[[#This Row],[TOTAL C.O.G.S]]</f>
        <v>2.6210000000000004</v>
      </c>
      <c r="G654" s="6" t="str">
        <f>_xlfn.XLOOKUP(Input_Table[[#This Row],[INVOICE ID]],'SuperMarket Analysis'!A:A,'SuperMarket Analysis'!B:B)</f>
        <v>Giza</v>
      </c>
      <c r="H654" s="6" t="str">
        <f>_xlfn.XLOOKUP(Input_Table[[#This Row],[INVOICE ID]],'SuperMarket Analysis'!A:A,'SuperMarket Analysis'!F:F)</f>
        <v>Food and beverages</v>
      </c>
      <c r="I654" s="12">
        <f>_xlfn.XLOOKUP(Input_Table[[#This Row],[INVOICE ID]],'SuperMarket Analysis'!A:A,'SuperMarket Analysis'!G:G)</f>
        <v>52.42</v>
      </c>
      <c r="J654" s="12">
        <f>_xlfn.XLOOKUP(Input_Table[[#This Row],[INVOICE ID]],'SuperMarket Analysis'!A:A,'SuperMarket Analysis'!N:N)</f>
        <v>52.42</v>
      </c>
      <c r="K654" s="12">
        <f>_xlfn.XLOOKUP(Input_Table[[#This Row],[INVOICE ID]],'SuperMarket Analysis'!A:A,'SuperMarket Analysis'!J:J)</f>
        <v>55.040999999999997</v>
      </c>
      <c r="L654" s="6">
        <f>DAY(Input_Table[[#This Row],[DATE]])</f>
        <v>2</v>
      </c>
      <c r="M654" s="6" t="str">
        <f>TEXT(Input_Table[[#This Row],[DATE]],"mmmm")</f>
        <v>June</v>
      </c>
      <c r="N654" s="6">
        <f>YEAR(Input_Table[[#This Row],[DATE]])</f>
        <v>2019</v>
      </c>
    </row>
    <row r="655" spans="1:14" x14ac:dyDescent="0.3">
      <c r="A655" s="2">
        <f>_xlfn.XLOOKUP(B655,SuperMarket_Analysis[Invoice ID],SuperMarket_Analysis[Date])</f>
        <v>43588</v>
      </c>
      <c r="B655" s="6" t="s">
        <v>686</v>
      </c>
      <c r="C655" s="7">
        <f>_xlfn.XLOOKUP(B655,SuperMarket_Analysis[Invoice ID],SuperMarket_Analysis[Quantity])</f>
        <v>7</v>
      </c>
      <c r="D655" s="6" t="str">
        <f>_xlfn.XLOOKUP('Input data'!B655,'SuperMarket Analysis'!A:A,'SuperMarket Analysis'!F:F)</f>
        <v>Health and beauty</v>
      </c>
      <c r="E655" s="6" t="str">
        <f>_xlfn.XLOOKUP(B655,'SuperMarket Analysis'!A:A,'SuperMarket Analysis'!M:M)</f>
        <v>Credit card</v>
      </c>
      <c r="F655" s="6">
        <f>0.05*Input_Table[[#This Row],[TOTAL C.O.G.S]]</f>
        <v>22.858500000000003</v>
      </c>
      <c r="G655" s="6" t="str">
        <f>_xlfn.XLOOKUP(Input_Table[[#This Row],[INVOICE ID]],'SuperMarket Analysis'!A:A,'SuperMarket Analysis'!B:B)</f>
        <v>Giza</v>
      </c>
      <c r="H655" s="6" t="str">
        <f>_xlfn.XLOOKUP(Input_Table[[#This Row],[INVOICE ID]],'SuperMarket Analysis'!A:A,'SuperMarket Analysis'!F:F)</f>
        <v>Health and beauty</v>
      </c>
      <c r="I655" s="12">
        <f>_xlfn.XLOOKUP(Input_Table[[#This Row],[INVOICE ID]],'SuperMarket Analysis'!A:A,'SuperMarket Analysis'!G:G)</f>
        <v>65.31</v>
      </c>
      <c r="J655" s="12">
        <f>_xlfn.XLOOKUP(Input_Table[[#This Row],[INVOICE ID]],'SuperMarket Analysis'!A:A,'SuperMarket Analysis'!N:N)</f>
        <v>457.17</v>
      </c>
      <c r="K655" s="12">
        <f>_xlfn.XLOOKUP(Input_Table[[#This Row],[INVOICE ID]],'SuperMarket Analysis'!A:A,'SuperMarket Analysis'!J:J)</f>
        <v>480.02850000000001</v>
      </c>
      <c r="L655" s="6">
        <f>DAY(Input_Table[[#This Row],[DATE]])</f>
        <v>3</v>
      </c>
      <c r="M655" s="6" t="str">
        <f>TEXT(Input_Table[[#This Row],[DATE]],"mmmm")</f>
        <v>May</v>
      </c>
      <c r="N655" s="6">
        <f>YEAR(Input_Table[[#This Row],[DATE]])</f>
        <v>2019</v>
      </c>
    </row>
    <row r="656" spans="1:14" x14ac:dyDescent="0.3">
      <c r="A656" s="2">
        <f>_xlfn.XLOOKUP(B656,SuperMarket_Analysis[Invoice ID],SuperMarket_Analysis[Date])</f>
        <v>43525</v>
      </c>
      <c r="B656" s="6" t="s">
        <v>687</v>
      </c>
      <c r="C656" s="7">
        <f>_xlfn.XLOOKUP(B656,SuperMarket_Analysis[Invoice ID],SuperMarket_Analysis[Quantity])</f>
        <v>1</v>
      </c>
      <c r="D656" s="6" t="str">
        <f>_xlfn.XLOOKUP('Input data'!B656,'SuperMarket Analysis'!A:A,'SuperMarket Analysis'!F:F)</f>
        <v>Sports and travel</v>
      </c>
      <c r="E656" s="6" t="str">
        <f>_xlfn.XLOOKUP(B656,'SuperMarket Analysis'!A:A,'SuperMarket Analysis'!M:M)</f>
        <v>Cash</v>
      </c>
      <c r="F656" s="6">
        <f>0.05*Input_Table[[#This Row],[TOTAL C.O.G.S]]</f>
        <v>4.6689999999999996</v>
      </c>
      <c r="G656" s="6" t="str">
        <f>_xlfn.XLOOKUP(Input_Table[[#This Row],[INVOICE ID]],'SuperMarket Analysis'!A:A,'SuperMarket Analysis'!B:B)</f>
        <v>Cairo</v>
      </c>
      <c r="H656" s="6" t="str">
        <f>_xlfn.XLOOKUP(Input_Table[[#This Row],[INVOICE ID]],'SuperMarket Analysis'!A:A,'SuperMarket Analysis'!F:F)</f>
        <v>Sports and travel</v>
      </c>
      <c r="I656" s="12">
        <f>_xlfn.XLOOKUP(Input_Table[[#This Row],[INVOICE ID]],'SuperMarket Analysis'!A:A,'SuperMarket Analysis'!G:G)</f>
        <v>93.38</v>
      </c>
      <c r="J656" s="12">
        <f>_xlfn.XLOOKUP(Input_Table[[#This Row],[INVOICE ID]],'SuperMarket Analysis'!A:A,'SuperMarket Analysis'!N:N)</f>
        <v>93.38</v>
      </c>
      <c r="K656" s="12">
        <f>_xlfn.XLOOKUP(Input_Table[[#This Row],[INVOICE ID]],'SuperMarket Analysis'!A:A,'SuperMarket Analysis'!J:J)</f>
        <v>98.049000000000007</v>
      </c>
      <c r="L656" s="6">
        <f>DAY(Input_Table[[#This Row],[DATE]])</f>
        <v>1</v>
      </c>
      <c r="M656" s="6" t="str">
        <f>TEXT(Input_Table[[#This Row],[DATE]],"mmmm")</f>
        <v>March</v>
      </c>
      <c r="N656" s="6">
        <f>YEAR(Input_Table[[#This Row],[DATE]])</f>
        <v>2019</v>
      </c>
    </row>
    <row r="657" spans="1:14" x14ac:dyDescent="0.3">
      <c r="A657" s="2">
        <f>_xlfn.XLOOKUP(B657,SuperMarket_Analysis[Invoice ID],SuperMarket_Analysis[Date])</f>
        <v>43771</v>
      </c>
      <c r="B657" s="6" t="s">
        <v>688</v>
      </c>
      <c r="C657" s="7">
        <f>_xlfn.XLOOKUP(B657,SuperMarket_Analysis[Invoice ID],SuperMarket_Analysis[Quantity])</f>
        <v>4</v>
      </c>
      <c r="D657" s="6" t="str">
        <f>_xlfn.XLOOKUP('Input data'!B657,'SuperMarket Analysis'!A:A,'SuperMarket Analysis'!F:F)</f>
        <v>Sports and travel</v>
      </c>
      <c r="E657" s="6" t="str">
        <f>_xlfn.XLOOKUP(B657,'SuperMarket Analysis'!A:A,'SuperMarket Analysis'!M:M)</f>
        <v>Ewallet</v>
      </c>
      <c r="F657" s="6">
        <f>0.05*Input_Table[[#This Row],[TOTAL C.O.G.S]]</f>
        <v>18.952000000000002</v>
      </c>
      <c r="G657" s="6" t="str">
        <f>_xlfn.XLOOKUP(Input_Table[[#This Row],[INVOICE ID]],'SuperMarket Analysis'!A:A,'SuperMarket Analysis'!B:B)</f>
        <v>Alex</v>
      </c>
      <c r="H657" s="6" t="str">
        <f>_xlfn.XLOOKUP(Input_Table[[#This Row],[INVOICE ID]],'SuperMarket Analysis'!A:A,'SuperMarket Analysis'!F:F)</f>
        <v>Sports and travel</v>
      </c>
      <c r="I657" s="12">
        <f>_xlfn.XLOOKUP(Input_Table[[#This Row],[INVOICE ID]],'SuperMarket Analysis'!A:A,'SuperMarket Analysis'!G:G)</f>
        <v>94.76</v>
      </c>
      <c r="J657" s="12">
        <f>_xlfn.XLOOKUP(Input_Table[[#This Row],[INVOICE ID]],'SuperMarket Analysis'!A:A,'SuperMarket Analysis'!N:N)</f>
        <v>379.04</v>
      </c>
      <c r="K657" s="12">
        <f>_xlfn.XLOOKUP(Input_Table[[#This Row],[INVOICE ID]],'SuperMarket Analysis'!A:A,'SuperMarket Analysis'!J:J)</f>
        <v>397.99200000000002</v>
      </c>
      <c r="L657" s="6">
        <f>DAY(Input_Table[[#This Row],[DATE]])</f>
        <v>2</v>
      </c>
      <c r="M657" s="6" t="str">
        <f>TEXT(Input_Table[[#This Row],[DATE]],"mmmm")</f>
        <v>November</v>
      </c>
      <c r="N657" s="6">
        <f>YEAR(Input_Table[[#This Row],[DATE]])</f>
        <v>2019</v>
      </c>
    </row>
    <row r="658" spans="1:14" x14ac:dyDescent="0.3">
      <c r="A658" s="2">
        <f>_xlfn.XLOOKUP(B658,SuperMarket_Analysis[Invoice ID],SuperMarket_Analysis[Date])</f>
        <v>43587</v>
      </c>
      <c r="B658" s="6" t="s">
        <v>689</v>
      </c>
      <c r="C658" s="7">
        <f>_xlfn.XLOOKUP(B658,SuperMarket_Analysis[Invoice ID],SuperMarket_Analysis[Quantity])</f>
        <v>1</v>
      </c>
      <c r="D658" s="6" t="str">
        <f>_xlfn.XLOOKUP('Input data'!B658,'SuperMarket Analysis'!A:A,'SuperMarket Analysis'!F:F)</f>
        <v>Fashion accessories</v>
      </c>
      <c r="E658" s="6" t="str">
        <f>_xlfn.XLOOKUP(B658,'SuperMarket Analysis'!A:A,'SuperMarket Analysis'!M:M)</f>
        <v>Credit card</v>
      </c>
      <c r="F658" s="6">
        <f>0.05*Input_Table[[#This Row],[TOTAL C.O.G.S]]</f>
        <v>1.5310000000000001</v>
      </c>
      <c r="G658" s="6" t="str">
        <f>_xlfn.XLOOKUP(Input_Table[[#This Row],[INVOICE ID]],'SuperMarket Analysis'!A:A,'SuperMarket Analysis'!B:B)</f>
        <v>Alex</v>
      </c>
      <c r="H658" s="6" t="str">
        <f>_xlfn.XLOOKUP(Input_Table[[#This Row],[INVOICE ID]],'SuperMarket Analysis'!A:A,'SuperMarket Analysis'!F:F)</f>
        <v>Fashion accessories</v>
      </c>
      <c r="I658" s="12">
        <f>_xlfn.XLOOKUP(Input_Table[[#This Row],[INVOICE ID]],'SuperMarket Analysis'!A:A,'SuperMarket Analysis'!G:G)</f>
        <v>30.62</v>
      </c>
      <c r="J658" s="12">
        <f>_xlfn.XLOOKUP(Input_Table[[#This Row],[INVOICE ID]],'SuperMarket Analysis'!A:A,'SuperMarket Analysis'!N:N)</f>
        <v>30.62</v>
      </c>
      <c r="K658" s="12">
        <f>_xlfn.XLOOKUP(Input_Table[[#This Row],[INVOICE ID]],'SuperMarket Analysis'!A:A,'SuperMarket Analysis'!J:J)</f>
        <v>32.151000000000003</v>
      </c>
      <c r="L658" s="6">
        <f>DAY(Input_Table[[#This Row],[DATE]])</f>
        <v>2</v>
      </c>
      <c r="M658" s="6" t="str">
        <f>TEXT(Input_Table[[#This Row],[DATE]],"mmmm")</f>
        <v>May</v>
      </c>
      <c r="N658" s="6">
        <f>YEAR(Input_Table[[#This Row],[DATE]])</f>
        <v>2019</v>
      </c>
    </row>
    <row r="659" spans="1:14" x14ac:dyDescent="0.3">
      <c r="A659" s="2">
        <f>_xlfn.XLOOKUP(B659,SuperMarket_Analysis[Invoice ID],SuperMarket_Analysis[Date])</f>
        <v>43527</v>
      </c>
      <c r="B659" s="6" t="s">
        <v>690</v>
      </c>
      <c r="C659" s="7">
        <f>_xlfn.XLOOKUP(B659,SuperMarket_Analysis[Invoice ID],SuperMarket_Analysis[Quantity])</f>
        <v>8</v>
      </c>
      <c r="D659" s="6" t="str">
        <f>_xlfn.XLOOKUP('Input data'!B659,'SuperMarket Analysis'!A:A,'SuperMarket Analysis'!F:F)</f>
        <v>Home and lifestyle</v>
      </c>
      <c r="E659" s="6" t="str">
        <f>_xlfn.XLOOKUP(B659,'SuperMarket Analysis'!A:A,'SuperMarket Analysis'!M:M)</f>
        <v>Cash</v>
      </c>
      <c r="F659" s="6">
        <f>0.05*Input_Table[[#This Row],[TOTAL C.O.G.S]]</f>
        <v>17.603999999999999</v>
      </c>
      <c r="G659" s="6" t="str">
        <f>_xlfn.XLOOKUP(Input_Table[[#This Row],[INVOICE ID]],'SuperMarket Analysis'!A:A,'SuperMarket Analysis'!B:B)</f>
        <v>Giza</v>
      </c>
      <c r="H659" s="6" t="str">
        <f>_xlfn.XLOOKUP(Input_Table[[#This Row],[INVOICE ID]],'SuperMarket Analysis'!A:A,'SuperMarket Analysis'!F:F)</f>
        <v>Home and lifestyle</v>
      </c>
      <c r="I659" s="12">
        <f>_xlfn.XLOOKUP(Input_Table[[#This Row],[INVOICE ID]],'SuperMarket Analysis'!A:A,'SuperMarket Analysis'!G:G)</f>
        <v>44.01</v>
      </c>
      <c r="J659" s="12">
        <f>_xlfn.XLOOKUP(Input_Table[[#This Row],[INVOICE ID]],'SuperMarket Analysis'!A:A,'SuperMarket Analysis'!N:N)</f>
        <v>352.08</v>
      </c>
      <c r="K659" s="12">
        <f>_xlfn.XLOOKUP(Input_Table[[#This Row],[INVOICE ID]],'SuperMarket Analysis'!A:A,'SuperMarket Analysis'!J:J)</f>
        <v>369.68400000000003</v>
      </c>
      <c r="L659" s="6">
        <f>DAY(Input_Table[[#This Row],[DATE]])</f>
        <v>3</v>
      </c>
      <c r="M659" s="6" t="str">
        <f>TEXT(Input_Table[[#This Row],[DATE]],"mmmm")</f>
        <v>March</v>
      </c>
      <c r="N659" s="6">
        <f>YEAR(Input_Table[[#This Row],[DATE]])</f>
        <v>2019</v>
      </c>
    </row>
    <row r="660" spans="1:14" x14ac:dyDescent="0.3">
      <c r="A660" s="2">
        <f>_xlfn.XLOOKUP(B660,SuperMarket_Analysis[Invoice ID],SuperMarket_Analysis[Date])</f>
        <v>43557</v>
      </c>
      <c r="B660" s="6" t="s">
        <v>691</v>
      </c>
      <c r="C660" s="7">
        <f>_xlfn.XLOOKUP(B660,SuperMarket_Analysis[Invoice ID],SuperMarket_Analysis[Quantity])</f>
        <v>7</v>
      </c>
      <c r="D660" s="6" t="str">
        <f>_xlfn.XLOOKUP('Input data'!B660,'SuperMarket Analysis'!A:A,'SuperMarket Analysis'!F:F)</f>
        <v>Electronic accessories</v>
      </c>
      <c r="E660" s="6" t="str">
        <f>_xlfn.XLOOKUP(B660,'SuperMarket Analysis'!A:A,'SuperMarket Analysis'!M:M)</f>
        <v>Credit card</v>
      </c>
      <c r="F660" s="6">
        <f>0.05*Input_Table[[#This Row],[TOTAL C.O.G.S]]</f>
        <v>26.102999999999998</v>
      </c>
      <c r="G660" s="6" t="str">
        <f>_xlfn.XLOOKUP(Input_Table[[#This Row],[INVOICE ID]],'SuperMarket Analysis'!A:A,'SuperMarket Analysis'!B:B)</f>
        <v>Alex</v>
      </c>
      <c r="H660" s="6" t="str">
        <f>_xlfn.XLOOKUP(Input_Table[[#This Row],[INVOICE ID]],'SuperMarket Analysis'!A:A,'SuperMarket Analysis'!F:F)</f>
        <v>Electronic accessories</v>
      </c>
      <c r="I660" s="12">
        <f>_xlfn.XLOOKUP(Input_Table[[#This Row],[INVOICE ID]],'SuperMarket Analysis'!A:A,'SuperMarket Analysis'!G:G)</f>
        <v>74.58</v>
      </c>
      <c r="J660" s="12">
        <f>_xlfn.XLOOKUP(Input_Table[[#This Row],[INVOICE ID]],'SuperMarket Analysis'!A:A,'SuperMarket Analysis'!N:N)</f>
        <v>522.05999999999995</v>
      </c>
      <c r="K660" s="12">
        <f>_xlfn.XLOOKUP(Input_Table[[#This Row],[INVOICE ID]],'SuperMarket Analysis'!A:A,'SuperMarket Analysis'!J:J)</f>
        <v>548.16300000000001</v>
      </c>
      <c r="L660" s="6">
        <f>DAY(Input_Table[[#This Row],[DATE]])</f>
        <v>2</v>
      </c>
      <c r="M660" s="6" t="str">
        <f>TEXT(Input_Table[[#This Row],[DATE]],"mmmm")</f>
        <v>April</v>
      </c>
      <c r="N660" s="6">
        <f>YEAR(Input_Table[[#This Row],[DATE]])</f>
        <v>2019</v>
      </c>
    </row>
    <row r="661" spans="1:14" x14ac:dyDescent="0.3">
      <c r="A661" s="2">
        <f>_xlfn.XLOOKUP(B661,SuperMarket_Analysis[Invoice ID],SuperMarket_Analysis[Date])</f>
        <v>43527</v>
      </c>
      <c r="B661" s="6" t="s">
        <v>692</v>
      </c>
      <c r="C661" s="7">
        <f>_xlfn.XLOOKUP(B661,SuperMarket_Analysis[Invoice ID],SuperMarket_Analysis[Quantity])</f>
        <v>1</v>
      </c>
      <c r="D661" s="6" t="str">
        <f>_xlfn.XLOOKUP('Input data'!B661,'SuperMarket Analysis'!A:A,'SuperMarket Analysis'!F:F)</f>
        <v>Fashion accessories</v>
      </c>
      <c r="E661" s="6" t="str">
        <f>_xlfn.XLOOKUP(B661,'SuperMarket Analysis'!A:A,'SuperMarket Analysis'!M:M)</f>
        <v>Credit card</v>
      </c>
      <c r="F661" s="6">
        <f>0.05*Input_Table[[#This Row],[TOTAL C.O.G.S]]</f>
        <v>2.3205</v>
      </c>
      <c r="G661" s="6" t="str">
        <f>_xlfn.XLOOKUP(Input_Table[[#This Row],[INVOICE ID]],'SuperMarket Analysis'!A:A,'SuperMarket Analysis'!B:B)</f>
        <v>Alex</v>
      </c>
      <c r="H661" s="6" t="str">
        <f>_xlfn.XLOOKUP(Input_Table[[#This Row],[INVOICE ID]],'SuperMarket Analysis'!A:A,'SuperMarket Analysis'!F:F)</f>
        <v>Fashion accessories</v>
      </c>
      <c r="I661" s="12">
        <f>_xlfn.XLOOKUP(Input_Table[[#This Row],[INVOICE ID]],'SuperMarket Analysis'!A:A,'SuperMarket Analysis'!G:G)</f>
        <v>46.41</v>
      </c>
      <c r="J661" s="12">
        <f>_xlfn.XLOOKUP(Input_Table[[#This Row],[INVOICE ID]],'SuperMarket Analysis'!A:A,'SuperMarket Analysis'!N:N)</f>
        <v>46.41</v>
      </c>
      <c r="K661" s="12">
        <f>_xlfn.XLOOKUP(Input_Table[[#This Row],[INVOICE ID]],'SuperMarket Analysis'!A:A,'SuperMarket Analysis'!J:J)</f>
        <v>48.730499999999999</v>
      </c>
      <c r="L661" s="6">
        <f>DAY(Input_Table[[#This Row],[DATE]])</f>
        <v>3</v>
      </c>
      <c r="M661" s="6" t="str">
        <f>TEXT(Input_Table[[#This Row],[DATE]],"mmmm")</f>
        <v>March</v>
      </c>
      <c r="N661" s="6">
        <f>YEAR(Input_Table[[#This Row],[DATE]])</f>
        <v>2019</v>
      </c>
    </row>
    <row r="662" spans="1:14" x14ac:dyDescent="0.3">
      <c r="A662" s="2">
        <f>_xlfn.XLOOKUP(B662,SuperMarket_Analysis[Invoice ID],SuperMarket_Analysis[Date])</f>
        <v>43771</v>
      </c>
      <c r="B662" s="6" t="s">
        <v>693</v>
      </c>
      <c r="C662" s="7">
        <f>_xlfn.XLOOKUP(B662,SuperMarket_Analysis[Invoice ID],SuperMarket_Analysis[Quantity])</f>
        <v>5</v>
      </c>
      <c r="D662" s="6" t="str">
        <f>_xlfn.XLOOKUP('Input data'!B662,'SuperMarket Analysis'!A:A,'SuperMarket Analysis'!F:F)</f>
        <v>Home and lifestyle</v>
      </c>
      <c r="E662" s="6" t="str">
        <f>_xlfn.XLOOKUP(B662,'SuperMarket Analysis'!A:A,'SuperMarket Analysis'!M:M)</f>
        <v>Ewallet</v>
      </c>
      <c r="F662" s="6">
        <f>0.05*Input_Table[[#This Row],[TOTAL C.O.G.S]]</f>
        <v>21.672499999999999</v>
      </c>
      <c r="G662" s="6" t="str">
        <f>_xlfn.XLOOKUP(Input_Table[[#This Row],[INVOICE ID]],'SuperMarket Analysis'!A:A,'SuperMarket Analysis'!B:B)</f>
        <v>Giza</v>
      </c>
      <c r="H662" s="6" t="str">
        <f>_xlfn.XLOOKUP(Input_Table[[#This Row],[INVOICE ID]],'SuperMarket Analysis'!A:A,'SuperMarket Analysis'!F:F)</f>
        <v>Home and lifestyle</v>
      </c>
      <c r="I662" s="12">
        <f>_xlfn.XLOOKUP(Input_Table[[#This Row],[INVOICE ID]],'SuperMarket Analysis'!A:A,'SuperMarket Analysis'!G:G)</f>
        <v>86.69</v>
      </c>
      <c r="J662" s="12">
        <f>_xlfn.XLOOKUP(Input_Table[[#This Row],[INVOICE ID]],'SuperMarket Analysis'!A:A,'SuperMarket Analysis'!N:N)</f>
        <v>433.45</v>
      </c>
      <c r="K662" s="12">
        <f>_xlfn.XLOOKUP(Input_Table[[#This Row],[INVOICE ID]],'SuperMarket Analysis'!A:A,'SuperMarket Analysis'!J:J)</f>
        <v>455.1225</v>
      </c>
      <c r="L662" s="6">
        <f>DAY(Input_Table[[#This Row],[DATE]])</f>
        <v>2</v>
      </c>
      <c r="M662" s="6" t="str">
        <f>TEXT(Input_Table[[#This Row],[DATE]],"mmmm")</f>
        <v>November</v>
      </c>
      <c r="N662" s="6">
        <f>YEAR(Input_Table[[#This Row],[DATE]])</f>
        <v>2019</v>
      </c>
    </row>
    <row r="663" spans="1:14" x14ac:dyDescent="0.3">
      <c r="A663" s="2">
        <f>_xlfn.XLOOKUP(B663,SuperMarket_Analysis[Invoice ID],SuperMarket_Analysis[Date])</f>
        <v>43800</v>
      </c>
      <c r="B663" s="6" t="s">
        <v>694</v>
      </c>
      <c r="C663" s="7">
        <f>_xlfn.XLOOKUP(B663,SuperMarket_Analysis[Invoice ID],SuperMarket_Analysis[Quantity])</f>
        <v>6</v>
      </c>
      <c r="D663" s="6" t="str">
        <f>_xlfn.XLOOKUP('Input data'!B663,'SuperMarket Analysis'!A:A,'SuperMarket Analysis'!F:F)</f>
        <v>Sports and travel</v>
      </c>
      <c r="E663" s="6" t="str">
        <f>_xlfn.XLOOKUP(B663,'SuperMarket Analysis'!A:A,'SuperMarket Analysis'!M:M)</f>
        <v>Ewallet</v>
      </c>
      <c r="F663" s="6">
        <f>0.05*Input_Table[[#This Row],[TOTAL C.O.G.S]]</f>
        <v>6.9030000000000005</v>
      </c>
      <c r="G663" s="6" t="str">
        <f>_xlfn.XLOOKUP(Input_Table[[#This Row],[INVOICE ID]],'SuperMarket Analysis'!A:A,'SuperMarket Analysis'!B:B)</f>
        <v>Cairo</v>
      </c>
      <c r="H663" s="6" t="str">
        <f>_xlfn.XLOOKUP(Input_Table[[#This Row],[INVOICE ID]],'SuperMarket Analysis'!A:A,'SuperMarket Analysis'!F:F)</f>
        <v>Sports and travel</v>
      </c>
      <c r="I663" s="12">
        <f>_xlfn.XLOOKUP(Input_Table[[#This Row],[INVOICE ID]],'SuperMarket Analysis'!A:A,'SuperMarket Analysis'!G:G)</f>
        <v>23.01</v>
      </c>
      <c r="J663" s="12">
        <f>_xlfn.XLOOKUP(Input_Table[[#This Row],[INVOICE ID]],'SuperMarket Analysis'!A:A,'SuperMarket Analysis'!N:N)</f>
        <v>138.06</v>
      </c>
      <c r="K663" s="12">
        <f>_xlfn.XLOOKUP(Input_Table[[#This Row],[INVOICE ID]],'SuperMarket Analysis'!A:A,'SuperMarket Analysis'!J:J)</f>
        <v>144.96299999999999</v>
      </c>
      <c r="L663" s="6">
        <f>DAY(Input_Table[[#This Row],[DATE]])</f>
        <v>1</v>
      </c>
      <c r="M663" s="6" t="str">
        <f>TEXT(Input_Table[[#This Row],[DATE]],"mmmm")</f>
        <v>December</v>
      </c>
      <c r="N663" s="6">
        <f>YEAR(Input_Table[[#This Row],[DATE]])</f>
        <v>2019</v>
      </c>
    </row>
    <row r="664" spans="1:14" x14ac:dyDescent="0.3">
      <c r="A664" s="2">
        <f>_xlfn.XLOOKUP(B664,SuperMarket_Analysis[Invoice ID],SuperMarket_Analysis[Date])</f>
        <v>43527</v>
      </c>
      <c r="B664" s="6" t="s">
        <v>695</v>
      </c>
      <c r="C664" s="7">
        <f>_xlfn.XLOOKUP(B664,SuperMarket_Analysis[Invoice ID],SuperMarket_Analysis[Quantity])</f>
        <v>8</v>
      </c>
      <c r="D664" s="6" t="str">
        <f>_xlfn.XLOOKUP('Input data'!B664,'SuperMarket Analysis'!A:A,'SuperMarket Analysis'!F:F)</f>
        <v>Electronic accessories</v>
      </c>
      <c r="E664" s="6" t="str">
        <f>_xlfn.XLOOKUP(B664,'SuperMarket Analysis'!A:A,'SuperMarket Analysis'!M:M)</f>
        <v>Ewallet</v>
      </c>
      <c r="F664" s="6">
        <f>0.05*Input_Table[[#This Row],[TOTAL C.O.G.S]]</f>
        <v>12.08</v>
      </c>
      <c r="G664" s="6" t="str">
        <f>_xlfn.XLOOKUP(Input_Table[[#This Row],[INVOICE ID]],'SuperMarket Analysis'!A:A,'SuperMarket Analysis'!B:B)</f>
        <v>Giza</v>
      </c>
      <c r="H664" s="6" t="str">
        <f>_xlfn.XLOOKUP(Input_Table[[#This Row],[INVOICE ID]],'SuperMarket Analysis'!A:A,'SuperMarket Analysis'!F:F)</f>
        <v>Electronic accessories</v>
      </c>
      <c r="I664" s="12">
        <f>_xlfn.XLOOKUP(Input_Table[[#This Row],[INVOICE ID]],'SuperMarket Analysis'!A:A,'SuperMarket Analysis'!G:G)</f>
        <v>30.2</v>
      </c>
      <c r="J664" s="12">
        <f>_xlfn.XLOOKUP(Input_Table[[#This Row],[INVOICE ID]],'SuperMarket Analysis'!A:A,'SuperMarket Analysis'!N:N)</f>
        <v>241.6</v>
      </c>
      <c r="K664" s="12">
        <f>_xlfn.XLOOKUP(Input_Table[[#This Row],[INVOICE ID]],'SuperMarket Analysis'!A:A,'SuperMarket Analysis'!J:J)</f>
        <v>253.68</v>
      </c>
      <c r="L664" s="6">
        <f>DAY(Input_Table[[#This Row],[DATE]])</f>
        <v>3</v>
      </c>
      <c r="M664" s="6" t="str">
        <f>TEXT(Input_Table[[#This Row],[DATE]],"mmmm")</f>
        <v>March</v>
      </c>
      <c r="N664" s="6">
        <f>YEAR(Input_Table[[#This Row],[DATE]])</f>
        <v>2019</v>
      </c>
    </row>
    <row r="665" spans="1:14" x14ac:dyDescent="0.3">
      <c r="A665" s="2">
        <f>_xlfn.XLOOKUP(B665,SuperMarket_Analysis[Invoice ID],SuperMarket_Analysis[Date])</f>
        <v>43558</v>
      </c>
      <c r="B665" s="6" t="s">
        <v>696</v>
      </c>
      <c r="C665" s="7">
        <f>_xlfn.XLOOKUP(B665,SuperMarket_Analysis[Invoice ID],SuperMarket_Analysis[Quantity])</f>
        <v>9</v>
      </c>
      <c r="D665" s="6" t="str">
        <f>_xlfn.XLOOKUP('Input data'!B665,'SuperMarket Analysis'!A:A,'SuperMarket Analysis'!F:F)</f>
        <v>Fashion accessories</v>
      </c>
      <c r="E665" s="6" t="str">
        <f>_xlfn.XLOOKUP(B665,'SuperMarket Analysis'!A:A,'SuperMarket Analysis'!M:M)</f>
        <v>Cash</v>
      </c>
      <c r="F665" s="6">
        <f>0.05*Input_Table[[#This Row],[TOTAL C.O.G.S]]</f>
        <v>22.032</v>
      </c>
      <c r="G665" s="6" t="str">
        <f>_xlfn.XLOOKUP(Input_Table[[#This Row],[INVOICE ID]],'SuperMarket Analysis'!A:A,'SuperMarket Analysis'!B:B)</f>
        <v>Alex</v>
      </c>
      <c r="H665" s="6" t="str">
        <f>_xlfn.XLOOKUP(Input_Table[[#This Row],[INVOICE ID]],'SuperMarket Analysis'!A:A,'SuperMarket Analysis'!F:F)</f>
        <v>Fashion accessories</v>
      </c>
      <c r="I665" s="12">
        <f>_xlfn.XLOOKUP(Input_Table[[#This Row],[INVOICE ID]],'SuperMarket Analysis'!A:A,'SuperMarket Analysis'!G:G)</f>
        <v>48.96</v>
      </c>
      <c r="J665" s="12">
        <f>_xlfn.XLOOKUP(Input_Table[[#This Row],[INVOICE ID]],'SuperMarket Analysis'!A:A,'SuperMarket Analysis'!N:N)</f>
        <v>440.64</v>
      </c>
      <c r="K665" s="12">
        <f>_xlfn.XLOOKUP(Input_Table[[#This Row],[INVOICE ID]],'SuperMarket Analysis'!A:A,'SuperMarket Analysis'!J:J)</f>
        <v>462.67200000000003</v>
      </c>
      <c r="L665" s="6">
        <f>DAY(Input_Table[[#This Row],[DATE]])</f>
        <v>3</v>
      </c>
      <c r="M665" s="6" t="str">
        <f>TEXT(Input_Table[[#This Row],[DATE]],"mmmm")</f>
        <v>April</v>
      </c>
      <c r="N665" s="6">
        <f>YEAR(Input_Table[[#This Row],[DATE]])</f>
        <v>2019</v>
      </c>
    </row>
    <row r="666" spans="1:14" x14ac:dyDescent="0.3">
      <c r="A666" s="2">
        <f>_xlfn.XLOOKUP(B666,SuperMarket_Analysis[Invoice ID],SuperMarket_Analysis[Date])</f>
        <v>43678</v>
      </c>
      <c r="B666" s="6" t="s">
        <v>697</v>
      </c>
      <c r="C666" s="7">
        <f>_xlfn.XLOOKUP(B666,SuperMarket_Analysis[Invoice ID],SuperMarket_Analysis[Quantity])</f>
        <v>4</v>
      </c>
      <c r="D666" s="6" t="str">
        <f>_xlfn.XLOOKUP('Input data'!B666,'SuperMarket Analysis'!A:A,'SuperMarket Analysis'!F:F)</f>
        <v>Electronic accessories</v>
      </c>
      <c r="E666" s="6" t="str">
        <f>_xlfn.XLOOKUP(B666,'SuperMarket Analysis'!A:A,'SuperMarket Analysis'!M:M)</f>
        <v>Cash</v>
      </c>
      <c r="F666" s="6">
        <f>0.05*Input_Table[[#This Row],[TOTAL C.O.G.S]]</f>
        <v>10.045999999999999</v>
      </c>
      <c r="G666" s="6" t="str">
        <f>_xlfn.XLOOKUP(Input_Table[[#This Row],[INVOICE ID]],'SuperMarket Analysis'!A:A,'SuperMarket Analysis'!B:B)</f>
        <v>Alex</v>
      </c>
      <c r="H666" s="6" t="str">
        <f>_xlfn.XLOOKUP(Input_Table[[#This Row],[INVOICE ID]],'SuperMarket Analysis'!A:A,'SuperMarket Analysis'!F:F)</f>
        <v>Electronic accessories</v>
      </c>
      <c r="I666" s="12">
        <f>_xlfn.XLOOKUP(Input_Table[[#This Row],[INVOICE ID]],'SuperMarket Analysis'!A:A,'SuperMarket Analysis'!G:G)</f>
        <v>50.23</v>
      </c>
      <c r="J666" s="12">
        <f>_xlfn.XLOOKUP(Input_Table[[#This Row],[INVOICE ID]],'SuperMarket Analysis'!A:A,'SuperMarket Analysis'!N:N)</f>
        <v>200.92</v>
      </c>
      <c r="K666" s="12">
        <f>_xlfn.XLOOKUP(Input_Table[[#This Row],[INVOICE ID]],'SuperMarket Analysis'!A:A,'SuperMarket Analysis'!J:J)</f>
        <v>210.96600000000001</v>
      </c>
      <c r="L666" s="6">
        <f>DAY(Input_Table[[#This Row],[DATE]])</f>
        <v>1</v>
      </c>
      <c r="M666" s="6" t="str">
        <f>TEXT(Input_Table[[#This Row],[DATE]],"mmmm")</f>
        <v>August</v>
      </c>
      <c r="N666" s="6">
        <f>YEAR(Input_Table[[#This Row],[DATE]])</f>
        <v>2019</v>
      </c>
    </row>
    <row r="667" spans="1:14" x14ac:dyDescent="0.3">
      <c r="A667" s="2">
        <f>_xlfn.XLOOKUP(B667,SuperMarket_Analysis[Invoice ID],SuperMarket_Analysis[Date])</f>
        <v>43679</v>
      </c>
      <c r="B667" s="6" t="s">
        <v>698</v>
      </c>
      <c r="C667" s="7">
        <f>_xlfn.XLOOKUP(B667,SuperMarket_Analysis[Invoice ID],SuperMarket_Analysis[Quantity])</f>
        <v>5</v>
      </c>
      <c r="D667" s="6" t="str">
        <f>_xlfn.XLOOKUP('Input data'!B667,'SuperMarket Analysis'!A:A,'SuperMarket Analysis'!F:F)</f>
        <v>Sports and travel</v>
      </c>
      <c r="E667" s="6" t="str">
        <f>_xlfn.XLOOKUP(B667,'SuperMarket Analysis'!A:A,'SuperMarket Analysis'!M:M)</f>
        <v>Credit card</v>
      </c>
      <c r="F667" s="6">
        <f>0.05*Input_Table[[#This Row],[TOTAL C.O.G.S]]</f>
        <v>16.242500000000003</v>
      </c>
      <c r="G667" s="6" t="str">
        <f>_xlfn.XLOOKUP(Input_Table[[#This Row],[INVOICE ID]],'SuperMarket Analysis'!A:A,'SuperMarket Analysis'!B:B)</f>
        <v>Giza</v>
      </c>
      <c r="H667" s="6" t="str">
        <f>_xlfn.XLOOKUP(Input_Table[[#This Row],[INVOICE ID]],'SuperMarket Analysis'!A:A,'SuperMarket Analysis'!F:F)</f>
        <v>Sports and travel</v>
      </c>
      <c r="I667" s="12">
        <f>_xlfn.XLOOKUP(Input_Table[[#This Row],[INVOICE ID]],'SuperMarket Analysis'!A:A,'SuperMarket Analysis'!G:G)</f>
        <v>64.97</v>
      </c>
      <c r="J667" s="12">
        <f>_xlfn.XLOOKUP(Input_Table[[#This Row],[INVOICE ID]],'SuperMarket Analysis'!A:A,'SuperMarket Analysis'!N:N)</f>
        <v>324.85000000000002</v>
      </c>
      <c r="K667" s="12">
        <f>_xlfn.XLOOKUP(Input_Table[[#This Row],[INVOICE ID]],'SuperMarket Analysis'!A:A,'SuperMarket Analysis'!J:J)</f>
        <v>341.09249999999997</v>
      </c>
      <c r="L667" s="6">
        <f>DAY(Input_Table[[#This Row],[DATE]])</f>
        <v>2</v>
      </c>
      <c r="M667" s="6" t="str">
        <f>TEXT(Input_Table[[#This Row],[DATE]],"mmmm")</f>
        <v>August</v>
      </c>
      <c r="N667" s="6">
        <f>YEAR(Input_Table[[#This Row],[DATE]])</f>
        <v>2019</v>
      </c>
    </row>
    <row r="668" spans="1:14" x14ac:dyDescent="0.3">
      <c r="A668" s="2">
        <f>_xlfn.XLOOKUP(B668,SuperMarket_Analysis[Invoice ID],SuperMarket_Analysis[Date])</f>
        <v>43526</v>
      </c>
      <c r="B668" s="6" t="s">
        <v>699</v>
      </c>
      <c r="C668" s="7">
        <f>_xlfn.XLOOKUP(B668,SuperMarket_Analysis[Invoice ID],SuperMarket_Analysis[Quantity])</f>
        <v>5</v>
      </c>
      <c r="D668" s="6" t="str">
        <f>_xlfn.XLOOKUP('Input data'!B668,'SuperMarket Analysis'!A:A,'SuperMarket Analysis'!F:F)</f>
        <v>Food and beverages</v>
      </c>
      <c r="E668" s="6" t="str">
        <f>_xlfn.XLOOKUP(B668,'SuperMarket Analysis'!A:A,'SuperMarket Analysis'!M:M)</f>
        <v>Credit card</v>
      </c>
      <c r="F668" s="6">
        <f>0.05*Input_Table[[#This Row],[TOTAL C.O.G.S]]</f>
        <v>11.790000000000001</v>
      </c>
      <c r="G668" s="6" t="str">
        <f>_xlfn.XLOOKUP(Input_Table[[#This Row],[INVOICE ID]],'SuperMarket Analysis'!A:A,'SuperMarket Analysis'!B:B)</f>
        <v>Cairo</v>
      </c>
      <c r="H668" s="6" t="str">
        <f>_xlfn.XLOOKUP(Input_Table[[#This Row],[INVOICE ID]],'SuperMarket Analysis'!A:A,'SuperMarket Analysis'!F:F)</f>
        <v>Food and beverages</v>
      </c>
      <c r="I668" s="12">
        <f>_xlfn.XLOOKUP(Input_Table[[#This Row],[INVOICE ID]],'SuperMarket Analysis'!A:A,'SuperMarket Analysis'!G:G)</f>
        <v>47.16</v>
      </c>
      <c r="J668" s="12">
        <f>_xlfn.XLOOKUP(Input_Table[[#This Row],[INVOICE ID]],'SuperMarket Analysis'!A:A,'SuperMarket Analysis'!N:N)</f>
        <v>235.8</v>
      </c>
      <c r="K668" s="12">
        <f>_xlfn.XLOOKUP(Input_Table[[#This Row],[INVOICE ID]],'SuperMarket Analysis'!A:A,'SuperMarket Analysis'!J:J)</f>
        <v>247.59</v>
      </c>
      <c r="L668" s="6">
        <f>DAY(Input_Table[[#This Row],[DATE]])</f>
        <v>2</v>
      </c>
      <c r="M668" s="6" t="str">
        <f>TEXT(Input_Table[[#This Row],[DATE]],"mmmm")</f>
        <v>March</v>
      </c>
      <c r="N668" s="6">
        <f>YEAR(Input_Table[[#This Row],[DATE]])</f>
        <v>2019</v>
      </c>
    </row>
    <row r="669" spans="1:14" x14ac:dyDescent="0.3">
      <c r="A669" s="2">
        <f>_xlfn.XLOOKUP(B669,SuperMarket_Analysis[Invoice ID],SuperMarket_Analysis[Date])</f>
        <v>43648</v>
      </c>
      <c r="B669" s="6" t="s">
        <v>700</v>
      </c>
      <c r="C669" s="7">
        <f>_xlfn.XLOOKUP(B669,SuperMarket_Analysis[Invoice ID],SuperMarket_Analysis[Quantity])</f>
        <v>1</v>
      </c>
      <c r="D669" s="6" t="str">
        <f>_xlfn.XLOOKUP('Input data'!B669,'SuperMarket Analysis'!A:A,'SuperMarket Analysis'!F:F)</f>
        <v>Sports and travel</v>
      </c>
      <c r="E669" s="6" t="str">
        <f>_xlfn.XLOOKUP(B669,'SuperMarket Analysis'!A:A,'SuperMarket Analysis'!M:M)</f>
        <v>Cash</v>
      </c>
      <c r="F669" s="6">
        <f>0.05*Input_Table[[#This Row],[TOTAL C.O.G.S]]</f>
        <v>0.50850000000000006</v>
      </c>
      <c r="G669" s="6" t="str">
        <f>_xlfn.XLOOKUP(Input_Table[[#This Row],[INVOICE ID]],'SuperMarket Analysis'!A:A,'SuperMarket Analysis'!B:B)</f>
        <v>Giza</v>
      </c>
      <c r="H669" s="6" t="str">
        <f>_xlfn.XLOOKUP(Input_Table[[#This Row],[INVOICE ID]],'SuperMarket Analysis'!A:A,'SuperMarket Analysis'!F:F)</f>
        <v>Sports and travel</v>
      </c>
      <c r="I669" s="12">
        <f>_xlfn.XLOOKUP(Input_Table[[#This Row],[INVOICE ID]],'SuperMarket Analysis'!A:A,'SuperMarket Analysis'!G:G)</f>
        <v>10.17</v>
      </c>
      <c r="J669" s="12">
        <f>_xlfn.XLOOKUP(Input_Table[[#This Row],[INVOICE ID]],'SuperMarket Analysis'!A:A,'SuperMarket Analysis'!N:N)</f>
        <v>10.17</v>
      </c>
      <c r="K669" s="12">
        <f>_xlfn.XLOOKUP(Input_Table[[#This Row],[INVOICE ID]],'SuperMarket Analysis'!A:A,'SuperMarket Analysis'!J:J)</f>
        <v>10.6785</v>
      </c>
      <c r="L669" s="6">
        <f>DAY(Input_Table[[#This Row],[DATE]])</f>
        <v>2</v>
      </c>
      <c r="M669" s="6" t="str">
        <f>TEXT(Input_Table[[#This Row],[DATE]],"mmmm")</f>
        <v>July</v>
      </c>
      <c r="N669" s="6">
        <f>YEAR(Input_Table[[#This Row],[DATE]])</f>
        <v>2019</v>
      </c>
    </row>
    <row r="670" spans="1:14" x14ac:dyDescent="0.3">
      <c r="A670" s="2">
        <f>_xlfn.XLOOKUP(B670,SuperMarket_Analysis[Invoice ID],SuperMarket_Analysis[Date])</f>
        <v>43558</v>
      </c>
      <c r="B670" s="6" t="s">
        <v>701</v>
      </c>
      <c r="C670" s="7">
        <f>_xlfn.XLOOKUP(B670,SuperMarket_Analysis[Invoice ID],SuperMarket_Analysis[Quantity])</f>
        <v>3</v>
      </c>
      <c r="D670" s="6" t="str">
        <f>_xlfn.XLOOKUP('Input data'!B670,'SuperMarket Analysis'!A:A,'SuperMarket Analysis'!F:F)</f>
        <v>Health and beauty</v>
      </c>
      <c r="E670" s="6" t="str">
        <f>_xlfn.XLOOKUP(B670,'SuperMarket Analysis'!A:A,'SuperMarket Analysis'!M:M)</f>
        <v>Cash</v>
      </c>
      <c r="F670" s="6">
        <f>0.05*Input_Table[[#This Row],[TOTAL C.O.G.S]]</f>
        <v>10.3065</v>
      </c>
      <c r="G670" s="6" t="str">
        <f>_xlfn.XLOOKUP(Input_Table[[#This Row],[INVOICE ID]],'SuperMarket Analysis'!A:A,'SuperMarket Analysis'!B:B)</f>
        <v>Alex</v>
      </c>
      <c r="H670" s="6" t="str">
        <f>_xlfn.XLOOKUP(Input_Table[[#This Row],[INVOICE ID]],'SuperMarket Analysis'!A:A,'SuperMarket Analysis'!F:F)</f>
        <v>Health and beauty</v>
      </c>
      <c r="I670" s="12">
        <f>_xlfn.XLOOKUP(Input_Table[[#This Row],[INVOICE ID]],'SuperMarket Analysis'!A:A,'SuperMarket Analysis'!G:G)</f>
        <v>68.709999999999994</v>
      </c>
      <c r="J670" s="12">
        <f>_xlfn.XLOOKUP(Input_Table[[#This Row],[INVOICE ID]],'SuperMarket Analysis'!A:A,'SuperMarket Analysis'!N:N)</f>
        <v>206.13</v>
      </c>
      <c r="K670" s="12">
        <f>_xlfn.XLOOKUP(Input_Table[[#This Row],[INVOICE ID]],'SuperMarket Analysis'!A:A,'SuperMarket Analysis'!J:J)</f>
        <v>216.4365</v>
      </c>
      <c r="L670" s="6">
        <f>DAY(Input_Table[[#This Row],[DATE]])</f>
        <v>3</v>
      </c>
      <c r="M670" s="6" t="str">
        <f>TEXT(Input_Table[[#This Row],[DATE]],"mmmm")</f>
        <v>April</v>
      </c>
      <c r="N670" s="6">
        <f>YEAR(Input_Table[[#This Row],[DATE]])</f>
        <v>2019</v>
      </c>
    </row>
    <row r="671" spans="1:14" x14ac:dyDescent="0.3">
      <c r="A671" s="2">
        <f>_xlfn.XLOOKUP(B671,SuperMarket_Analysis[Invoice ID],SuperMarket_Analysis[Date])</f>
        <v>43466</v>
      </c>
      <c r="B671" s="6" t="s">
        <v>702</v>
      </c>
      <c r="C671" s="7">
        <f>_xlfn.XLOOKUP(B671,SuperMarket_Analysis[Invoice ID],SuperMarket_Analysis[Quantity])</f>
        <v>10</v>
      </c>
      <c r="D671" s="6" t="str">
        <f>_xlfn.XLOOKUP('Input data'!B671,'SuperMarket Analysis'!A:A,'SuperMarket Analysis'!F:F)</f>
        <v>Electronic accessories</v>
      </c>
      <c r="E671" s="6" t="str">
        <f>_xlfn.XLOOKUP(B671,'SuperMarket Analysis'!A:A,'SuperMarket Analysis'!M:M)</f>
        <v>Credit card</v>
      </c>
      <c r="F671" s="6">
        <f>0.05*Input_Table[[#This Row],[TOTAL C.O.G.S]]</f>
        <v>37.110000000000007</v>
      </c>
      <c r="G671" s="6" t="str">
        <f>_xlfn.XLOOKUP(Input_Table[[#This Row],[INVOICE ID]],'SuperMarket Analysis'!A:A,'SuperMarket Analysis'!B:B)</f>
        <v>Alex</v>
      </c>
      <c r="H671" s="6" t="str">
        <f>_xlfn.XLOOKUP(Input_Table[[#This Row],[INVOICE ID]],'SuperMarket Analysis'!A:A,'SuperMarket Analysis'!F:F)</f>
        <v>Electronic accessories</v>
      </c>
      <c r="I671" s="12">
        <f>_xlfn.XLOOKUP(Input_Table[[#This Row],[INVOICE ID]],'SuperMarket Analysis'!A:A,'SuperMarket Analysis'!G:G)</f>
        <v>74.22</v>
      </c>
      <c r="J671" s="12">
        <f>_xlfn.XLOOKUP(Input_Table[[#This Row],[INVOICE ID]],'SuperMarket Analysis'!A:A,'SuperMarket Analysis'!N:N)</f>
        <v>742.2</v>
      </c>
      <c r="K671" s="12">
        <f>_xlfn.XLOOKUP(Input_Table[[#This Row],[INVOICE ID]],'SuperMarket Analysis'!A:A,'SuperMarket Analysis'!J:J)</f>
        <v>779.31</v>
      </c>
      <c r="L671" s="6">
        <f>DAY(Input_Table[[#This Row],[DATE]])</f>
        <v>1</v>
      </c>
      <c r="M671" s="6" t="str">
        <f>TEXT(Input_Table[[#This Row],[DATE]],"mmmm")</f>
        <v>January</v>
      </c>
      <c r="N671" s="6">
        <f>YEAR(Input_Table[[#This Row],[DATE]])</f>
        <v>2019</v>
      </c>
    </row>
    <row r="672" spans="1:14" x14ac:dyDescent="0.3">
      <c r="A672" s="2">
        <f>_xlfn.XLOOKUP(B672,SuperMarket_Analysis[Invoice ID],SuperMarket_Analysis[Date])</f>
        <v>43709</v>
      </c>
      <c r="B672" s="6" t="s">
        <v>703</v>
      </c>
      <c r="C672" s="7">
        <f>_xlfn.XLOOKUP(B672,SuperMarket_Analysis[Invoice ID],SuperMarket_Analysis[Quantity])</f>
        <v>8</v>
      </c>
      <c r="D672" s="6" t="str">
        <f>_xlfn.XLOOKUP('Input data'!B672,'SuperMarket Analysis'!A:A,'SuperMarket Analysis'!F:F)</f>
        <v>Sports and travel</v>
      </c>
      <c r="E672" s="6" t="str">
        <f>_xlfn.XLOOKUP(B672,'SuperMarket Analysis'!A:A,'SuperMarket Analysis'!M:M)</f>
        <v>Cash</v>
      </c>
      <c r="F672" s="6">
        <f>0.05*Input_Table[[#This Row],[TOTAL C.O.G.S]]</f>
        <v>4.74</v>
      </c>
      <c r="G672" s="6" t="str">
        <f>_xlfn.XLOOKUP(Input_Table[[#This Row],[INVOICE ID]],'SuperMarket Analysis'!A:A,'SuperMarket Analysis'!B:B)</f>
        <v>Cairo</v>
      </c>
      <c r="H672" s="6" t="str">
        <f>_xlfn.XLOOKUP(Input_Table[[#This Row],[INVOICE ID]],'SuperMarket Analysis'!A:A,'SuperMarket Analysis'!F:F)</f>
        <v>Sports and travel</v>
      </c>
      <c r="I672" s="12">
        <f>_xlfn.XLOOKUP(Input_Table[[#This Row],[INVOICE ID]],'SuperMarket Analysis'!A:A,'SuperMarket Analysis'!G:G)</f>
        <v>11.85</v>
      </c>
      <c r="J672" s="12">
        <f>_xlfn.XLOOKUP(Input_Table[[#This Row],[INVOICE ID]],'SuperMarket Analysis'!A:A,'SuperMarket Analysis'!N:N)</f>
        <v>94.8</v>
      </c>
      <c r="K672" s="12">
        <f>_xlfn.XLOOKUP(Input_Table[[#This Row],[INVOICE ID]],'SuperMarket Analysis'!A:A,'SuperMarket Analysis'!J:J)</f>
        <v>99.54</v>
      </c>
      <c r="L672" s="6">
        <f>DAY(Input_Table[[#This Row],[DATE]])</f>
        <v>1</v>
      </c>
      <c r="M672" s="6" t="str">
        <f>TEXT(Input_Table[[#This Row],[DATE]],"mmmm")</f>
        <v>September</v>
      </c>
      <c r="N672" s="6">
        <f>YEAR(Input_Table[[#This Row],[DATE]])</f>
        <v>2019</v>
      </c>
    </row>
    <row r="673" spans="1:14" x14ac:dyDescent="0.3">
      <c r="A673" s="2">
        <f>_xlfn.XLOOKUP(B673,SuperMarket_Analysis[Invoice ID],SuperMarket_Analysis[Date])</f>
        <v>43802</v>
      </c>
      <c r="B673" s="6" t="s">
        <v>704</v>
      </c>
      <c r="C673" s="7">
        <f>_xlfn.XLOOKUP(B673,SuperMarket_Analysis[Invoice ID],SuperMarket_Analysis[Quantity])</f>
        <v>7</v>
      </c>
      <c r="D673" s="6" t="str">
        <f>_xlfn.XLOOKUP('Input data'!B673,'SuperMarket Analysis'!A:A,'SuperMarket Analysis'!F:F)</f>
        <v>Home and lifestyle</v>
      </c>
      <c r="E673" s="6" t="str">
        <f>_xlfn.XLOOKUP(B673,'SuperMarket Analysis'!A:A,'SuperMarket Analysis'!M:M)</f>
        <v>Ewallet</v>
      </c>
      <c r="F673" s="6">
        <f>0.05*Input_Table[[#This Row],[TOTAL C.O.G.S]]</f>
        <v>14.255500000000001</v>
      </c>
      <c r="G673" s="6" t="str">
        <f>_xlfn.XLOOKUP(Input_Table[[#This Row],[INVOICE ID]],'SuperMarket Analysis'!A:A,'SuperMarket Analysis'!B:B)</f>
        <v>Cairo</v>
      </c>
      <c r="H673" s="6" t="str">
        <f>_xlfn.XLOOKUP(Input_Table[[#This Row],[INVOICE ID]],'SuperMarket Analysis'!A:A,'SuperMarket Analysis'!F:F)</f>
        <v>Home and lifestyle</v>
      </c>
      <c r="I673" s="12">
        <f>_xlfn.XLOOKUP(Input_Table[[#This Row],[INVOICE ID]],'SuperMarket Analysis'!A:A,'SuperMarket Analysis'!G:G)</f>
        <v>40.729999999999997</v>
      </c>
      <c r="J673" s="12">
        <f>_xlfn.XLOOKUP(Input_Table[[#This Row],[INVOICE ID]],'SuperMarket Analysis'!A:A,'SuperMarket Analysis'!N:N)</f>
        <v>285.11</v>
      </c>
      <c r="K673" s="12">
        <f>_xlfn.XLOOKUP(Input_Table[[#This Row],[INVOICE ID]],'SuperMarket Analysis'!A:A,'SuperMarket Analysis'!J:J)</f>
        <v>299.3655</v>
      </c>
      <c r="L673" s="6">
        <f>DAY(Input_Table[[#This Row],[DATE]])</f>
        <v>3</v>
      </c>
      <c r="M673" s="6" t="str">
        <f>TEXT(Input_Table[[#This Row],[DATE]],"mmmm")</f>
        <v>December</v>
      </c>
      <c r="N673" s="6">
        <f>YEAR(Input_Table[[#This Row],[DATE]])</f>
        <v>2019</v>
      </c>
    </row>
    <row r="674" spans="1:14" x14ac:dyDescent="0.3">
      <c r="A674" s="2">
        <f>_xlfn.XLOOKUP(B674,SuperMarket_Analysis[Invoice ID],SuperMarket_Analysis[Date])</f>
        <v>43709</v>
      </c>
      <c r="B674" s="6" t="s">
        <v>705</v>
      </c>
      <c r="C674" s="7">
        <f>_xlfn.XLOOKUP(B674,SuperMarket_Analysis[Invoice ID],SuperMarket_Analysis[Quantity])</f>
        <v>5</v>
      </c>
      <c r="D674" s="6" t="str">
        <f>_xlfn.XLOOKUP('Input data'!B674,'SuperMarket Analysis'!A:A,'SuperMarket Analysis'!F:F)</f>
        <v>Fashion accessories</v>
      </c>
      <c r="E674" s="6" t="str">
        <f>_xlfn.XLOOKUP(B674,'SuperMarket Analysis'!A:A,'SuperMarket Analysis'!M:M)</f>
        <v>Ewallet</v>
      </c>
      <c r="F674" s="6">
        <f>0.05*Input_Table[[#This Row],[TOTAL C.O.G.S]]</f>
        <v>9.6349999999999998</v>
      </c>
      <c r="G674" s="6" t="str">
        <f>_xlfn.XLOOKUP(Input_Table[[#This Row],[INVOICE ID]],'SuperMarket Analysis'!A:A,'SuperMarket Analysis'!B:B)</f>
        <v>Alex</v>
      </c>
      <c r="H674" s="6" t="str">
        <f>_xlfn.XLOOKUP(Input_Table[[#This Row],[INVOICE ID]],'SuperMarket Analysis'!A:A,'SuperMarket Analysis'!F:F)</f>
        <v>Fashion accessories</v>
      </c>
      <c r="I674" s="12">
        <f>_xlfn.XLOOKUP(Input_Table[[#This Row],[INVOICE ID]],'SuperMarket Analysis'!A:A,'SuperMarket Analysis'!G:G)</f>
        <v>38.54</v>
      </c>
      <c r="J674" s="12">
        <f>_xlfn.XLOOKUP(Input_Table[[#This Row],[INVOICE ID]],'SuperMarket Analysis'!A:A,'SuperMarket Analysis'!N:N)</f>
        <v>192.7</v>
      </c>
      <c r="K674" s="12">
        <f>_xlfn.XLOOKUP(Input_Table[[#This Row],[INVOICE ID]],'SuperMarket Analysis'!A:A,'SuperMarket Analysis'!J:J)</f>
        <v>202.33500000000001</v>
      </c>
      <c r="L674" s="6">
        <f>DAY(Input_Table[[#This Row],[DATE]])</f>
        <v>1</v>
      </c>
      <c r="M674" s="6" t="str">
        <f>TEXT(Input_Table[[#This Row],[DATE]],"mmmm")</f>
        <v>September</v>
      </c>
      <c r="N674" s="6">
        <f>YEAR(Input_Table[[#This Row],[DATE]])</f>
        <v>2019</v>
      </c>
    </row>
    <row r="675" spans="1:14" x14ac:dyDescent="0.3">
      <c r="A675" s="2">
        <f>_xlfn.XLOOKUP(B675,SuperMarket_Analysis[Invoice ID],SuperMarket_Analysis[Date])</f>
        <v>43497</v>
      </c>
      <c r="B675" s="6" t="s">
        <v>706</v>
      </c>
      <c r="C675" s="7">
        <f>_xlfn.XLOOKUP(B675,SuperMarket_Analysis[Invoice ID],SuperMarket_Analysis[Quantity])</f>
        <v>6</v>
      </c>
      <c r="D675" s="6" t="str">
        <f>_xlfn.XLOOKUP('Input data'!B675,'SuperMarket Analysis'!A:A,'SuperMarket Analysis'!F:F)</f>
        <v>Sports and travel</v>
      </c>
      <c r="E675" s="6" t="str">
        <f>_xlfn.XLOOKUP(B675,'SuperMarket Analysis'!A:A,'SuperMarket Analysis'!M:M)</f>
        <v>Credit card</v>
      </c>
      <c r="F675" s="6">
        <f>0.05*Input_Table[[#This Row],[TOTAL C.O.G.S]]</f>
        <v>13.388999999999999</v>
      </c>
      <c r="G675" s="6" t="str">
        <f>_xlfn.XLOOKUP(Input_Table[[#This Row],[INVOICE ID]],'SuperMarket Analysis'!A:A,'SuperMarket Analysis'!B:B)</f>
        <v>Cairo</v>
      </c>
      <c r="H675" s="6" t="str">
        <f>_xlfn.XLOOKUP(Input_Table[[#This Row],[INVOICE ID]],'SuperMarket Analysis'!A:A,'SuperMarket Analysis'!F:F)</f>
        <v>Sports and travel</v>
      </c>
      <c r="I675" s="12">
        <f>_xlfn.XLOOKUP(Input_Table[[#This Row],[INVOICE ID]],'SuperMarket Analysis'!A:A,'SuperMarket Analysis'!G:G)</f>
        <v>44.63</v>
      </c>
      <c r="J675" s="12">
        <f>_xlfn.XLOOKUP(Input_Table[[#This Row],[INVOICE ID]],'SuperMarket Analysis'!A:A,'SuperMarket Analysis'!N:N)</f>
        <v>267.77999999999997</v>
      </c>
      <c r="K675" s="12">
        <f>_xlfn.XLOOKUP(Input_Table[[#This Row],[INVOICE ID]],'SuperMarket Analysis'!A:A,'SuperMarket Analysis'!J:J)</f>
        <v>281.16899999999998</v>
      </c>
      <c r="L675" s="6">
        <f>DAY(Input_Table[[#This Row],[DATE]])</f>
        <v>1</v>
      </c>
      <c r="M675" s="6" t="str">
        <f>TEXT(Input_Table[[#This Row],[DATE]],"mmmm")</f>
        <v>February</v>
      </c>
      <c r="N675" s="6">
        <f>YEAR(Input_Table[[#This Row],[DATE]])</f>
        <v>2019</v>
      </c>
    </row>
    <row r="676" spans="1:14" x14ac:dyDescent="0.3">
      <c r="A676" s="2">
        <f>_xlfn.XLOOKUP(B676,SuperMarket_Analysis[Invoice ID],SuperMarket_Analysis[Date])</f>
        <v>43466</v>
      </c>
      <c r="B676" s="6" t="s">
        <v>707</v>
      </c>
      <c r="C676" s="7">
        <f>_xlfn.XLOOKUP(B676,SuperMarket_Analysis[Invoice ID],SuperMarket_Analysis[Quantity])</f>
        <v>6</v>
      </c>
      <c r="D676" s="6" t="str">
        <f>_xlfn.XLOOKUP('Input data'!B676,'SuperMarket Analysis'!A:A,'SuperMarket Analysis'!F:F)</f>
        <v>Sports and travel</v>
      </c>
      <c r="E676" s="6" t="str">
        <f>_xlfn.XLOOKUP(B676,'SuperMarket Analysis'!A:A,'SuperMarket Analysis'!M:M)</f>
        <v>Ewallet</v>
      </c>
      <c r="F676" s="6">
        <f>0.05*Input_Table[[#This Row],[TOTAL C.O.G.S]]</f>
        <v>8.766</v>
      </c>
      <c r="G676" s="6" t="str">
        <f>_xlfn.XLOOKUP(Input_Table[[#This Row],[INVOICE ID]],'SuperMarket Analysis'!A:A,'SuperMarket Analysis'!B:B)</f>
        <v>Giza</v>
      </c>
      <c r="H676" s="6" t="str">
        <f>_xlfn.XLOOKUP(Input_Table[[#This Row],[INVOICE ID]],'SuperMarket Analysis'!A:A,'SuperMarket Analysis'!F:F)</f>
        <v>Sports and travel</v>
      </c>
      <c r="I676" s="12">
        <f>_xlfn.XLOOKUP(Input_Table[[#This Row],[INVOICE ID]],'SuperMarket Analysis'!A:A,'SuperMarket Analysis'!G:G)</f>
        <v>29.22</v>
      </c>
      <c r="J676" s="12">
        <f>_xlfn.XLOOKUP(Input_Table[[#This Row],[INVOICE ID]],'SuperMarket Analysis'!A:A,'SuperMarket Analysis'!N:N)</f>
        <v>175.32</v>
      </c>
      <c r="K676" s="12">
        <f>_xlfn.XLOOKUP(Input_Table[[#This Row],[INVOICE ID]],'SuperMarket Analysis'!A:A,'SuperMarket Analysis'!J:J)</f>
        <v>184.08600000000001</v>
      </c>
      <c r="L676" s="6">
        <f>DAY(Input_Table[[#This Row],[DATE]])</f>
        <v>1</v>
      </c>
      <c r="M676" s="6" t="str">
        <f>TEXT(Input_Table[[#This Row],[DATE]],"mmmm")</f>
        <v>January</v>
      </c>
      <c r="N676" s="6">
        <f>YEAR(Input_Table[[#This Row],[DATE]])</f>
        <v>2019</v>
      </c>
    </row>
    <row r="677" spans="1:14" x14ac:dyDescent="0.3">
      <c r="A677" s="2">
        <f>_xlfn.XLOOKUP(B677,SuperMarket_Analysis[Invoice ID],SuperMarket_Analysis[Date])</f>
        <v>43499</v>
      </c>
      <c r="B677" s="6" t="s">
        <v>708</v>
      </c>
      <c r="C677" s="7">
        <f>_xlfn.XLOOKUP(B677,SuperMarket_Analysis[Invoice ID],SuperMarket_Analysis[Quantity])</f>
        <v>2</v>
      </c>
      <c r="D677" s="6" t="str">
        <f>_xlfn.XLOOKUP('Input data'!B677,'SuperMarket Analysis'!A:A,'SuperMarket Analysis'!F:F)</f>
        <v>Sports and travel</v>
      </c>
      <c r="E677" s="6" t="str">
        <f>_xlfn.XLOOKUP(B677,'SuperMarket Analysis'!A:A,'SuperMarket Analysis'!M:M)</f>
        <v>Credit card</v>
      </c>
      <c r="F677" s="6">
        <f>0.05*Input_Table[[#This Row],[TOTAL C.O.G.S]]</f>
        <v>3.9470000000000001</v>
      </c>
      <c r="G677" s="6" t="str">
        <f>_xlfn.XLOOKUP(Input_Table[[#This Row],[INVOICE ID]],'SuperMarket Analysis'!A:A,'SuperMarket Analysis'!B:B)</f>
        <v>Alex</v>
      </c>
      <c r="H677" s="6" t="str">
        <f>_xlfn.XLOOKUP(Input_Table[[#This Row],[INVOICE ID]],'SuperMarket Analysis'!A:A,'SuperMarket Analysis'!F:F)</f>
        <v>Sports and travel</v>
      </c>
      <c r="I677" s="12">
        <f>_xlfn.XLOOKUP(Input_Table[[#This Row],[INVOICE ID]],'SuperMarket Analysis'!A:A,'SuperMarket Analysis'!G:G)</f>
        <v>39.47</v>
      </c>
      <c r="J677" s="12">
        <f>_xlfn.XLOOKUP(Input_Table[[#This Row],[INVOICE ID]],'SuperMarket Analysis'!A:A,'SuperMarket Analysis'!N:N)</f>
        <v>78.94</v>
      </c>
      <c r="K677" s="12">
        <f>_xlfn.XLOOKUP(Input_Table[[#This Row],[INVOICE ID]],'SuperMarket Analysis'!A:A,'SuperMarket Analysis'!J:J)</f>
        <v>82.887</v>
      </c>
      <c r="L677" s="6">
        <f>DAY(Input_Table[[#This Row],[DATE]])</f>
        <v>3</v>
      </c>
      <c r="M677" s="6" t="str">
        <f>TEXT(Input_Table[[#This Row],[DATE]],"mmmm")</f>
        <v>February</v>
      </c>
      <c r="N677" s="6">
        <f>YEAR(Input_Table[[#This Row],[DATE]])</f>
        <v>2019</v>
      </c>
    </row>
    <row r="678" spans="1:14" x14ac:dyDescent="0.3">
      <c r="A678" s="2">
        <f>_xlfn.XLOOKUP(B678,SuperMarket_Analysis[Invoice ID],SuperMarket_Analysis[Date])</f>
        <v>43678</v>
      </c>
      <c r="B678" s="6" t="s">
        <v>709</v>
      </c>
      <c r="C678" s="7">
        <f>_xlfn.XLOOKUP(B678,SuperMarket_Analysis[Invoice ID],SuperMarket_Analysis[Quantity])</f>
        <v>9</v>
      </c>
      <c r="D678" s="6" t="str">
        <f>_xlfn.XLOOKUP('Input data'!B678,'SuperMarket Analysis'!A:A,'SuperMarket Analysis'!F:F)</f>
        <v>Food and beverages</v>
      </c>
      <c r="E678" s="6" t="str">
        <f>_xlfn.XLOOKUP(B678,'SuperMarket Analysis'!A:A,'SuperMarket Analysis'!M:M)</f>
        <v>Cash</v>
      </c>
      <c r="F678" s="6">
        <f>0.05*Input_Table[[#This Row],[TOTAL C.O.G.S]]</f>
        <v>32.795999999999999</v>
      </c>
      <c r="G678" s="6" t="str">
        <f>_xlfn.XLOOKUP(Input_Table[[#This Row],[INVOICE ID]],'SuperMarket Analysis'!A:A,'SuperMarket Analysis'!B:B)</f>
        <v>Giza</v>
      </c>
      <c r="H678" s="6" t="str">
        <f>_xlfn.XLOOKUP(Input_Table[[#This Row],[INVOICE ID]],'SuperMarket Analysis'!A:A,'SuperMarket Analysis'!F:F)</f>
        <v>Food and beverages</v>
      </c>
      <c r="I678" s="12">
        <f>_xlfn.XLOOKUP(Input_Table[[#This Row],[INVOICE ID]],'SuperMarket Analysis'!A:A,'SuperMarket Analysis'!G:G)</f>
        <v>72.88</v>
      </c>
      <c r="J678" s="12">
        <f>_xlfn.XLOOKUP(Input_Table[[#This Row],[INVOICE ID]],'SuperMarket Analysis'!A:A,'SuperMarket Analysis'!N:N)</f>
        <v>655.92</v>
      </c>
      <c r="K678" s="12">
        <f>_xlfn.XLOOKUP(Input_Table[[#This Row],[INVOICE ID]],'SuperMarket Analysis'!A:A,'SuperMarket Analysis'!J:J)</f>
        <v>688.71600000000001</v>
      </c>
      <c r="L678" s="6">
        <f>DAY(Input_Table[[#This Row],[DATE]])</f>
        <v>1</v>
      </c>
      <c r="M678" s="6" t="str">
        <f>TEXT(Input_Table[[#This Row],[DATE]],"mmmm")</f>
        <v>August</v>
      </c>
      <c r="N678" s="6">
        <f>YEAR(Input_Table[[#This Row],[DATE]])</f>
        <v>2019</v>
      </c>
    </row>
    <row r="679" spans="1:14" x14ac:dyDescent="0.3">
      <c r="A679" s="2">
        <f>_xlfn.XLOOKUP(B679,SuperMarket_Analysis[Invoice ID],SuperMarket_Analysis[Date])</f>
        <v>43466</v>
      </c>
      <c r="B679" s="6" t="s">
        <v>710</v>
      </c>
      <c r="C679" s="7">
        <f>_xlfn.XLOOKUP(B679,SuperMarket_Analysis[Invoice ID],SuperMarket_Analysis[Quantity])</f>
        <v>8</v>
      </c>
      <c r="D679" s="6" t="str">
        <f>_xlfn.XLOOKUP('Input data'!B679,'SuperMarket Analysis'!A:A,'SuperMarket Analysis'!F:F)</f>
        <v>Food and beverages</v>
      </c>
      <c r="E679" s="6" t="str">
        <f>_xlfn.XLOOKUP(B679,'SuperMarket Analysis'!A:A,'SuperMarket Analysis'!M:M)</f>
        <v>Cash</v>
      </c>
      <c r="F679" s="6">
        <f>0.05*Input_Table[[#This Row],[TOTAL C.O.G.S]]</f>
        <v>8.4480000000000004</v>
      </c>
      <c r="G679" s="6" t="str">
        <f>_xlfn.XLOOKUP(Input_Table[[#This Row],[INVOICE ID]],'SuperMarket Analysis'!A:A,'SuperMarket Analysis'!B:B)</f>
        <v>Cairo</v>
      </c>
      <c r="H679" s="6" t="str">
        <f>_xlfn.XLOOKUP(Input_Table[[#This Row],[INVOICE ID]],'SuperMarket Analysis'!A:A,'SuperMarket Analysis'!F:F)</f>
        <v>Food and beverages</v>
      </c>
      <c r="I679" s="12">
        <f>_xlfn.XLOOKUP(Input_Table[[#This Row],[INVOICE ID]],'SuperMarket Analysis'!A:A,'SuperMarket Analysis'!G:G)</f>
        <v>21.12</v>
      </c>
      <c r="J679" s="12">
        <f>_xlfn.XLOOKUP(Input_Table[[#This Row],[INVOICE ID]],'SuperMarket Analysis'!A:A,'SuperMarket Analysis'!N:N)</f>
        <v>168.96</v>
      </c>
      <c r="K679" s="12">
        <f>_xlfn.XLOOKUP(Input_Table[[#This Row],[INVOICE ID]],'SuperMarket Analysis'!A:A,'SuperMarket Analysis'!J:J)</f>
        <v>177.40799999999999</v>
      </c>
      <c r="L679" s="6">
        <f>DAY(Input_Table[[#This Row],[DATE]])</f>
        <v>1</v>
      </c>
      <c r="M679" s="6" t="str">
        <f>TEXT(Input_Table[[#This Row],[DATE]],"mmmm")</f>
        <v>January</v>
      </c>
      <c r="N679" s="6">
        <f>YEAR(Input_Table[[#This Row],[DATE]])</f>
        <v>2019</v>
      </c>
    </row>
    <row r="680" spans="1:14" x14ac:dyDescent="0.3">
      <c r="A680" s="2">
        <f>_xlfn.XLOOKUP(B680,SuperMarket_Analysis[Invoice ID],SuperMarket_Analysis[Date])</f>
        <v>43649</v>
      </c>
      <c r="B680" s="6" t="s">
        <v>711</v>
      </c>
      <c r="C680" s="7">
        <f>_xlfn.XLOOKUP(B680,SuperMarket_Analysis[Invoice ID],SuperMarket_Analysis[Quantity])</f>
        <v>4</v>
      </c>
      <c r="D680" s="6" t="str">
        <f>_xlfn.XLOOKUP('Input data'!B680,'SuperMarket Analysis'!A:A,'SuperMarket Analysis'!F:F)</f>
        <v>Home and lifestyle</v>
      </c>
      <c r="E680" s="6" t="str">
        <f>_xlfn.XLOOKUP(B680,'SuperMarket Analysis'!A:A,'SuperMarket Analysis'!M:M)</f>
        <v>Cash</v>
      </c>
      <c r="F680" s="6">
        <f>0.05*Input_Table[[#This Row],[TOTAL C.O.G.S]]</f>
        <v>5.6619999999999999</v>
      </c>
      <c r="G680" s="6" t="str">
        <f>_xlfn.XLOOKUP(Input_Table[[#This Row],[INVOICE ID]],'SuperMarket Analysis'!A:A,'SuperMarket Analysis'!B:B)</f>
        <v>Alex</v>
      </c>
      <c r="H680" s="6" t="str">
        <f>_xlfn.XLOOKUP(Input_Table[[#This Row],[INVOICE ID]],'SuperMarket Analysis'!A:A,'SuperMarket Analysis'!F:F)</f>
        <v>Home and lifestyle</v>
      </c>
      <c r="I680" s="12">
        <f>_xlfn.XLOOKUP(Input_Table[[#This Row],[INVOICE ID]],'SuperMarket Analysis'!A:A,'SuperMarket Analysis'!G:G)</f>
        <v>28.31</v>
      </c>
      <c r="J680" s="12">
        <f>_xlfn.XLOOKUP(Input_Table[[#This Row],[INVOICE ID]],'SuperMarket Analysis'!A:A,'SuperMarket Analysis'!N:N)</f>
        <v>113.24</v>
      </c>
      <c r="K680" s="12">
        <f>_xlfn.XLOOKUP(Input_Table[[#This Row],[INVOICE ID]],'SuperMarket Analysis'!A:A,'SuperMarket Analysis'!J:J)</f>
        <v>118.902</v>
      </c>
      <c r="L680" s="6">
        <f>DAY(Input_Table[[#This Row],[DATE]])</f>
        <v>3</v>
      </c>
      <c r="M680" s="6" t="str">
        <f>TEXT(Input_Table[[#This Row],[DATE]],"mmmm")</f>
        <v>July</v>
      </c>
      <c r="N680" s="6">
        <f>YEAR(Input_Table[[#This Row],[DATE]])</f>
        <v>2019</v>
      </c>
    </row>
    <row r="681" spans="1:14" x14ac:dyDescent="0.3">
      <c r="A681" s="2">
        <f>_xlfn.XLOOKUP(B681,SuperMarket_Analysis[Invoice ID],SuperMarket_Analysis[Date])</f>
        <v>43678</v>
      </c>
      <c r="B681" s="6" t="s">
        <v>712</v>
      </c>
      <c r="C681" s="7">
        <f>_xlfn.XLOOKUP(B681,SuperMarket_Analysis[Invoice ID],SuperMarket_Analysis[Quantity])</f>
        <v>2</v>
      </c>
      <c r="D681" s="6" t="str">
        <f>_xlfn.XLOOKUP('Input data'!B681,'SuperMarket Analysis'!A:A,'SuperMarket Analysis'!F:F)</f>
        <v>Sports and travel</v>
      </c>
      <c r="E681" s="6" t="str">
        <f>_xlfn.XLOOKUP(B681,'SuperMarket Analysis'!A:A,'SuperMarket Analysis'!M:M)</f>
        <v>Ewallet</v>
      </c>
      <c r="F681" s="6">
        <f>0.05*Input_Table[[#This Row],[TOTAL C.O.G.S]]</f>
        <v>1.276</v>
      </c>
      <c r="G681" s="6" t="str">
        <f>_xlfn.XLOOKUP(Input_Table[[#This Row],[INVOICE ID]],'SuperMarket Analysis'!A:A,'SuperMarket Analysis'!B:B)</f>
        <v>Alex</v>
      </c>
      <c r="H681" s="6" t="str">
        <f>_xlfn.XLOOKUP(Input_Table[[#This Row],[INVOICE ID]],'SuperMarket Analysis'!A:A,'SuperMarket Analysis'!F:F)</f>
        <v>Sports and travel</v>
      </c>
      <c r="I681" s="12">
        <f>_xlfn.XLOOKUP(Input_Table[[#This Row],[INVOICE ID]],'SuperMarket Analysis'!A:A,'SuperMarket Analysis'!G:G)</f>
        <v>12.76</v>
      </c>
      <c r="J681" s="12">
        <f>_xlfn.XLOOKUP(Input_Table[[#This Row],[INVOICE ID]],'SuperMarket Analysis'!A:A,'SuperMarket Analysis'!N:N)</f>
        <v>25.52</v>
      </c>
      <c r="K681" s="12">
        <f>_xlfn.XLOOKUP(Input_Table[[#This Row],[INVOICE ID]],'SuperMarket Analysis'!A:A,'SuperMarket Analysis'!J:J)</f>
        <v>26.795999999999999</v>
      </c>
      <c r="L681" s="6">
        <f>DAY(Input_Table[[#This Row],[DATE]])</f>
        <v>1</v>
      </c>
      <c r="M681" s="6" t="str">
        <f>TEXT(Input_Table[[#This Row],[DATE]],"mmmm")</f>
        <v>August</v>
      </c>
      <c r="N681" s="6">
        <f>YEAR(Input_Table[[#This Row],[DATE]])</f>
        <v>2019</v>
      </c>
    </row>
    <row r="682" spans="1:14" x14ac:dyDescent="0.3">
      <c r="A682" s="2">
        <f>_xlfn.XLOOKUP(B682,SuperMarket_Analysis[Invoice ID],SuperMarket_Analysis[Date])</f>
        <v>43800</v>
      </c>
      <c r="B682" s="6" t="s">
        <v>713</v>
      </c>
      <c r="C682" s="7">
        <f>_xlfn.XLOOKUP(B682,SuperMarket_Analysis[Invoice ID],SuperMarket_Analysis[Quantity])</f>
        <v>7</v>
      </c>
      <c r="D682" s="6" t="str">
        <f>_xlfn.XLOOKUP('Input data'!B682,'SuperMarket Analysis'!A:A,'SuperMarket Analysis'!F:F)</f>
        <v>Home and lifestyle</v>
      </c>
      <c r="E682" s="6" t="str">
        <f>_xlfn.XLOOKUP(B682,'SuperMarket Analysis'!A:A,'SuperMarket Analysis'!M:M)</f>
        <v>Cash</v>
      </c>
      <c r="F682" s="6">
        <f>0.05*Input_Table[[#This Row],[TOTAL C.O.G.S]]</f>
        <v>17.874500000000001</v>
      </c>
      <c r="G682" s="6" t="str">
        <f>_xlfn.XLOOKUP(Input_Table[[#This Row],[INVOICE ID]],'SuperMarket Analysis'!A:A,'SuperMarket Analysis'!B:B)</f>
        <v>Cairo</v>
      </c>
      <c r="H682" s="6" t="str">
        <f>_xlfn.XLOOKUP(Input_Table[[#This Row],[INVOICE ID]],'SuperMarket Analysis'!A:A,'SuperMarket Analysis'!F:F)</f>
        <v>Home and lifestyle</v>
      </c>
      <c r="I682" s="12">
        <f>_xlfn.XLOOKUP(Input_Table[[#This Row],[INVOICE ID]],'SuperMarket Analysis'!A:A,'SuperMarket Analysis'!G:G)</f>
        <v>51.07</v>
      </c>
      <c r="J682" s="12">
        <f>_xlfn.XLOOKUP(Input_Table[[#This Row],[INVOICE ID]],'SuperMarket Analysis'!A:A,'SuperMarket Analysis'!N:N)</f>
        <v>357.49</v>
      </c>
      <c r="K682" s="12">
        <f>_xlfn.XLOOKUP(Input_Table[[#This Row],[INVOICE ID]],'SuperMarket Analysis'!A:A,'SuperMarket Analysis'!J:J)</f>
        <v>375.36450000000002</v>
      </c>
      <c r="L682" s="6">
        <f>DAY(Input_Table[[#This Row],[DATE]])</f>
        <v>1</v>
      </c>
      <c r="M682" s="6" t="str">
        <f>TEXT(Input_Table[[#This Row],[DATE]],"mmmm")</f>
        <v>December</v>
      </c>
      <c r="N682" s="6">
        <f>YEAR(Input_Table[[#This Row],[DATE]])</f>
        <v>2019</v>
      </c>
    </row>
    <row r="683" spans="1:14" x14ac:dyDescent="0.3">
      <c r="A683" s="2">
        <f>_xlfn.XLOOKUP(B683,SuperMarket_Analysis[Invoice ID],SuperMarket_Analysis[Date])</f>
        <v>43678</v>
      </c>
      <c r="B683" s="6" t="s">
        <v>714</v>
      </c>
      <c r="C683" s="7">
        <f>_xlfn.XLOOKUP(B683,SuperMarket_Analysis[Invoice ID],SuperMarket_Analysis[Quantity])</f>
        <v>3</v>
      </c>
      <c r="D683" s="6" t="str">
        <f>_xlfn.XLOOKUP('Input data'!B683,'SuperMarket Analysis'!A:A,'SuperMarket Analysis'!F:F)</f>
        <v>Electronic accessories</v>
      </c>
      <c r="E683" s="6" t="str">
        <f>_xlfn.XLOOKUP(B683,'SuperMarket Analysis'!A:A,'SuperMarket Analysis'!M:M)</f>
        <v>Cash</v>
      </c>
      <c r="F683" s="6">
        <f>0.05*Input_Table[[#This Row],[TOTAL C.O.G.S]]</f>
        <v>11.938500000000001</v>
      </c>
      <c r="G683" s="6" t="str">
        <f>_xlfn.XLOOKUP(Input_Table[[#This Row],[INVOICE ID]],'SuperMarket Analysis'!A:A,'SuperMarket Analysis'!B:B)</f>
        <v>Alex</v>
      </c>
      <c r="H683" s="6" t="str">
        <f>_xlfn.XLOOKUP(Input_Table[[#This Row],[INVOICE ID]],'SuperMarket Analysis'!A:A,'SuperMarket Analysis'!F:F)</f>
        <v>Electronic accessories</v>
      </c>
      <c r="I683" s="12">
        <f>_xlfn.XLOOKUP(Input_Table[[#This Row],[INVOICE ID]],'SuperMarket Analysis'!A:A,'SuperMarket Analysis'!G:G)</f>
        <v>79.59</v>
      </c>
      <c r="J683" s="12">
        <f>_xlfn.XLOOKUP(Input_Table[[#This Row],[INVOICE ID]],'SuperMarket Analysis'!A:A,'SuperMarket Analysis'!N:N)</f>
        <v>238.77</v>
      </c>
      <c r="K683" s="12">
        <f>_xlfn.XLOOKUP(Input_Table[[#This Row],[INVOICE ID]],'SuperMarket Analysis'!A:A,'SuperMarket Analysis'!J:J)</f>
        <v>250.70849999999999</v>
      </c>
      <c r="L683" s="6">
        <f>DAY(Input_Table[[#This Row],[DATE]])</f>
        <v>1</v>
      </c>
      <c r="M683" s="6" t="str">
        <f>TEXT(Input_Table[[#This Row],[DATE]],"mmmm")</f>
        <v>August</v>
      </c>
      <c r="N683" s="6">
        <f>YEAR(Input_Table[[#This Row],[DATE]])</f>
        <v>2019</v>
      </c>
    </row>
    <row r="684" spans="1:14" x14ac:dyDescent="0.3">
      <c r="A684" s="2">
        <f>_xlfn.XLOOKUP(B684,SuperMarket_Analysis[Invoice ID],SuperMarket_Analysis[Date])</f>
        <v>43678</v>
      </c>
      <c r="B684" s="6" t="s">
        <v>715</v>
      </c>
      <c r="C684" s="7">
        <f>_xlfn.XLOOKUP(B684,SuperMarket_Analysis[Invoice ID],SuperMarket_Analysis[Quantity])</f>
        <v>3</v>
      </c>
      <c r="D684" s="6" t="str">
        <f>_xlfn.XLOOKUP('Input data'!B684,'SuperMarket Analysis'!A:A,'SuperMarket Analysis'!F:F)</f>
        <v>Food and beverages</v>
      </c>
      <c r="E684" s="6" t="str">
        <f>_xlfn.XLOOKUP(B684,'SuperMarket Analysis'!A:A,'SuperMarket Analysis'!M:M)</f>
        <v>Credit card</v>
      </c>
      <c r="F684" s="6">
        <f>0.05*Input_Table[[#This Row],[TOTAL C.O.G.S]]</f>
        <v>3.6465000000000005</v>
      </c>
      <c r="G684" s="6" t="str">
        <f>_xlfn.XLOOKUP(Input_Table[[#This Row],[INVOICE ID]],'SuperMarket Analysis'!A:A,'SuperMarket Analysis'!B:B)</f>
        <v>Giza</v>
      </c>
      <c r="H684" s="6" t="str">
        <f>_xlfn.XLOOKUP(Input_Table[[#This Row],[INVOICE ID]],'SuperMarket Analysis'!A:A,'SuperMarket Analysis'!F:F)</f>
        <v>Food and beverages</v>
      </c>
      <c r="I684" s="12">
        <f>_xlfn.XLOOKUP(Input_Table[[#This Row],[INVOICE ID]],'SuperMarket Analysis'!A:A,'SuperMarket Analysis'!G:G)</f>
        <v>24.31</v>
      </c>
      <c r="J684" s="12">
        <f>_xlfn.XLOOKUP(Input_Table[[#This Row],[INVOICE ID]],'SuperMarket Analysis'!A:A,'SuperMarket Analysis'!N:N)</f>
        <v>72.930000000000007</v>
      </c>
      <c r="K684" s="12">
        <f>_xlfn.XLOOKUP(Input_Table[[#This Row],[INVOICE ID]],'SuperMarket Analysis'!A:A,'SuperMarket Analysis'!J:J)</f>
        <v>76.576499999999996</v>
      </c>
      <c r="L684" s="6">
        <f>DAY(Input_Table[[#This Row],[DATE]])</f>
        <v>1</v>
      </c>
      <c r="M684" s="6" t="str">
        <f>TEXT(Input_Table[[#This Row],[DATE]],"mmmm")</f>
        <v>August</v>
      </c>
      <c r="N684" s="6">
        <f>YEAR(Input_Table[[#This Row],[DATE]])</f>
        <v>2019</v>
      </c>
    </row>
    <row r="685" spans="1:14" x14ac:dyDescent="0.3">
      <c r="A685" s="2">
        <f>_xlfn.XLOOKUP(B685,SuperMarket_Analysis[Invoice ID],SuperMarket_Analysis[Date])</f>
        <v>43617</v>
      </c>
      <c r="B685" s="6" t="s">
        <v>716</v>
      </c>
      <c r="C685" s="7">
        <f>_xlfn.XLOOKUP(B685,SuperMarket_Analysis[Invoice ID],SuperMarket_Analysis[Quantity])</f>
        <v>4</v>
      </c>
      <c r="D685" s="6" t="str">
        <f>_xlfn.XLOOKUP('Input data'!B685,'SuperMarket Analysis'!A:A,'SuperMarket Analysis'!F:F)</f>
        <v>Sports and travel</v>
      </c>
      <c r="E685" s="6" t="str">
        <f>_xlfn.XLOOKUP(B685,'SuperMarket Analysis'!A:A,'SuperMarket Analysis'!M:M)</f>
        <v>Ewallet</v>
      </c>
      <c r="F685" s="6">
        <f>0.05*Input_Table[[#This Row],[TOTAL C.O.G.S]]</f>
        <v>12.918000000000001</v>
      </c>
      <c r="G685" s="6" t="str">
        <f>_xlfn.XLOOKUP(Input_Table[[#This Row],[INVOICE ID]],'SuperMarket Analysis'!A:A,'SuperMarket Analysis'!B:B)</f>
        <v>Alex</v>
      </c>
      <c r="H685" s="6" t="str">
        <f>_xlfn.XLOOKUP(Input_Table[[#This Row],[INVOICE ID]],'SuperMarket Analysis'!A:A,'SuperMarket Analysis'!F:F)</f>
        <v>Sports and travel</v>
      </c>
      <c r="I685" s="12">
        <f>_xlfn.XLOOKUP(Input_Table[[#This Row],[INVOICE ID]],'SuperMarket Analysis'!A:A,'SuperMarket Analysis'!G:G)</f>
        <v>64.59</v>
      </c>
      <c r="J685" s="12">
        <f>_xlfn.XLOOKUP(Input_Table[[#This Row],[INVOICE ID]],'SuperMarket Analysis'!A:A,'SuperMarket Analysis'!N:N)</f>
        <v>258.36</v>
      </c>
      <c r="K685" s="12">
        <f>_xlfn.XLOOKUP(Input_Table[[#This Row],[INVOICE ID]],'SuperMarket Analysis'!A:A,'SuperMarket Analysis'!J:J)</f>
        <v>271.27800000000002</v>
      </c>
      <c r="L685" s="6">
        <f>DAY(Input_Table[[#This Row],[DATE]])</f>
        <v>1</v>
      </c>
      <c r="M685" s="6" t="str">
        <f>TEXT(Input_Table[[#This Row],[DATE]],"mmmm")</f>
        <v>June</v>
      </c>
      <c r="N685" s="6">
        <f>YEAR(Input_Table[[#This Row],[DATE]])</f>
        <v>2019</v>
      </c>
    </row>
    <row r="686" spans="1:14" x14ac:dyDescent="0.3">
      <c r="A686" s="2">
        <f>_xlfn.XLOOKUP(B686,SuperMarket_Analysis[Invoice ID],SuperMarket_Analysis[Date])</f>
        <v>43801</v>
      </c>
      <c r="B686" s="6" t="s">
        <v>717</v>
      </c>
      <c r="C686" s="7">
        <f>_xlfn.XLOOKUP(B686,SuperMarket_Analysis[Invoice ID],SuperMarket_Analysis[Quantity])</f>
        <v>1</v>
      </c>
      <c r="D686" s="6" t="str">
        <f>_xlfn.XLOOKUP('Input data'!B686,'SuperMarket Analysis'!A:A,'SuperMarket Analysis'!F:F)</f>
        <v>Fashion accessories</v>
      </c>
      <c r="E686" s="6" t="str">
        <f>_xlfn.XLOOKUP(B686,'SuperMarket Analysis'!A:A,'SuperMarket Analysis'!M:M)</f>
        <v>Cash</v>
      </c>
      <c r="F686" s="6">
        <f>0.05*Input_Table[[#This Row],[TOTAL C.O.G.S]]</f>
        <v>2.6175000000000002</v>
      </c>
      <c r="G686" s="6" t="str">
        <f>_xlfn.XLOOKUP(Input_Table[[#This Row],[INVOICE ID]],'SuperMarket Analysis'!A:A,'SuperMarket Analysis'!B:B)</f>
        <v>Giza</v>
      </c>
      <c r="H686" s="6" t="str">
        <f>_xlfn.XLOOKUP(Input_Table[[#This Row],[INVOICE ID]],'SuperMarket Analysis'!A:A,'SuperMarket Analysis'!F:F)</f>
        <v>Fashion accessories</v>
      </c>
      <c r="I686" s="12">
        <f>_xlfn.XLOOKUP(Input_Table[[#This Row],[INVOICE ID]],'SuperMarket Analysis'!A:A,'SuperMarket Analysis'!G:G)</f>
        <v>52.35</v>
      </c>
      <c r="J686" s="12">
        <f>_xlfn.XLOOKUP(Input_Table[[#This Row],[INVOICE ID]],'SuperMarket Analysis'!A:A,'SuperMarket Analysis'!N:N)</f>
        <v>52.35</v>
      </c>
      <c r="K686" s="12">
        <f>_xlfn.XLOOKUP(Input_Table[[#This Row],[INVOICE ID]],'SuperMarket Analysis'!A:A,'SuperMarket Analysis'!J:J)</f>
        <v>54.967500000000001</v>
      </c>
      <c r="L686" s="6">
        <f>DAY(Input_Table[[#This Row],[DATE]])</f>
        <v>2</v>
      </c>
      <c r="M686" s="6" t="str">
        <f>TEXT(Input_Table[[#This Row],[DATE]],"mmmm")</f>
        <v>December</v>
      </c>
      <c r="N686" s="6">
        <f>YEAR(Input_Table[[#This Row],[DATE]])</f>
        <v>2019</v>
      </c>
    </row>
    <row r="687" spans="1:14" x14ac:dyDescent="0.3">
      <c r="A687" s="2">
        <f>_xlfn.XLOOKUP(B687,SuperMarket_Analysis[Invoice ID],SuperMarket_Analysis[Date])</f>
        <v>43678</v>
      </c>
      <c r="B687" s="6" t="s">
        <v>718</v>
      </c>
      <c r="C687" s="7">
        <f>_xlfn.XLOOKUP(B687,SuperMarket_Analysis[Invoice ID],SuperMarket_Analysis[Quantity])</f>
        <v>10</v>
      </c>
      <c r="D687" s="6" t="str">
        <f>_xlfn.XLOOKUP('Input data'!B687,'SuperMarket Analysis'!A:A,'SuperMarket Analysis'!F:F)</f>
        <v>Food and beverages</v>
      </c>
      <c r="E687" s="6" t="str">
        <f>_xlfn.XLOOKUP(B687,'SuperMarket Analysis'!A:A,'SuperMarket Analysis'!M:M)</f>
        <v>Ewallet</v>
      </c>
      <c r="F687" s="6">
        <f>0.05*Input_Table[[#This Row],[TOTAL C.O.G.S]]</f>
        <v>16.605</v>
      </c>
      <c r="G687" s="6" t="str">
        <f>_xlfn.XLOOKUP(Input_Table[[#This Row],[INVOICE ID]],'SuperMarket Analysis'!A:A,'SuperMarket Analysis'!B:B)</f>
        <v>Cairo</v>
      </c>
      <c r="H687" s="6" t="str">
        <f>_xlfn.XLOOKUP(Input_Table[[#This Row],[INVOICE ID]],'SuperMarket Analysis'!A:A,'SuperMarket Analysis'!F:F)</f>
        <v>Food and beverages</v>
      </c>
      <c r="I687" s="12">
        <f>_xlfn.XLOOKUP(Input_Table[[#This Row],[INVOICE ID]],'SuperMarket Analysis'!A:A,'SuperMarket Analysis'!G:G)</f>
        <v>33.21</v>
      </c>
      <c r="J687" s="12">
        <f>_xlfn.XLOOKUP(Input_Table[[#This Row],[INVOICE ID]],'SuperMarket Analysis'!A:A,'SuperMarket Analysis'!N:N)</f>
        <v>332.1</v>
      </c>
      <c r="K687" s="12">
        <f>_xlfn.XLOOKUP(Input_Table[[#This Row],[INVOICE ID]],'SuperMarket Analysis'!A:A,'SuperMarket Analysis'!J:J)</f>
        <v>348.70499999999998</v>
      </c>
      <c r="L687" s="6">
        <f>DAY(Input_Table[[#This Row],[DATE]])</f>
        <v>1</v>
      </c>
      <c r="M687" s="6" t="str">
        <f>TEXT(Input_Table[[#This Row],[DATE]],"mmmm")</f>
        <v>August</v>
      </c>
      <c r="N687" s="6">
        <f>YEAR(Input_Table[[#This Row],[DATE]])</f>
        <v>2019</v>
      </c>
    </row>
    <row r="688" spans="1:14" x14ac:dyDescent="0.3">
      <c r="A688" s="2">
        <f>_xlfn.XLOOKUP(B688,SuperMarket_Analysis[Invoice ID],SuperMarket_Analysis[Date])</f>
        <v>43587</v>
      </c>
      <c r="B688" s="6" t="s">
        <v>719</v>
      </c>
      <c r="C688" s="7">
        <f>_xlfn.XLOOKUP(B688,SuperMarket_Analysis[Invoice ID],SuperMarket_Analysis[Quantity])</f>
        <v>1</v>
      </c>
      <c r="D688" s="6" t="str">
        <f>_xlfn.XLOOKUP('Input data'!B688,'SuperMarket Analysis'!A:A,'SuperMarket Analysis'!F:F)</f>
        <v>Food and beverages</v>
      </c>
      <c r="E688" s="6" t="str">
        <f>_xlfn.XLOOKUP(B688,'SuperMarket Analysis'!A:A,'SuperMarket Analysis'!M:M)</f>
        <v>Ewallet</v>
      </c>
      <c r="F688" s="6">
        <f>0.05*Input_Table[[#This Row],[TOTAL C.O.G.S]]</f>
        <v>4.3950000000000005</v>
      </c>
      <c r="G688" s="6" t="str">
        <f>_xlfn.XLOOKUP(Input_Table[[#This Row],[INVOICE ID]],'SuperMarket Analysis'!A:A,'SuperMarket Analysis'!B:B)</f>
        <v>Alex</v>
      </c>
      <c r="H688" s="6" t="str">
        <f>_xlfn.XLOOKUP(Input_Table[[#This Row],[INVOICE ID]],'SuperMarket Analysis'!A:A,'SuperMarket Analysis'!F:F)</f>
        <v>Food and beverages</v>
      </c>
      <c r="I688" s="12">
        <f>_xlfn.XLOOKUP(Input_Table[[#This Row],[INVOICE ID]],'SuperMarket Analysis'!A:A,'SuperMarket Analysis'!G:G)</f>
        <v>87.9</v>
      </c>
      <c r="J688" s="12">
        <f>_xlfn.XLOOKUP(Input_Table[[#This Row],[INVOICE ID]],'SuperMarket Analysis'!A:A,'SuperMarket Analysis'!N:N)</f>
        <v>87.9</v>
      </c>
      <c r="K688" s="12">
        <f>_xlfn.XLOOKUP(Input_Table[[#This Row],[INVOICE ID]],'SuperMarket Analysis'!A:A,'SuperMarket Analysis'!J:J)</f>
        <v>92.295000000000002</v>
      </c>
      <c r="L688" s="6">
        <f>DAY(Input_Table[[#This Row],[DATE]])</f>
        <v>2</v>
      </c>
      <c r="M688" s="6" t="str">
        <f>TEXT(Input_Table[[#This Row],[DATE]],"mmmm")</f>
        <v>May</v>
      </c>
      <c r="N688" s="6">
        <f>YEAR(Input_Table[[#This Row],[DATE]])</f>
        <v>2019</v>
      </c>
    </row>
    <row r="689" spans="1:14" x14ac:dyDescent="0.3">
      <c r="A689" s="2">
        <f>_xlfn.XLOOKUP(B689,SuperMarket_Analysis[Invoice ID],SuperMarket_Analysis[Date])</f>
        <v>43648</v>
      </c>
      <c r="B689" s="6" t="s">
        <v>720</v>
      </c>
      <c r="C689" s="7">
        <f>_xlfn.XLOOKUP(B689,SuperMarket_Analysis[Invoice ID],SuperMarket_Analysis[Quantity])</f>
        <v>8</v>
      </c>
      <c r="D689" s="6" t="str">
        <f>_xlfn.XLOOKUP('Input data'!B689,'SuperMarket Analysis'!A:A,'SuperMarket Analysis'!F:F)</f>
        <v>Electronic accessories</v>
      </c>
      <c r="E689" s="6" t="str">
        <f>_xlfn.XLOOKUP(B689,'SuperMarket Analysis'!A:A,'SuperMarket Analysis'!M:M)</f>
        <v>Cash</v>
      </c>
      <c r="F689" s="6">
        <f>0.05*Input_Table[[#This Row],[TOTAL C.O.G.S]]</f>
        <v>23.164000000000001</v>
      </c>
      <c r="G689" s="6" t="str">
        <f>_xlfn.XLOOKUP(Input_Table[[#This Row],[INVOICE ID]],'SuperMarket Analysis'!A:A,'SuperMarket Analysis'!B:B)</f>
        <v>Cairo</v>
      </c>
      <c r="H689" s="6" t="str">
        <f>_xlfn.XLOOKUP(Input_Table[[#This Row],[INVOICE ID]],'SuperMarket Analysis'!A:A,'SuperMarket Analysis'!F:F)</f>
        <v>Electronic accessories</v>
      </c>
      <c r="I689" s="12">
        <f>_xlfn.XLOOKUP(Input_Table[[#This Row],[INVOICE ID]],'SuperMarket Analysis'!A:A,'SuperMarket Analysis'!G:G)</f>
        <v>57.91</v>
      </c>
      <c r="J689" s="12">
        <f>_xlfn.XLOOKUP(Input_Table[[#This Row],[INVOICE ID]],'SuperMarket Analysis'!A:A,'SuperMarket Analysis'!N:N)</f>
        <v>463.28</v>
      </c>
      <c r="K689" s="12">
        <f>_xlfn.XLOOKUP(Input_Table[[#This Row],[INVOICE ID]],'SuperMarket Analysis'!A:A,'SuperMarket Analysis'!J:J)</f>
        <v>486.44400000000002</v>
      </c>
      <c r="L689" s="6">
        <f>DAY(Input_Table[[#This Row],[DATE]])</f>
        <v>2</v>
      </c>
      <c r="M689" s="6" t="str">
        <f>TEXT(Input_Table[[#This Row],[DATE]],"mmmm")</f>
        <v>July</v>
      </c>
      <c r="N689" s="6">
        <f>YEAR(Input_Table[[#This Row],[DATE]])</f>
        <v>2019</v>
      </c>
    </row>
    <row r="690" spans="1:14" x14ac:dyDescent="0.3">
      <c r="A690" s="2">
        <f>_xlfn.XLOOKUP(B690,SuperMarket_Analysis[Invoice ID],SuperMarket_Analysis[Date])</f>
        <v>43499</v>
      </c>
      <c r="B690" s="6" t="s">
        <v>721</v>
      </c>
      <c r="C690" s="7">
        <f>_xlfn.XLOOKUP(B690,SuperMarket_Analysis[Invoice ID],SuperMarket_Analysis[Quantity])</f>
        <v>5</v>
      </c>
      <c r="D690" s="6" t="str">
        <f>_xlfn.XLOOKUP('Input data'!B690,'SuperMarket Analysis'!A:A,'SuperMarket Analysis'!F:F)</f>
        <v>Fashion accessories</v>
      </c>
      <c r="E690" s="6" t="str">
        <f>_xlfn.XLOOKUP(B690,'SuperMarket Analysis'!A:A,'SuperMarket Analysis'!M:M)</f>
        <v>Credit card</v>
      </c>
      <c r="F690" s="6">
        <f>0.05*Input_Table[[#This Row],[TOTAL C.O.G.S]]</f>
        <v>23.122500000000002</v>
      </c>
      <c r="G690" s="6" t="str">
        <f>_xlfn.XLOOKUP(Input_Table[[#This Row],[INVOICE ID]],'SuperMarket Analysis'!A:A,'SuperMarket Analysis'!B:B)</f>
        <v>Giza</v>
      </c>
      <c r="H690" s="6" t="str">
        <f>_xlfn.XLOOKUP(Input_Table[[#This Row],[INVOICE ID]],'SuperMarket Analysis'!A:A,'SuperMarket Analysis'!F:F)</f>
        <v>Fashion accessories</v>
      </c>
      <c r="I690" s="12">
        <f>_xlfn.XLOOKUP(Input_Table[[#This Row],[INVOICE ID]],'SuperMarket Analysis'!A:A,'SuperMarket Analysis'!G:G)</f>
        <v>92.49</v>
      </c>
      <c r="J690" s="12">
        <f>_xlfn.XLOOKUP(Input_Table[[#This Row],[INVOICE ID]],'SuperMarket Analysis'!A:A,'SuperMarket Analysis'!N:N)</f>
        <v>462.45</v>
      </c>
      <c r="K690" s="12">
        <f>_xlfn.XLOOKUP(Input_Table[[#This Row],[INVOICE ID]],'SuperMarket Analysis'!A:A,'SuperMarket Analysis'!J:J)</f>
        <v>485.57249999999999</v>
      </c>
      <c r="L690" s="6">
        <f>DAY(Input_Table[[#This Row],[DATE]])</f>
        <v>3</v>
      </c>
      <c r="M690" s="6" t="str">
        <f>TEXT(Input_Table[[#This Row],[DATE]],"mmmm")</f>
        <v>February</v>
      </c>
      <c r="N690" s="6">
        <f>YEAR(Input_Table[[#This Row],[DATE]])</f>
        <v>2019</v>
      </c>
    </row>
    <row r="691" spans="1:14" x14ac:dyDescent="0.3">
      <c r="A691" s="2">
        <f>_xlfn.XLOOKUP(B691,SuperMarket_Analysis[Invoice ID],SuperMarket_Analysis[Date])</f>
        <v>43619</v>
      </c>
      <c r="B691" s="6" t="s">
        <v>722</v>
      </c>
      <c r="C691" s="7">
        <f>_xlfn.XLOOKUP(B691,SuperMarket_Analysis[Invoice ID],SuperMarket_Analysis[Quantity])</f>
        <v>5</v>
      </c>
      <c r="D691" s="6" t="str">
        <f>_xlfn.XLOOKUP('Input data'!B691,'SuperMarket Analysis'!A:A,'SuperMarket Analysis'!F:F)</f>
        <v>Electronic accessories</v>
      </c>
      <c r="E691" s="6" t="str">
        <f>_xlfn.XLOOKUP(B691,'SuperMarket Analysis'!A:A,'SuperMarket Analysis'!M:M)</f>
        <v>Cash</v>
      </c>
      <c r="F691" s="6">
        <f>0.05*Input_Table[[#This Row],[TOTAL C.O.G.S]]</f>
        <v>7.0950000000000006</v>
      </c>
      <c r="G691" s="6" t="str">
        <f>_xlfn.XLOOKUP(Input_Table[[#This Row],[INVOICE ID]],'SuperMarket Analysis'!A:A,'SuperMarket Analysis'!B:B)</f>
        <v>Cairo</v>
      </c>
      <c r="H691" s="6" t="str">
        <f>_xlfn.XLOOKUP(Input_Table[[#This Row],[INVOICE ID]],'SuperMarket Analysis'!A:A,'SuperMarket Analysis'!F:F)</f>
        <v>Electronic accessories</v>
      </c>
      <c r="I691" s="12">
        <f>_xlfn.XLOOKUP(Input_Table[[#This Row],[INVOICE ID]],'SuperMarket Analysis'!A:A,'SuperMarket Analysis'!G:G)</f>
        <v>28.38</v>
      </c>
      <c r="J691" s="12">
        <f>_xlfn.XLOOKUP(Input_Table[[#This Row],[INVOICE ID]],'SuperMarket Analysis'!A:A,'SuperMarket Analysis'!N:N)</f>
        <v>141.9</v>
      </c>
      <c r="K691" s="12">
        <f>_xlfn.XLOOKUP(Input_Table[[#This Row],[INVOICE ID]],'SuperMarket Analysis'!A:A,'SuperMarket Analysis'!J:J)</f>
        <v>148.995</v>
      </c>
      <c r="L691" s="6">
        <f>DAY(Input_Table[[#This Row],[DATE]])</f>
        <v>3</v>
      </c>
      <c r="M691" s="6" t="str">
        <f>TEXT(Input_Table[[#This Row],[DATE]],"mmmm")</f>
        <v>June</v>
      </c>
      <c r="N691" s="6">
        <f>YEAR(Input_Table[[#This Row],[DATE]])</f>
        <v>2019</v>
      </c>
    </row>
    <row r="692" spans="1:14" x14ac:dyDescent="0.3">
      <c r="A692" s="2">
        <f>_xlfn.XLOOKUP(B692,SuperMarket_Analysis[Invoice ID],SuperMarket_Analysis[Date])</f>
        <v>43618</v>
      </c>
      <c r="B692" s="6" t="s">
        <v>723</v>
      </c>
      <c r="C692" s="7">
        <f>_xlfn.XLOOKUP(B692,SuperMarket_Analysis[Invoice ID],SuperMarket_Analysis[Quantity])</f>
        <v>6</v>
      </c>
      <c r="D692" s="6" t="str">
        <f>_xlfn.XLOOKUP('Input data'!B692,'SuperMarket Analysis'!A:A,'SuperMarket Analysis'!F:F)</f>
        <v>Electronic accessories</v>
      </c>
      <c r="E692" s="6" t="str">
        <f>_xlfn.XLOOKUP(B692,'SuperMarket Analysis'!A:A,'SuperMarket Analysis'!M:M)</f>
        <v>Credit card</v>
      </c>
      <c r="F692" s="6">
        <f>0.05*Input_Table[[#This Row],[TOTAL C.O.G.S]]</f>
        <v>15.135</v>
      </c>
      <c r="G692" s="6" t="str">
        <f>_xlfn.XLOOKUP(Input_Table[[#This Row],[INVOICE ID]],'SuperMarket Analysis'!A:A,'SuperMarket Analysis'!B:B)</f>
        <v>Cairo</v>
      </c>
      <c r="H692" s="6" t="str">
        <f>_xlfn.XLOOKUP(Input_Table[[#This Row],[INVOICE ID]],'SuperMarket Analysis'!A:A,'SuperMarket Analysis'!F:F)</f>
        <v>Electronic accessories</v>
      </c>
      <c r="I692" s="12">
        <f>_xlfn.XLOOKUP(Input_Table[[#This Row],[INVOICE ID]],'SuperMarket Analysis'!A:A,'SuperMarket Analysis'!G:G)</f>
        <v>50.45</v>
      </c>
      <c r="J692" s="12">
        <f>_xlfn.XLOOKUP(Input_Table[[#This Row],[INVOICE ID]],'SuperMarket Analysis'!A:A,'SuperMarket Analysis'!N:N)</f>
        <v>302.7</v>
      </c>
      <c r="K692" s="12">
        <f>_xlfn.XLOOKUP(Input_Table[[#This Row],[INVOICE ID]],'SuperMarket Analysis'!A:A,'SuperMarket Analysis'!J:J)</f>
        <v>317.83499999999998</v>
      </c>
      <c r="L692" s="6">
        <f>DAY(Input_Table[[#This Row],[DATE]])</f>
        <v>2</v>
      </c>
      <c r="M692" s="6" t="str">
        <f>TEXT(Input_Table[[#This Row],[DATE]],"mmmm")</f>
        <v>June</v>
      </c>
      <c r="N692" s="6">
        <f>YEAR(Input_Table[[#This Row],[DATE]])</f>
        <v>2019</v>
      </c>
    </row>
    <row r="693" spans="1:14" x14ac:dyDescent="0.3">
      <c r="A693" s="2">
        <f>_xlfn.XLOOKUP(B693,SuperMarket_Analysis[Invoice ID],SuperMarket_Analysis[Date])</f>
        <v>43587</v>
      </c>
      <c r="B693" s="6" t="s">
        <v>724</v>
      </c>
      <c r="C693" s="7">
        <f>_xlfn.XLOOKUP(B693,SuperMarket_Analysis[Invoice ID],SuperMarket_Analysis[Quantity])</f>
        <v>6</v>
      </c>
      <c r="D693" s="6" t="str">
        <f>_xlfn.XLOOKUP('Input data'!B693,'SuperMarket Analysis'!A:A,'SuperMarket Analysis'!F:F)</f>
        <v>Food and beverages</v>
      </c>
      <c r="E693" s="6" t="str">
        <f>_xlfn.XLOOKUP(B693,'SuperMarket Analysis'!A:A,'SuperMarket Analysis'!M:M)</f>
        <v>Cash</v>
      </c>
      <c r="F693" s="6">
        <f>0.05*Input_Table[[#This Row],[TOTAL C.O.G.S]]</f>
        <v>14.181000000000001</v>
      </c>
      <c r="G693" s="6" t="str">
        <f>_xlfn.XLOOKUP(Input_Table[[#This Row],[INVOICE ID]],'SuperMarket Analysis'!A:A,'SuperMarket Analysis'!B:B)</f>
        <v>Giza</v>
      </c>
      <c r="H693" s="6" t="str">
        <f>_xlfn.XLOOKUP(Input_Table[[#This Row],[INVOICE ID]],'SuperMarket Analysis'!A:A,'SuperMarket Analysis'!F:F)</f>
        <v>Food and beverages</v>
      </c>
      <c r="I693" s="12">
        <f>_xlfn.XLOOKUP(Input_Table[[#This Row],[INVOICE ID]],'SuperMarket Analysis'!A:A,'SuperMarket Analysis'!G:G)</f>
        <v>47.27</v>
      </c>
      <c r="J693" s="12">
        <f>_xlfn.XLOOKUP(Input_Table[[#This Row],[INVOICE ID]],'SuperMarket Analysis'!A:A,'SuperMarket Analysis'!N:N)</f>
        <v>283.62</v>
      </c>
      <c r="K693" s="12">
        <f>_xlfn.XLOOKUP(Input_Table[[#This Row],[INVOICE ID]],'SuperMarket Analysis'!A:A,'SuperMarket Analysis'!J:J)</f>
        <v>297.80099999999999</v>
      </c>
      <c r="L693" s="6">
        <f>DAY(Input_Table[[#This Row],[DATE]])</f>
        <v>2</v>
      </c>
      <c r="M693" s="6" t="str">
        <f>TEXT(Input_Table[[#This Row],[DATE]],"mmmm")</f>
        <v>May</v>
      </c>
      <c r="N693" s="6">
        <f>YEAR(Input_Table[[#This Row],[DATE]])</f>
        <v>2019</v>
      </c>
    </row>
    <row r="694" spans="1:14" x14ac:dyDescent="0.3">
      <c r="A694" s="2">
        <f>_xlfn.XLOOKUP(B694,SuperMarket_Analysis[Invoice ID],SuperMarket_Analysis[Date])</f>
        <v>43499</v>
      </c>
      <c r="B694" s="6" t="s">
        <v>725</v>
      </c>
      <c r="C694" s="7">
        <f>_xlfn.XLOOKUP(B694,SuperMarket_Analysis[Invoice ID],SuperMarket_Analysis[Quantity])</f>
        <v>7</v>
      </c>
      <c r="D694" s="6" t="str">
        <f>_xlfn.XLOOKUP('Input data'!B694,'SuperMarket Analysis'!A:A,'SuperMarket Analysis'!F:F)</f>
        <v>Health and beauty</v>
      </c>
      <c r="E694" s="6" t="str">
        <f>_xlfn.XLOOKUP(B694,'SuperMarket Analysis'!A:A,'SuperMarket Analysis'!M:M)</f>
        <v>Cash</v>
      </c>
      <c r="F694" s="6">
        <f>0.05*Input_Table[[#This Row],[TOTAL C.O.G.S]]</f>
        <v>29.960000000000004</v>
      </c>
      <c r="G694" s="6" t="str">
        <f>_xlfn.XLOOKUP(Input_Table[[#This Row],[INVOICE ID]],'SuperMarket Analysis'!A:A,'SuperMarket Analysis'!B:B)</f>
        <v>Giza</v>
      </c>
      <c r="H694" s="6" t="str">
        <f>_xlfn.XLOOKUP(Input_Table[[#This Row],[INVOICE ID]],'SuperMarket Analysis'!A:A,'SuperMarket Analysis'!F:F)</f>
        <v>Health and beauty</v>
      </c>
      <c r="I694" s="12">
        <f>_xlfn.XLOOKUP(Input_Table[[#This Row],[INVOICE ID]],'SuperMarket Analysis'!A:A,'SuperMarket Analysis'!G:G)</f>
        <v>85.6</v>
      </c>
      <c r="J694" s="12">
        <f>_xlfn.XLOOKUP(Input_Table[[#This Row],[INVOICE ID]],'SuperMarket Analysis'!A:A,'SuperMarket Analysis'!N:N)</f>
        <v>599.20000000000005</v>
      </c>
      <c r="K694" s="12">
        <f>_xlfn.XLOOKUP(Input_Table[[#This Row],[INVOICE ID]],'SuperMarket Analysis'!A:A,'SuperMarket Analysis'!J:J)</f>
        <v>629.16</v>
      </c>
      <c r="L694" s="6">
        <f>DAY(Input_Table[[#This Row],[DATE]])</f>
        <v>3</v>
      </c>
      <c r="M694" s="6" t="str">
        <f>TEXT(Input_Table[[#This Row],[DATE]],"mmmm")</f>
        <v>February</v>
      </c>
      <c r="N694" s="6">
        <f>YEAR(Input_Table[[#This Row],[DATE]])</f>
        <v>2019</v>
      </c>
    </row>
    <row r="695" spans="1:14" x14ac:dyDescent="0.3">
      <c r="A695" s="2">
        <f>_xlfn.XLOOKUP(B695,SuperMarket_Analysis[Invoice ID],SuperMarket_Analysis[Date])</f>
        <v>43710</v>
      </c>
      <c r="B695" s="6" t="s">
        <v>726</v>
      </c>
      <c r="C695" s="7">
        <f>_xlfn.XLOOKUP(B695,SuperMarket_Analysis[Invoice ID],SuperMarket_Analysis[Quantity])</f>
        <v>9</v>
      </c>
      <c r="D695" s="6" t="str">
        <f>_xlfn.XLOOKUP('Input data'!B695,'SuperMarket Analysis'!A:A,'SuperMarket Analysis'!F:F)</f>
        <v>Food and beverages</v>
      </c>
      <c r="E695" s="6" t="str">
        <f>_xlfn.XLOOKUP(B695,'SuperMarket Analysis'!A:A,'SuperMarket Analysis'!M:M)</f>
        <v>Ewallet</v>
      </c>
      <c r="F695" s="6">
        <f>0.05*Input_Table[[#This Row],[TOTAL C.O.G.S]]</f>
        <v>15.768000000000001</v>
      </c>
      <c r="G695" s="6" t="str">
        <f>_xlfn.XLOOKUP(Input_Table[[#This Row],[INVOICE ID]],'SuperMarket Analysis'!A:A,'SuperMarket Analysis'!B:B)</f>
        <v>Alex</v>
      </c>
      <c r="H695" s="6" t="str">
        <f>_xlfn.XLOOKUP(Input_Table[[#This Row],[INVOICE ID]],'SuperMarket Analysis'!A:A,'SuperMarket Analysis'!F:F)</f>
        <v>Food and beverages</v>
      </c>
      <c r="I695" s="12">
        <f>_xlfn.XLOOKUP(Input_Table[[#This Row],[INVOICE ID]],'SuperMarket Analysis'!A:A,'SuperMarket Analysis'!G:G)</f>
        <v>35.04</v>
      </c>
      <c r="J695" s="12">
        <f>_xlfn.XLOOKUP(Input_Table[[#This Row],[INVOICE ID]],'SuperMarket Analysis'!A:A,'SuperMarket Analysis'!N:N)</f>
        <v>315.36</v>
      </c>
      <c r="K695" s="12">
        <f>_xlfn.XLOOKUP(Input_Table[[#This Row],[INVOICE ID]],'SuperMarket Analysis'!A:A,'SuperMarket Analysis'!J:J)</f>
        <v>331.12799999999999</v>
      </c>
      <c r="L695" s="6">
        <f>DAY(Input_Table[[#This Row],[DATE]])</f>
        <v>2</v>
      </c>
      <c r="M695" s="6" t="str">
        <f>TEXT(Input_Table[[#This Row],[DATE]],"mmmm")</f>
        <v>September</v>
      </c>
      <c r="N695" s="6">
        <f>YEAR(Input_Table[[#This Row],[DATE]])</f>
        <v>2019</v>
      </c>
    </row>
    <row r="696" spans="1:14" x14ac:dyDescent="0.3">
      <c r="A696" s="2">
        <f>_xlfn.XLOOKUP(B696,SuperMarket_Analysis[Invoice ID],SuperMarket_Analysis[Date])</f>
        <v>43710</v>
      </c>
      <c r="B696" s="6" t="s">
        <v>727</v>
      </c>
      <c r="C696" s="7">
        <f>_xlfn.XLOOKUP(B696,SuperMarket_Analysis[Invoice ID],SuperMarket_Analysis[Quantity])</f>
        <v>4</v>
      </c>
      <c r="D696" s="6" t="str">
        <f>_xlfn.XLOOKUP('Input data'!B696,'SuperMarket Analysis'!A:A,'SuperMarket Analysis'!F:F)</f>
        <v>Home and lifestyle</v>
      </c>
      <c r="E696" s="6" t="str">
        <f>_xlfn.XLOOKUP(B696,'SuperMarket Analysis'!A:A,'SuperMarket Analysis'!M:M)</f>
        <v>Ewallet</v>
      </c>
      <c r="F696" s="6">
        <f>0.05*Input_Table[[#This Row],[TOTAL C.O.G.S]]</f>
        <v>9.1940000000000008</v>
      </c>
      <c r="G696" s="6" t="str">
        <f>_xlfn.XLOOKUP(Input_Table[[#This Row],[INVOICE ID]],'SuperMarket Analysis'!A:A,'SuperMarket Analysis'!B:B)</f>
        <v>Cairo</v>
      </c>
      <c r="H696" s="6" t="str">
        <f>_xlfn.XLOOKUP(Input_Table[[#This Row],[INVOICE ID]],'SuperMarket Analysis'!A:A,'SuperMarket Analysis'!F:F)</f>
        <v>Home and lifestyle</v>
      </c>
      <c r="I696" s="12">
        <f>_xlfn.XLOOKUP(Input_Table[[#This Row],[INVOICE ID]],'SuperMarket Analysis'!A:A,'SuperMarket Analysis'!G:G)</f>
        <v>45.97</v>
      </c>
      <c r="J696" s="12">
        <f>_xlfn.XLOOKUP(Input_Table[[#This Row],[INVOICE ID]],'SuperMarket Analysis'!A:A,'SuperMarket Analysis'!N:N)</f>
        <v>183.88</v>
      </c>
      <c r="K696" s="12">
        <f>_xlfn.XLOOKUP(Input_Table[[#This Row],[INVOICE ID]],'SuperMarket Analysis'!A:A,'SuperMarket Analysis'!J:J)</f>
        <v>193.07400000000001</v>
      </c>
      <c r="L696" s="6">
        <f>DAY(Input_Table[[#This Row],[DATE]])</f>
        <v>2</v>
      </c>
      <c r="M696" s="6" t="str">
        <f>TEXT(Input_Table[[#This Row],[DATE]],"mmmm")</f>
        <v>September</v>
      </c>
      <c r="N696" s="6">
        <f>YEAR(Input_Table[[#This Row],[DATE]])</f>
        <v>2019</v>
      </c>
    </row>
    <row r="697" spans="1:14" x14ac:dyDescent="0.3">
      <c r="A697" s="2">
        <f>_xlfn.XLOOKUP(B697,SuperMarket_Analysis[Invoice ID],SuperMarket_Analysis[Date])</f>
        <v>43710</v>
      </c>
      <c r="B697" s="6" t="s">
        <v>728</v>
      </c>
      <c r="C697" s="7">
        <f>_xlfn.XLOOKUP(B697,SuperMarket_Analysis[Invoice ID],SuperMarket_Analysis[Quantity])</f>
        <v>10</v>
      </c>
      <c r="D697" s="6" t="str">
        <f>_xlfn.XLOOKUP('Input data'!B697,'SuperMarket Analysis'!A:A,'SuperMarket Analysis'!F:F)</f>
        <v>Health and beauty</v>
      </c>
      <c r="E697" s="6" t="str">
        <f>_xlfn.XLOOKUP(B697,'SuperMarket Analysis'!A:A,'SuperMarket Analysis'!M:M)</f>
        <v>Credit card</v>
      </c>
      <c r="F697" s="6">
        <f>0.05*Input_Table[[#This Row],[TOTAL C.O.G.S]]</f>
        <v>42.305000000000007</v>
      </c>
      <c r="G697" s="6" t="str">
        <f>_xlfn.XLOOKUP(Input_Table[[#This Row],[INVOICE ID]],'SuperMarket Analysis'!A:A,'SuperMarket Analysis'!B:B)</f>
        <v>Giza</v>
      </c>
      <c r="H697" s="6" t="str">
        <f>_xlfn.XLOOKUP(Input_Table[[#This Row],[INVOICE ID]],'SuperMarket Analysis'!A:A,'SuperMarket Analysis'!F:F)</f>
        <v>Health and beauty</v>
      </c>
      <c r="I697" s="12">
        <f>_xlfn.XLOOKUP(Input_Table[[#This Row],[INVOICE ID]],'SuperMarket Analysis'!A:A,'SuperMarket Analysis'!G:G)</f>
        <v>84.61</v>
      </c>
      <c r="J697" s="12">
        <f>_xlfn.XLOOKUP(Input_Table[[#This Row],[INVOICE ID]],'SuperMarket Analysis'!A:A,'SuperMarket Analysis'!N:N)</f>
        <v>846.1</v>
      </c>
      <c r="K697" s="12">
        <f>_xlfn.XLOOKUP(Input_Table[[#This Row],[INVOICE ID]],'SuperMarket Analysis'!A:A,'SuperMarket Analysis'!J:J)</f>
        <v>888.40499999999997</v>
      </c>
      <c r="L697" s="6">
        <f>DAY(Input_Table[[#This Row],[DATE]])</f>
        <v>2</v>
      </c>
      <c r="M697" s="6" t="str">
        <f>TEXT(Input_Table[[#This Row],[DATE]],"mmmm")</f>
        <v>September</v>
      </c>
      <c r="N697" s="6">
        <f>YEAR(Input_Table[[#This Row],[DATE]])</f>
        <v>2019</v>
      </c>
    </row>
    <row r="698" spans="1:14" x14ac:dyDescent="0.3">
      <c r="A698" s="2">
        <f>_xlfn.XLOOKUP(B698,SuperMarket_Analysis[Invoice ID],SuperMarket_Analysis[Date])</f>
        <v>43648</v>
      </c>
      <c r="B698" s="6" t="s">
        <v>729</v>
      </c>
      <c r="C698" s="7">
        <f>_xlfn.XLOOKUP(B698,SuperMarket_Analysis[Invoice ID],SuperMarket_Analysis[Quantity])</f>
        <v>8</v>
      </c>
      <c r="D698" s="6" t="str">
        <f>_xlfn.XLOOKUP('Input data'!B698,'SuperMarket Analysis'!A:A,'SuperMarket Analysis'!F:F)</f>
        <v>Home and lifestyle</v>
      </c>
      <c r="E698" s="6" t="str">
        <f>_xlfn.XLOOKUP(B698,'SuperMarket Analysis'!A:A,'SuperMarket Analysis'!M:M)</f>
        <v>Cash</v>
      </c>
      <c r="F698" s="6">
        <f>0.05*Input_Table[[#This Row],[TOTAL C.O.G.S]]</f>
        <v>37.248000000000005</v>
      </c>
      <c r="G698" s="6" t="str">
        <f>_xlfn.XLOOKUP(Input_Table[[#This Row],[INVOICE ID]],'SuperMarket Analysis'!A:A,'SuperMarket Analysis'!B:B)</f>
        <v>Alex</v>
      </c>
      <c r="H698" s="6" t="str">
        <f>_xlfn.XLOOKUP(Input_Table[[#This Row],[INVOICE ID]],'SuperMarket Analysis'!A:A,'SuperMarket Analysis'!F:F)</f>
        <v>Home and lifestyle</v>
      </c>
      <c r="I698" s="12">
        <f>_xlfn.XLOOKUP(Input_Table[[#This Row],[INVOICE ID]],'SuperMarket Analysis'!A:A,'SuperMarket Analysis'!G:G)</f>
        <v>93.12</v>
      </c>
      <c r="J698" s="12">
        <f>_xlfn.XLOOKUP(Input_Table[[#This Row],[INVOICE ID]],'SuperMarket Analysis'!A:A,'SuperMarket Analysis'!N:N)</f>
        <v>744.96</v>
      </c>
      <c r="K698" s="12">
        <f>_xlfn.XLOOKUP(Input_Table[[#This Row],[INVOICE ID]],'SuperMarket Analysis'!A:A,'SuperMarket Analysis'!J:J)</f>
        <v>782.20799999999997</v>
      </c>
      <c r="L698" s="6">
        <f>DAY(Input_Table[[#This Row],[DATE]])</f>
        <v>2</v>
      </c>
      <c r="M698" s="6" t="str">
        <f>TEXT(Input_Table[[#This Row],[DATE]],"mmmm")</f>
        <v>July</v>
      </c>
      <c r="N698" s="6">
        <f>YEAR(Input_Table[[#This Row],[DATE]])</f>
        <v>2019</v>
      </c>
    </row>
    <row r="699" spans="1:14" x14ac:dyDescent="0.3">
      <c r="A699" s="2">
        <f>_xlfn.XLOOKUP(B699,SuperMarket_Analysis[Invoice ID],SuperMarket_Analysis[Date])</f>
        <v>43498</v>
      </c>
      <c r="B699" s="6" t="s">
        <v>730</v>
      </c>
      <c r="C699" s="7">
        <f>_xlfn.XLOOKUP(B699,SuperMarket_Analysis[Invoice ID],SuperMarket_Analysis[Quantity])</f>
        <v>6</v>
      </c>
      <c r="D699" s="6" t="str">
        <f>_xlfn.XLOOKUP('Input data'!B699,'SuperMarket Analysis'!A:A,'SuperMarket Analysis'!F:F)</f>
        <v>Electronic accessories</v>
      </c>
      <c r="E699" s="6" t="str">
        <f>_xlfn.XLOOKUP(B699,'SuperMarket Analysis'!A:A,'SuperMarket Analysis'!M:M)</f>
        <v>Cash</v>
      </c>
      <c r="F699" s="6">
        <f>0.05*Input_Table[[#This Row],[TOTAL C.O.G.S]]</f>
        <v>10.647</v>
      </c>
      <c r="G699" s="6" t="str">
        <f>_xlfn.XLOOKUP(Input_Table[[#This Row],[INVOICE ID]],'SuperMarket Analysis'!A:A,'SuperMarket Analysis'!B:B)</f>
        <v>Giza</v>
      </c>
      <c r="H699" s="6" t="str">
        <f>_xlfn.XLOOKUP(Input_Table[[#This Row],[INVOICE ID]],'SuperMarket Analysis'!A:A,'SuperMarket Analysis'!F:F)</f>
        <v>Electronic accessories</v>
      </c>
      <c r="I699" s="12">
        <f>_xlfn.XLOOKUP(Input_Table[[#This Row],[INVOICE ID]],'SuperMarket Analysis'!A:A,'SuperMarket Analysis'!G:G)</f>
        <v>35.49</v>
      </c>
      <c r="J699" s="12">
        <f>_xlfn.XLOOKUP(Input_Table[[#This Row],[INVOICE ID]],'SuperMarket Analysis'!A:A,'SuperMarket Analysis'!N:N)</f>
        <v>212.94</v>
      </c>
      <c r="K699" s="12">
        <f>_xlfn.XLOOKUP(Input_Table[[#This Row],[INVOICE ID]],'SuperMarket Analysis'!A:A,'SuperMarket Analysis'!J:J)</f>
        <v>223.58699999999999</v>
      </c>
      <c r="L699" s="6">
        <f>DAY(Input_Table[[#This Row],[DATE]])</f>
        <v>2</v>
      </c>
      <c r="M699" s="6" t="str">
        <f>TEXT(Input_Table[[#This Row],[DATE]],"mmmm")</f>
        <v>February</v>
      </c>
      <c r="N699" s="6">
        <f>YEAR(Input_Table[[#This Row],[DATE]])</f>
        <v>2019</v>
      </c>
    </row>
    <row r="700" spans="1:14" x14ac:dyDescent="0.3">
      <c r="A700" s="2">
        <f>_xlfn.XLOOKUP(B700,SuperMarket_Analysis[Invoice ID],SuperMarket_Analysis[Date])</f>
        <v>43772</v>
      </c>
      <c r="B700" s="6" t="s">
        <v>731</v>
      </c>
      <c r="C700" s="7">
        <f>_xlfn.XLOOKUP(B700,SuperMarket_Analysis[Invoice ID],SuperMarket_Analysis[Quantity])</f>
        <v>4</v>
      </c>
      <c r="D700" s="6" t="str">
        <f>_xlfn.XLOOKUP('Input data'!B700,'SuperMarket Analysis'!A:A,'SuperMarket Analysis'!F:F)</f>
        <v>Fashion accessories</v>
      </c>
      <c r="E700" s="6" t="str">
        <f>_xlfn.XLOOKUP(B700,'SuperMarket Analysis'!A:A,'SuperMarket Analysis'!M:M)</f>
        <v>Cash</v>
      </c>
      <c r="F700" s="6">
        <f>0.05*Input_Table[[#This Row],[TOTAL C.O.G.S]]</f>
        <v>18.934000000000001</v>
      </c>
      <c r="G700" s="6" t="str">
        <f>_xlfn.XLOOKUP(Input_Table[[#This Row],[INVOICE ID]],'SuperMarket Analysis'!A:A,'SuperMarket Analysis'!B:B)</f>
        <v>Alex</v>
      </c>
      <c r="H700" s="6" t="str">
        <f>_xlfn.XLOOKUP(Input_Table[[#This Row],[INVOICE ID]],'SuperMarket Analysis'!A:A,'SuperMarket Analysis'!F:F)</f>
        <v>Fashion accessories</v>
      </c>
      <c r="I700" s="12">
        <f>_xlfn.XLOOKUP(Input_Table[[#This Row],[INVOICE ID]],'SuperMarket Analysis'!A:A,'SuperMarket Analysis'!G:G)</f>
        <v>94.67</v>
      </c>
      <c r="J700" s="12">
        <f>_xlfn.XLOOKUP(Input_Table[[#This Row],[INVOICE ID]],'SuperMarket Analysis'!A:A,'SuperMarket Analysis'!N:N)</f>
        <v>378.68</v>
      </c>
      <c r="K700" s="12">
        <f>_xlfn.XLOOKUP(Input_Table[[#This Row],[INVOICE ID]],'SuperMarket Analysis'!A:A,'SuperMarket Analysis'!J:J)</f>
        <v>397.61399999999998</v>
      </c>
      <c r="L700" s="6">
        <f>DAY(Input_Table[[#This Row],[DATE]])</f>
        <v>3</v>
      </c>
      <c r="M700" s="6" t="str">
        <f>TEXT(Input_Table[[#This Row],[DATE]],"mmmm")</f>
        <v>November</v>
      </c>
      <c r="N700" s="6">
        <f>YEAR(Input_Table[[#This Row],[DATE]])</f>
        <v>2019</v>
      </c>
    </row>
    <row r="701" spans="1:14" x14ac:dyDescent="0.3">
      <c r="A701" s="2">
        <f>_xlfn.XLOOKUP(B701,SuperMarket_Analysis[Invoice ID],SuperMarket_Analysis[Date])</f>
        <v>43499</v>
      </c>
      <c r="B701" s="6" t="s">
        <v>732</v>
      </c>
      <c r="C701" s="7">
        <f>_xlfn.XLOOKUP(B701,SuperMarket_Analysis[Invoice ID],SuperMarket_Analysis[Quantity])</f>
        <v>3</v>
      </c>
      <c r="D701" s="6" t="str">
        <f>_xlfn.XLOOKUP('Input data'!B701,'SuperMarket Analysis'!A:A,'SuperMarket Analysis'!F:F)</f>
        <v>Electronic accessories</v>
      </c>
      <c r="E701" s="6" t="str">
        <f>_xlfn.XLOOKUP(B701,'SuperMarket Analysis'!A:A,'SuperMarket Analysis'!M:M)</f>
        <v>Ewallet</v>
      </c>
      <c r="F701" s="6">
        <f>0.05*Input_Table[[#This Row],[TOTAL C.O.G.S]]</f>
        <v>3.9390000000000001</v>
      </c>
      <c r="G701" s="6" t="str">
        <f>_xlfn.XLOOKUP(Input_Table[[#This Row],[INVOICE ID]],'SuperMarket Analysis'!A:A,'SuperMarket Analysis'!B:B)</f>
        <v>Cairo</v>
      </c>
      <c r="H701" s="6" t="str">
        <f>_xlfn.XLOOKUP(Input_Table[[#This Row],[INVOICE ID]],'SuperMarket Analysis'!A:A,'SuperMarket Analysis'!F:F)</f>
        <v>Electronic accessories</v>
      </c>
      <c r="I701" s="12">
        <f>_xlfn.XLOOKUP(Input_Table[[#This Row],[INVOICE ID]],'SuperMarket Analysis'!A:A,'SuperMarket Analysis'!G:G)</f>
        <v>26.26</v>
      </c>
      <c r="J701" s="12">
        <f>_xlfn.XLOOKUP(Input_Table[[#This Row],[INVOICE ID]],'SuperMarket Analysis'!A:A,'SuperMarket Analysis'!N:N)</f>
        <v>78.78</v>
      </c>
      <c r="K701" s="12">
        <f>_xlfn.XLOOKUP(Input_Table[[#This Row],[INVOICE ID]],'SuperMarket Analysis'!A:A,'SuperMarket Analysis'!J:J)</f>
        <v>82.718999999999994</v>
      </c>
      <c r="L701" s="6">
        <f>DAY(Input_Table[[#This Row],[DATE]])</f>
        <v>3</v>
      </c>
      <c r="M701" s="6" t="str">
        <f>TEXT(Input_Table[[#This Row],[DATE]],"mmmm")</f>
        <v>February</v>
      </c>
      <c r="N701" s="6">
        <f>YEAR(Input_Table[[#This Row],[DATE]])</f>
        <v>2019</v>
      </c>
    </row>
    <row r="702" spans="1:14" x14ac:dyDescent="0.3">
      <c r="A702" s="2">
        <f>_xlfn.XLOOKUP(B702,SuperMarket_Analysis[Invoice ID],SuperMarket_Analysis[Date])</f>
        <v>43741</v>
      </c>
      <c r="B702" s="6" t="s">
        <v>733</v>
      </c>
      <c r="C702" s="7">
        <f>_xlfn.XLOOKUP(B702,SuperMarket_Analysis[Invoice ID],SuperMarket_Analysis[Quantity])</f>
        <v>9</v>
      </c>
      <c r="D702" s="6" t="str">
        <f>_xlfn.XLOOKUP('Input data'!B702,'SuperMarket Analysis'!A:A,'SuperMarket Analysis'!F:F)</f>
        <v>Home and lifestyle</v>
      </c>
      <c r="E702" s="6" t="str">
        <f>_xlfn.XLOOKUP(B702,'SuperMarket Analysis'!A:A,'SuperMarket Analysis'!M:M)</f>
        <v>Credit card</v>
      </c>
      <c r="F702" s="6">
        <f>0.05*Input_Table[[#This Row],[TOTAL C.O.G.S]]</f>
        <v>16.105500000000003</v>
      </c>
      <c r="G702" s="6" t="str">
        <f>_xlfn.XLOOKUP(Input_Table[[#This Row],[INVOICE ID]],'SuperMarket Analysis'!A:A,'SuperMarket Analysis'!B:B)</f>
        <v>Giza</v>
      </c>
      <c r="H702" s="6" t="str">
        <f>_xlfn.XLOOKUP(Input_Table[[#This Row],[INVOICE ID]],'SuperMarket Analysis'!A:A,'SuperMarket Analysis'!F:F)</f>
        <v>Home and lifestyle</v>
      </c>
      <c r="I702" s="12">
        <f>_xlfn.XLOOKUP(Input_Table[[#This Row],[INVOICE ID]],'SuperMarket Analysis'!A:A,'SuperMarket Analysis'!G:G)</f>
        <v>35.79</v>
      </c>
      <c r="J702" s="12">
        <f>_xlfn.XLOOKUP(Input_Table[[#This Row],[INVOICE ID]],'SuperMarket Analysis'!A:A,'SuperMarket Analysis'!N:N)</f>
        <v>322.11</v>
      </c>
      <c r="K702" s="12">
        <f>_xlfn.XLOOKUP(Input_Table[[#This Row],[INVOICE ID]],'SuperMarket Analysis'!A:A,'SuperMarket Analysis'!J:J)</f>
        <v>338.21550000000002</v>
      </c>
      <c r="L702" s="6">
        <f>DAY(Input_Table[[#This Row],[DATE]])</f>
        <v>3</v>
      </c>
      <c r="M702" s="6" t="str">
        <f>TEXT(Input_Table[[#This Row],[DATE]],"mmmm")</f>
        <v>October</v>
      </c>
      <c r="N702" s="6">
        <f>YEAR(Input_Table[[#This Row],[DATE]])</f>
        <v>2019</v>
      </c>
    </row>
    <row r="703" spans="1:14" x14ac:dyDescent="0.3">
      <c r="A703" s="2">
        <f>_xlfn.XLOOKUP(B703,SuperMarket_Analysis[Invoice ID],SuperMarket_Analysis[Date])</f>
        <v>43679</v>
      </c>
      <c r="B703" s="6" t="s">
        <v>734</v>
      </c>
      <c r="C703" s="7">
        <f>_xlfn.XLOOKUP(B703,SuperMarket_Analysis[Invoice ID],SuperMarket_Analysis[Quantity])</f>
        <v>6</v>
      </c>
      <c r="D703" s="6" t="str">
        <f>_xlfn.XLOOKUP('Input data'!B703,'SuperMarket Analysis'!A:A,'SuperMarket Analysis'!F:F)</f>
        <v>Home and lifestyle</v>
      </c>
      <c r="E703" s="6" t="str">
        <f>_xlfn.XLOOKUP(B703,'SuperMarket Analysis'!A:A,'SuperMarket Analysis'!M:M)</f>
        <v>Cash</v>
      </c>
      <c r="F703" s="6">
        <f>0.05*Input_Table[[#This Row],[TOTAL C.O.G.S]]</f>
        <v>4.9110000000000005</v>
      </c>
      <c r="G703" s="6" t="str">
        <f>_xlfn.XLOOKUP(Input_Table[[#This Row],[INVOICE ID]],'SuperMarket Analysis'!A:A,'SuperMarket Analysis'!B:B)</f>
        <v>Cairo</v>
      </c>
      <c r="H703" s="6" t="str">
        <f>_xlfn.XLOOKUP(Input_Table[[#This Row],[INVOICE ID]],'SuperMarket Analysis'!A:A,'SuperMarket Analysis'!F:F)</f>
        <v>Home and lifestyle</v>
      </c>
      <c r="I703" s="12">
        <f>_xlfn.XLOOKUP(Input_Table[[#This Row],[INVOICE ID]],'SuperMarket Analysis'!A:A,'SuperMarket Analysis'!G:G)</f>
        <v>16.37</v>
      </c>
      <c r="J703" s="12">
        <f>_xlfn.XLOOKUP(Input_Table[[#This Row],[INVOICE ID]],'SuperMarket Analysis'!A:A,'SuperMarket Analysis'!N:N)</f>
        <v>98.22</v>
      </c>
      <c r="K703" s="12">
        <f>_xlfn.XLOOKUP(Input_Table[[#This Row],[INVOICE ID]],'SuperMarket Analysis'!A:A,'SuperMarket Analysis'!J:J)</f>
        <v>103.131</v>
      </c>
      <c r="L703" s="6">
        <f>DAY(Input_Table[[#This Row],[DATE]])</f>
        <v>2</v>
      </c>
      <c r="M703" s="6" t="str">
        <f>TEXT(Input_Table[[#This Row],[DATE]],"mmmm")</f>
        <v>August</v>
      </c>
      <c r="N703" s="6">
        <f>YEAR(Input_Table[[#This Row],[DATE]])</f>
        <v>2019</v>
      </c>
    </row>
    <row r="704" spans="1:14" x14ac:dyDescent="0.3">
      <c r="A704" s="2">
        <f>_xlfn.XLOOKUP(B704,SuperMarket_Analysis[Invoice ID],SuperMarket_Analysis[Date])</f>
        <v>43739</v>
      </c>
      <c r="B704" s="6" t="s">
        <v>735</v>
      </c>
      <c r="C704" s="7">
        <f>_xlfn.XLOOKUP(B704,SuperMarket_Analysis[Invoice ID],SuperMarket_Analysis[Quantity])</f>
        <v>7</v>
      </c>
      <c r="D704" s="6" t="str">
        <f>_xlfn.XLOOKUP('Input data'!B704,'SuperMarket Analysis'!A:A,'SuperMarket Analysis'!F:F)</f>
        <v>Sports and travel</v>
      </c>
      <c r="E704" s="6" t="str">
        <f>_xlfn.XLOOKUP(B704,'SuperMarket Analysis'!A:A,'SuperMarket Analysis'!M:M)</f>
        <v>Credit card</v>
      </c>
      <c r="F704" s="6">
        <f>0.05*Input_Table[[#This Row],[TOTAL C.O.G.S]]</f>
        <v>29.099000000000004</v>
      </c>
      <c r="G704" s="6" t="str">
        <f>_xlfn.XLOOKUP(Input_Table[[#This Row],[INVOICE ID]],'SuperMarket Analysis'!A:A,'SuperMarket Analysis'!B:B)</f>
        <v>Giza</v>
      </c>
      <c r="H704" s="6" t="str">
        <f>_xlfn.XLOOKUP(Input_Table[[#This Row],[INVOICE ID]],'SuperMarket Analysis'!A:A,'SuperMarket Analysis'!F:F)</f>
        <v>Sports and travel</v>
      </c>
      <c r="I704" s="12">
        <f>_xlfn.XLOOKUP(Input_Table[[#This Row],[INVOICE ID]],'SuperMarket Analysis'!A:A,'SuperMarket Analysis'!G:G)</f>
        <v>83.14</v>
      </c>
      <c r="J704" s="12">
        <f>_xlfn.XLOOKUP(Input_Table[[#This Row],[INVOICE ID]],'SuperMarket Analysis'!A:A,'SuperMarket Analysis'!N:N)</f>
        <v>581.98</v>
      </c>
      <c r="K704" s="12">
        <f>_xlfn.XLOOKUP(Input_Table[[#This Row],[INVOICE ID]],'SuperMarket Analysis'!A:A,'SuperMarket Analysis'!J:J)</f>
        <v>611.07899999999995</v>
      </c>
      <c r="L704" s="6">
        <f>DAY(Input_Table[[#This Row],[DATE]])</f>
        <v>1</v>
      </c>
      <c r="M704" s="6" t="str">
        <f>TEXT(Input_Table[[#This Row],[DATE]],"mmmm")</f>
        <v>October</v>
      </c>
      <c r="N704" s="6">
        <f>YEAR(Input_Table[[#This Row],[DATE]])</f>
        <v>2019</v>
      </c>
    </row>
    <row r="705" spans="1:14" x14ac:dyDescent="0.3">
      <c r="A705" s="2">
        <f>_xlfn.XLOOKUP(B705,SuperMarket_Analysis[Invoice ID],SuperMarket_Analysis[Date])</f>
        <v>43739</v>
      </c>
      <c r="B705" s="6" t="s">
        <v>736</v>
      </c>
      <c r="C705" s="7">
        <f>_xlfn.XLOOKUP(B705,SuperMarket_Analysis[Invoice ID],SuperMarket_Analysis[Quantity])</f>
        <v>4</v>
      </c>
      <c r="D705" s="6" t="str">
        <f>_xlfn.XLOOKUP('Input data'!B705,'SuperMarket Analysis'!A:A,'SuperMarket Analysis'!F:F)</f>
        <v>Electronic accessories</v>
      </c>
      <c r="E705" s="6" t="str">
        <f>_xlfn.XLOOKUP(B705,'SuperMarket Analysis'!A:A,'SuperMarket Analysis'!M:M)</f>
        <v>Ewallet</v>
      </c>
      <c r="F705" s="6">
        <f>0.05*Input_Table[[#This Row],[TOTAL C.O.G.S]]</f>
        <v>2.7560000000000002</v>
      </c>
      <c r="G705" s="6" t="str">
        <f>_xlfn.XLOOKUP(Input_Table[[#This Row],[INVOICE ID]],'SuperMarket Analysis'!A:A,'SuperMarket Analysis'!B:B)</f>
        <v>Cairo</v>
      </c>
      <c r="H705" s="6" t="str">
        <f>_xlfn.XLOOKUP(Input_Table[[#This Row],[INVOICE ID]],'SuperMarket Analysis'!A:A,'SuperMarket Analysis'!F:F)</f>
        <v>Electronic accessories</v>
      </c>
      <c r="I705" s="12">
        <f>_xlfn.XLOOKUP(Input_Table[[#This Row],[INVOICE ID]],'SuperMarket Analysis'!A:A,'SuperMarket Analysis'!G:G)</f>
        <v>13.78</v>
      </c>
      <c r="J705" s="12">
        <f>_xlfn.XLOOKUP(Input_Table[[#This Row],[INVOICE ID]],'SuperMarket Analysis'!A:A,'SuperMarket Analysis'!N:N)</f>
        <v>55.12</v>
      </c>
      <c r="K705" s="12">
        <f>_xlfn.XLOOKUP(Input_Table[[#This Row],[INVOICE ID]],'SuperMarket Analysis'!A:A,'SuperMarket Analysis'!J:J)</f>
        <v>57.875999999999998</v>
      </c>
      <c r="L705" s="6">
        <f>DAY(Input_Table[[#This Row],[DATE]])</f>
        <v>1</v>
      </c>
      <c r="M705" s="6" t="str">
        <f>TEXT(Input_Table[[#This Row],[DATE]],"mmmm")</f>
        <v>October</v>
      </c>
      <c r="N705" s="6">
        <f>YEAR(Input_Table[[#This Row],[DATE]])</f>
        <v>2019</v>
      </c>
    </row>
    <row r="706" spans="1:14" x14ac:dyDescent="0.3">
      <c r="A706" s="2">
        <f>_xlfn.XLOOKUP(B706,SuperMarket_Analysis[Invoice ID],SuperMarket_Analysis[Date])</f>
        <v>43499</v>
      </c>
      <c r="B706" s="6" t="s">
        <v>737</v>
      </c>
      <c r="C706" s="7">
        <f>_xlfn.XLOOKUP(B706,SuperMarket_Analysis[Invoice ID],SuperMarket_Analysis[Quantity])</f>
        <v>2</v>
      </c>
      <c r="D706" s="6" t="str">
        <f>_xlfn.XLOOKUP('Input data'!B706,'SuperMarket Analysis'!A:A,'SuperMarket Analysis'!F:F)</f>
        <v>Sports and travel</v>
      </c>
      <c r="E706" s="6" t="str">
        <f>_xlfn.XLOOKUP(B706,'SuperMarket Analysis'!A:A,'SuperMarket Analysis'!M:M)</f>
        <v>Ewallet</v>
      </c>
      <c r="F706" s="6">
        <f>0.05*Input_Table[[#This Row],[TOTAL C.O.G.S]]</f>
        <v>2.5310000000000001</v>
      </c>
      <c r="G706" s="6" t="str">
        <f>_xlfn.XLOOKUP(Input_Table[[#This Row],[INVOICE ID]],'SuperMarket Analysis'!A:A,'SuperMarket Analysis'!B:B)</f>
        <v>Cairo</v>
      </c>
      <c r="H706" s="6" t="str">
        <f>_xlfn.XLOOKUP(Input_Table[[#This Row],[INVOICE ID]],'SuperMarket Analysis'!A:A,'SuperMarket Analysis'!F:F)</f>
        <v>Sports and travel</v>
      </c>
      <c r="I706" s="12">
        <f>_xlfn.XLOOKUP(Input_Table[[#This Row],[INVOICE ID]],'SuperMarket Analysis'!A:A,'SuperMarket Analysis'!G:G)</f>
        <v>25.31</v>
      </c>
      <c r="J706" s="12">
        <f>_xlfn.XLOOKUP(Input_Table[[#This Row],[INVOICE ID]],'SuperMarket Analysis'!A:A,'SuperMarket Analysis'!N:N)</f>
        <v>50.62</v>
      </c>
      <c r="K706" s="12">
        <f>_xlfn.XLOOKUP(Input_Table[[#This Row],[INVOICE ID]],'SuperMarket Analysis'!A:A,'SuperMarket Analysis'!J:J)</f>
        <v>53.151000000000003</v>
      </c>
      <c r="L706" s="6">
        <f>DAY(Input_Table[[#This Row],[DATE]])</f>
        <v>3</v>
      </c>
      <c r="M706" s="6" t="str">
        <f>TEXT(Input_Table[[#This Row],[DATE]],"mmmm")</f>
        <v>February</v>
      </c>
      <c r="N706" s="6">
        <f>YEAR(Input_Table[[#This Row],[DATE]])</f>
        <v>2019</v>
      </c>
    </row>
    <row r="707" spans="1:14" x14ac:dyDescent="0.3">
      <c r="A707" s="2">
        <f>_xlfn.XLOOKUP(B707,SuperMarket_Analysis[Invoice ID],SuperMarket_Analysis[Date])</f>
        <v>43498</v>
      </c>
      <c r="B707" s="6" t="s">
        <v>738</v>
      </c>
      <c r="C707" s="7">
        <f>_xlfn.XLOOKUP(B707,SuperMarket_Analysis[Invoice ID],SuperMarket_Analysis[Quantity])</f>
        <v>2</v>
      </c>
      <c r="D707" s="6" t="str">
        <f>_xlfn.XLOOKUP('Input data'!B707,'SuperMarket Analysis'!A:A,'SuperMarket Analysis'!F:F)</f>
        <v>Fashion accessories</v>
      </c>
      <c r="E707" s="6" t="str">
        <f>_xlfn.XLOOKUP(B707,'SuperMarket Analysis'!A:A,'SuperMarket Analysis'!M:M)</f>
        <v>Credit card</v>
      </c>
      <c r="F707" s="6">
        <f>0.05*Input_Table[[#This Row],[TOTAL C.O.G.S]]</f>
        <v>8.3349999999999991</v>
      </c>
      <c r="G707" s="6" t="str">
        <f>_xlfn.XLOOKUP(Input_Table[[#This Row],[INVOICE ID]],'SuperMarket Analysis'!A:A,'SuperMarket Analysis'!B:B)</f>
        <v>Giza</v>
      </c>
      <c r="H707" s="6" t="str">
        <f>_xlfn.XLOOKUP(Input_Table[[#This Row],[INVOICE ID]],'SuperMarket Analysis'!A:A,'SuperMarket Analysis'!F:F)</f>
        <v>Fashion accessories</v>
      </c>
      <c r="I707" s="12">
        <f>_xlfn.XLOOKUP(Input_Table[[#This Row],[INVOICE ID]],'SuperMarket Analysis'!A:A,'SuperMarket Analysis'!G:G)</f>
        <v>83.35</v>
      </c>
      <c r="J707" s="12">
        <f>_xlfn.XLOOKUP(Input_Table[[#This Row],[INVOICE ID]],'SuperMarket Analysis'!A:A,'SuperMarket Analysis'!N:N)</f>
        <v>166.7</v>
      </c>
      <c r="K707" s="12">
        <f>_xlfn.XLOOKUP(Input_Table[[#This Row],[INVOICE ID]],'SuperMarket Analysis'!A:A,'SuperMarket Analysis'!J:J)</f>
        <v>175.035</v>
      </c>
      <c r="L707" s="6">
        <f>DAY(Input_Table[[#This Row],[DATE]])</f>
        <v>2</v>
      </c>
      <c r="M707" s="6" t="str">
        <f>TEXT(Input_Table[[#This Row],[DATE]],"mmmm")</f>
        <v>February</v>
      </c>
      <c r="N707" s="6">
        <f>YEAR(Input_Table[[#This Row],[DATE]])</f>
        <v>2019</v>
      </c>
    </row>
    <row r="708" spans="1:14" x14ac:dyDescent="0.3">
      <c r="A708" s="2">
        <f>_xlfn.XLOOKUP(B708,SuperMarket_Analysis[Invoice ID],SuperMarket_Analysis[Date])</f>
        <v>43525</v>
      </c>
      <c r="B708" s="6" t="s">
        <v>739</v>
      </c>
      <c r="C708" s="7">
        <f>_xlfn.XLOOKUP(B708,SuperMarket_Analysis[Invoice ID],SuperMarket_Analysis[Quantity])</f>
        <v>6</v>
      </c>
      <c r="D708" s="6" t="str">
        <f>_xlfn.XLOOKUP('Input data'!B708,'SuperMarket Analysis'!A:A,'SuperMarket Analysis'!F:F)</f>
        <v>Home and lifestyle</v>
      </c>
      <c r="E708" s="6" t="str">
        <f>_xlfn.XLOOKUP(B708,'SuperMarket Analysis'!A:A,'SuperMarket Analysis'!M:M)</f>
        <v>Ewallet</v>
      </c>
      <c r="F708" s="6">
        <f>0.05*Input_Table[[#This Row],[TOTAL C.O.G.S]]</f>
        <v>18.945</v>
      </c>
      <c r="G708" s="6" t="str">
        <f>_xlfn.XLOOKUP(Input_Table[[#This Row],[INVOICE ID]],'SuperMarket Analysis'!A:A,'SuperMarket Analysis'!B:B)</f>
        <v>Cairo</v>
      </c>
      <c r="H708" s="6" t="str">
        <f>_xlfn.XLOOKUP(Input_Table[[#This Row],[INVOICE ID]],'SuperMarket Analysis'!A:A,'SuperMarket Analysis'!F:F)</f>
        <v>Home and lifestyle</v>
      </c>
      <c r="I708" s="12">
        <f>_xlfn.XLOOKUP(Input_Table[[#This Row],[INVOICE ID]],'SuperMarket Analysis'!A:A,'SuperMarket Analysis'!G:G)</f>
        <v>63.15</v>
      </c>
      <c r="J708" s="12">
        <f>_xlfn.XLOOKUP(Input_Table[[#This Row],[INVOICE ID]],'SuperMarket Analysis'!A:A,'SuperMarket Analysis'!N:N)</f>
        <v>378.9</v>
      </c>
      <c r="K708" s="12">
        <f>_xlfn.XLOOKUP(Input_Table[[#This Row],[INVOICE ID]],'SuperMarket Analysis'!A:A,'SuperMarket Analysis'!J:J)</f>
        <v>397.84500000000003</v>
      </c>
      <c r="L708" s="6">
        <f>DAY(Input_Table[[#This Row],[DATE]])</f>
        <v>1</v>
      </c>
      <c r="M708" s="6" t="str">
        <f>TEXT(Input_Table[[#This Row],[DATE]],"mmmm")</f>
        <v>March</v>
      </c>
      <c r="N708" s="6">
        <f>YEAR(Input_Table[[#This Row],[DATE]])</f>
        <v>2019</v>
      </c>
    </row>
    <row r="709" spans="1:14" x14ac:dyDescent="0.3">
      <c r="A709" s="2">
        <f>_xlfn.XLOOKUP(B709,SuperMarket_Analysis[Invoice ID],SuperMarket_Analysis[Date])</f>
        <v>43586</v>
      </c>
      <c r="B709" s="6" t="s">
        <v>740</v>
      </c>
      <c r="C709" s="7">
        <f>_xlfn.XLOOKUP(B709,SuperMarket_Analysis[Invoice ID],SuperMarket_Analysis[Quantity])</f>
        <v>7</v>
      </c>
      <c r="D709" s="6" t="str">
        <f>_xlfn.XLOOKUP('Input data'!B709,'SuperMarket Analysis'!A:A,'SuperMarket Analysis'!F:F)</f>
        <v>Health and beauty</v>
      </c>
      <c r="E709" s="6" t="str">
        <f>_xlfn.XLOOKUP(B709,'SuperMarket Analysis'!A:A,'SuperMarket Analysis'!M:M)</f>
        <v>Ewallet</v>
      </c>
      <c r="F709" s="6">
        <f>0.05*Input_Table[[#This Row],[TOTAL C.O.G.S]]</f>
        <v>27.611500000000003</v>
      </c>
      <c r="G709" s="6" t="str">
        <f>_xlfn.XLOOKUP(Input_Table[[#This Row],[INVOICE ID]],'SuperMarket Analysis'!A:A,'SuperMarket Analysis'!B:B)</f>
        <v>Giza</v>
      </c>
      <c r="H709" s="6" t="str">
        <f>_xlfn.XLOOKUP(Input_Table[[#This Row],[INVOICE ID]],'SuperMarket Analysis'!A:A,'SuperMarket Analysis'!F:F)</f>
        <v>Health and beauty</v>
      </c>
      <c r="I709" s="12">
        <f>_xlfn.XLOOKUP(Input_Table[[#This Row],[INVOICE ID]],'SuperMarket Analysis'!A:A,'SuperMarket Analysis'!G:G)</f>
        <v>78.89</v>
      </c>
      <c r="J709" s="12">
        <f>_xlfn.XLOOKUP(Input_Table[[#This Row],[INVOICE ID]],'SuperMarket Analysis'!A:A,'SuperMarket Analysis'!N:N)</f>
        <v>552.23</v>
      </c>
      <c r="K709" s="12">
        <f>_xlfn.XLOOKUP(Input_Table[[#This Row],[INVOICE ID]],'SuperMarket Analysis'!A:A,'SuperMarket Analysis'!J:J)</f>
        <v>579.8415</v>
      </c>
      <c r="L709" s="6">
        <f>DAY(Input_Table[[#This Row],[DATE]])</f>
        <v>1</v>
      </c>
      <c r="M709" s="6" t="str">
        <f>TEXT(Input_Table[[#This Row],[DATE]],"mmmm")</f>
        <v>May</v>
      </c>
      <c r="N709" s="6">
        <f>YEAR(Input_Table[[#This Row],[DATE]])</f>
        <v>2019</v>
      </c>
    </row>
    <row r="710" spans="1:14" x14ac:dyDescent="0.3">
      <c r="A710" s="2">
        <f>_xlfn.XLOOKUP(B710,SuperMarket_Analysis[Invoice ID],SuperMarket_Analysis[Date])</f>
        <v>43499</v>
      </c>
      <c r="B710" s="6" t="s">
        <v>741</v>
      </c>
      <c r="C710" s="7">
        <f>_xlfn.XLOOKUP(B710,SuperMarket_Analysis[Invoice ID],SuperMarket_Analysis[Quantity])</f>
        <v>4</v>
      </c>
      <c r="D710" s="6" t="str">
        <f>_xlfn.XLOOKUP('Input data'!B710,'SuperMarket Analysis'!A:A,'SuperMarket Analysis'!F:F)</f>
        <v>Food and beverages</v>
      </c>
      <c r="E710" s="6" t="str">
        <f>_xlfn.XLOOKUP(B710,'SuperMarket Analysis'!A:A,'SuperMarket Analysis'!M:M)</f>
        <v>Ewallet</v>
      </c>
      <c r="F710" s="6">
        <f>0.05*Input_Table[[#This Row],[TOTAL C.O.G.S]]</f>
        <v>13.304</v>
      </c>
      <c r="G710" s="6" t="str">
        <f>_xlfn.XLOOKUP(Input_Table[[#This Row],[INVOICE ID]],'SuperMarket Analysis'!A:A,'SuperMarket Analysis'!B:B)</f>
        <v>Alex</v>
      </c>
      <c r="H710" s="6" t="str">
        <f>_xlfn.XLOOKUP(Input_Table[[#This Row],[INVOICE ID]],'SuperMarket Analysis'!A:A,'SuperMarket Analysis'!F:F)</f>
        <v>Food and beverages</v>
      </c>
      <c r="I710" s="12">
        <f>_xlfn.XLOOKUP(Input_Table[[#This Row],[INVOICE ID]],'SuperMarket Analysis'!A:A,'SuperMarket Analysis'!G:G)</f>
        <v>66.52</v>
      </c>
      <c r="J710" s="12">
        <f>_xlfn.XLOOKUP(Input_Table[[#This Row],[INVOICE ID]],'SuperMarket Analysis'!A:A,'SuperMarket Analysis'!N:N)</f>
        <v>266.08</v>
      </c>
      <c r="K710" s="12">
        <f>_xlfn.XLOOKUP(Input_Table[[#This Row],[INVOICE ID]],'SuperMarket Analysis'!A:A,'SuperMarket Analysis'!J:J)</f>
        <v>279.38400000000001</v>
      </c>
      <c r="L710" s="6">
        <f>DAY(Input_Table[[#This Row],[DATE]])</f>
        <v>3</v>
      </c>
      <c r="M710" s="6" t="str">
        <f>TEXT(Input_Table[[#This Row],[DATE]],"mmmm")</f>
        <v>February</v>
      </c>
      <c r="N710" s="6">
        <f>YEAR(Input_Table[[#This Row],[DATE]])</f>
        <v>2019</v>
      </c>
    </row>
    <row r="711" spans="1:14" x14ac:dyDescent="0.3">
      <c r="A711" s="2">
        <f>_xlfn.XLOOKUP(B711,SuperMarket_Analysis[Invoice ID],SuperMarket_Analysis[Date])</f>
        <v>43586</v>
      </c>
      <c r="B711" s="6" t="s">
        <v>742</v>
      </c>
      <c r="C711" s="7">
        <f>_xlfn.XLOOKUP(B711,SuperMarket_Analysis[Invoice ID],SuperMarket_Analysis[Quantity])</f>
        <v>7</v>
      </c>
      <c r="D711" s="6" t="str">
        <f>_xlfn.XLOOKUP('Input data'!B711,'SuperMarket Analysis'!A:A,'SuperMarket Analysis'!F:F)</f>
        <v>Electronic accessories</v>
      </c>
      <c r="E711" s="6" t="str">
        <f>_xlfn.XLOOKUP(B711,'SuperMarket Analysis'!A:A,'SuperMarket Analysis'!M:M)</f>
        <v>Credit card</v>
      </c>
      <c r="F711" s="6">
        <f>0.05*Input_Table[[#This Row],[TOTAL C.O.G.S]]</f>
        <v>32.857999999999997</v>
      </c>
      <c r="G711" s="6" t="str">
        <f>_xlfn.XLOOKUP(Input_Table[[#This Row],[INVOICE ID]],'SuperMarket Analysis'!A:A,'SuperMarket Analysis'!B:B)</f>
        <v>Alex</v>
      </c>
      <c r="H711" s="6" t="str">
        <f>_xlfn.XLOOKUP(Input_Table[[#This Row],[INVOICE ID]],'SuperMarket Analysis'!A:A,'SuperMarket Analysis'!F:F)</f>
        <v>Electronic accessories</v>
      </c>
      <c r="I711" s="12">
        <f>_xlfn.XLOOKUP(Input_Table[[#This Row],[INVOICE ID]],'SuperMarket Analysis'!A:A,'SuperMarket Analysis'!G:G)</f>
        <v>93.88</v>
      </c>
      <c r="J711" s="12">
        <f>_xlfn.XLOOKUP(Input_Table[[#This Row],[INVOICE ID]],'SuperMarket Analysis'!A:A,'SuperMarket Analysis'!N:N)</f>
        <v>657.16</v>
      </c>
      <c r="K711" s="12">
        <f>_xlfn.XLOOKUP(Input_Table[[#This Row],[INVOICE ID]],'SuperMarket Analysis'!A:A,'SuperMarket Analysis'!J:J)</f>
        <v>690.01800000000003</v>
      </c>
      <c r="L711" s="6">
        <f>DAY(Input_Table[[#This Row],[DATE]])</f>
        <v>1</v>
      </c>
      <c r="M711" s="6" t="str">
        <f>TEXT(Input_Table[[#This Row],[DATE]],"mmmm")</f>
        <v>May</v>
      </c>
      <c r="N711" s="6">
        <f>YEAR(Input_Table[[#This Row],[DATE]])</f>
        <v>2019</v>
      </c>
    </row>
    <row r="712" spans="1:14" x14ac:dyDescent="0.3">
      <c r="A712" s="2">
        <f>_xlfn.XLOOKUP(B712,SuperMarket_Analysis[Invoice ID],SuperMarket_Analysis[Date])</f>
        <v>43526</v>
      </c>
      <c r="B712" s="6" t="s">
        <v>743</v>
      </c>
      <c r="C712" s="7">
        <f>_xlfn.XLOOKUP(B712,SuperMarket_Analysis[Invoice ID],SuperMarket_Analysis[Quantity])</f>
        <v>1</v>
      </c>
      <c r="D712" s="6" t="str">
        <f>_xlfn.XLOOKUP('Input data'!B712,'SuperMarket Analysis'!A:A,'SuperMarket Analysis'!F:F)</f>
        <v>Fashion accessories</v>
      </c>
      <c r="E712" s="6" t="str">
        <f>_xlfn.XLOOKUP(B712,'SuperMarket Analysis'!A:A,'SuperMarket Analysis'!M:M)</f>
        <v>Ewallet</v>
      </c>
      <c r="F712" s="6">
        <f>0.05*Input_Table[[#This Row],[TOTAL C.O.G.S]]</f>
        <v>2.6890000000000001</v>
      </c>
      <c r="G712" s="6" t="str">
        <f>_xlfn.XLOOKUP(Input_Table[[#This Row],[INVOICE ID]],'SuperMarket Analysis'!A:A,'SuperMarket Analysis'!B:B)</f>
        <v>Cairo</v>
      </c>
      <c r="H712" s="6" t="str">
        <f>_xlfn.XLOOKUP(Input_Table[[#This Row],[INVOICE ID]],'SuperMarket Analysis'!A:A,'SuperMarket Analysis'!F:F)</f>
        <v>Fashion accessories</v>
      </c>
      <c r="I712" s="12">
        <f>_xlfn.XLOOKUP(Input_Table[[#This Row],[INVOICE ID]],'SuperMarket Analysis'!A:A,'SuperMarket Analysis'!G:G)</f>
        <v>53.78</v>
      </c>
      <c r="J712" s="12">
        <f>_xlfn.XLOOKUP(Input_Table[[#This Row],[INVOICE ID]],'SuperMarket Analysis'!A:A,'SuperMarket Analysis'!N:N)</f>
        <v>53.78</v>
      </c>
      <c r="K712" s="12">
        <f>_xlfn.XLOOKUP(Input_Table[[#This Row],[INVOICE ID]],'SuperMarket Analysis'!A:A,'SuperMarket Analysis'!J:J)</f>
        <v>56.469000000000001</v>
      </c>
      <c r="L712" s="6">
        <f>DAY(Input_Table[[#This Row],[DATE]])</f>
        <v>2</v>
      </c>
      <c r="M712" s="6" t="str">
        <f>TEXT(Input_Table[[#This Row],[DATE]],"mmmm")</f>
        <v>March</v>
      </c>
      <c r="N712" s="6">
        <f>YEAR(Input_Table[[#This Row],[DATE]])</f>
        <v>2019</v>
      </c>
    </row>
    <row r="713" spans="1:14" x14ac:dyDescent="0.3">
      <c r="A713" s="2">
        <f>_xlfn.XLOOKUP(B713,SuperMarket_Analysis[Invoice ID],SuperMarket_Analysis[Date])</f>
        <v>43618</v>
      </c>
      <c r="B713" s="6" t="s">
        <v>744</v>
      </c>
      <c r="C713" s="7">
        <f>_xlfn.XLOOKUP(B713,SuperMarket_Analysis[Invoice ID],SuperMarket_Analysis[Quantity])</f>
        <v>5</v>
      </c>
      <c r="D713" s="6" t="str">
        <f>_xlfn.XLOOKUP('Input data'!B713,'SuperMarket Analysis'!A:A,'SuperMarket Analysis'!F:F)</f>
        <v>Home and lifestyle</v>
      </c>
      <c r="E713" s="6" t="str">
        <f>_xlfn.XLOOKUP(B713,'SuperMarket Analysis'!A:A,'SuperMarket Analysis'!M:M)</f>
        <v>Ewallet</v>
      </c>
      <c r="F713" s="6">
        <f>0.05*Input_Table[[#This Row],[TOTAL C.O.G.S]]</f>
        <v>8.9525000000000006</v>
      </c>
      <c r="G713" s="6" t="str">
        <f>_xlfn.XLOOKUP(Input_Table[[#This Row],[INVOICE ID]],'SuperMarket Analysis'!A:A,'SuperMarket Analysis'!B:B)</f>
        <v>Giza</v>
      </c>
      <c r="H713" s="6" t="str">
        <f>_xlfn.XLOOKUP(Input_Table[[#This Row],[INVOICE ID]],'SuperMarket Analysis'!A:A,'SuperMarket Analysis'!F:F)</f>
        <v>Home and lifestyle</v>
      </c>
      <c r="I713" s="12">
        <f>_xlfn.XLOOKUP(Input_Table[[#This Row],[INVOICE ID]],'SuperMarket Analysis'!A:A,'SuperMarket Analysis'!G:G)</f>
        <v>35.81</v>
      </c>
      <c r="J713" s="12">
        <f>_xlfn.XLOOKUP(Input_Table[[#This Row],[INVOICE ID]],'SuperMarket Analysis'!A:A,'SuperMarket Analysis'!N:N)</f>
        <v>179.05</v>
      </c>
      <c r="K713" s="12">
        <f>_xlfn.XLOOKUP(Input_Table[[#This Row],[INVOICE ID]],'SuperMarket Analysis'!A:A,'SuperMarket Analysis'!J:J)</f>
        <v>188.0025</v>
      </c>
      <c r="L713" s="6">
        <f>DAY(Input_Table[[#This Row],[DATE]])</f>
        <v>2</v>
      </c>
      <c r="M713" s="6" t="str">
        <f>TEXT(Input_Table[[#This Row],[DATE]],"mmmm")</f>
        <v>June</v>
      </c>
      <c r="N713" s="6">
        <f>YEAR(Input_Table[[#This Row],[DATE]])</f>
        <v>2019</v>
      </c>
    </row>
    <row r="714" spans="1:14" x14ac:dyDescent="0.3">
      <c r="A714" s="2">
        <f>_xlfn.XLOOKUP(B714,SuperMarket_Analysis[Invoice ID],SuperMarket_Analysis[Date])</f>
        <v>43709</v>
      </c>
      <c r="B714" s="6" t="s">
        <v>745</v>
      </c>
      <c r="C714" s="7">
        <f>_xlfn.XLOOKUP(B714,SuperMarket_Analysis[Invoice ID],SuperMarket_Analysis[Quantity])</f>
        <v>3</v>
      </c>
      <c r="D714" s="6" t="str">
        <f>_xlfn.XLOOKUP('Input data'!B714,'SuperMarket Analysis'!A:A,'SuperMarket Analysis'!F:F)</f>
        <v>Home and lifestyle</v>
      </c>
      <c r="E714" s="6" t="str">
        <f>_xlfn.XLOOKUP(B714,'SuperMarket Analysis'!A:A,'SuperMarket Analysis'!M:M)</f>
        <v>Ewallet</v>
      </c>
      <c r="F714" s="6">
        <f>0.05*Input_Table[[#This Row],[TOTAL C.O.G.S]]</f>
        <v>3.2850000000000001</v>
      </c>
      <c r="G714" s="6" t="str">
        <f>_xlfn.XLOOKUP(Input_Table[[#This Row],[INVOICE ID]],'SuperMarket Analysis'!A:A,'SuperMarket Analysis'!B:B)</f>
        <v>Cairo</v>
      </c>
      <c r="H714" s="6" t="str">
        <f>_xlfn.XLOOKUP(Input_Table[[#This Row],[INVOICE ID]],'SuperMarket Analysis'!A:A,'SuperMarket Analysis'!F:F)</f>
        <v>Home and lifestyle</v>
      </c>
      <c r="I714" s="12">
        <f>_xlfn.XLOOKUP(Input_Table[[#This Row],[INVOICE ID]],'SuperMarket Analysis'!A:A,'SuperMarket Analysis'!G:G)</f>
        <v>21.9</v>
      </c>
      <c r="J714" s="12">
        <f>_xlfn.XLOOKUP(Input_Table[[#This Row],[INVOICE ID]],'SuperMarket Analysis'!A:A,'SuperMarket Analysis'!N:N)</f>
        <v>65.7</v>
      </c>
      <c r="K714" s="12">
        <f>_xlfn.XLOOKUP(Input_Table[[#This Row],[INVOICE ID]],'SuperMarket Analysis'!A:A,'SuperMarket Analysis'!J:J)</f>
        <v>68.984999999999999</v>
      </c>
      <c r="L714" s="6">
        <f>DAY(Input_Table[[#This Row],[DATE]])</f>
        <v>1</v>
      </c>
      <c r="M714" s="6" t="str">
        <f>TEXT(Input_Table[[#This Row],[DATE]],"mmmm")</f>
        <v>September</v>
      </c>
      <c r="N714" s="6">
        <f>YEAR(Input_Table[[#This Row],[DATE]])</f>
        <v>2019</v>
      </c>
    </row>
    <row r="715" spans="1:14" x14ac:dyDescent="0.3">
      <c r="A715" s="2">
        <f>_xlfn.XLOOKUP(B715,SuperMarket_Analysis[Invoice ID],SuperMarket_Analysis[Date])</f>
        <v>43710</v>
      </c>
      <c r="B715" s="6" t="s">
        <v>746</v>
      </c>
      <c r="C715" s="7">
        <f>_xlfn.XLOOKUP(B715,SuperMarket_Analysis[Invoice ID],SuperMarket_Analysis[Quantity])</f>
        <v>6</v>
      </c>
      <c r="D715" s="6" t="str">
        <f>_xlfn.XLOOKUP('Input data'!B715,'SuperMarket Analysis'!A:A,'SuperMarket Analysis'!F:F)</f>
        <v>Home and lifestyle</v>
      </c>
      <c r="E715" s="6" t="str">
        <f>_xlfn.XLOOKUP(B715,'SuperMarket Analysis'!A:A,'SuperMarket Analysis'!M:M)</f>
        <v>Cash</v>
      </c>
      <c r="F715" s="6">
        <f>0.05*Input_Table[[#This Row],[TOTAL C.O.G.S]]</f>
        <v>19.773</v>
      </c>
      <c r="G715" s="6" t="str">
        <f>_xlfn.XLOOKUP(Input_Table[[#This Row],[INVOICE ID]],'SuperMarket Analysis'!A:A,'SuperMarket Analysis'!B:B)</f>
        <v>Cairo</v>
      </c>
      <c r="H715" s="6" t="str">
        <f>_xlfn.XLOOKUP(Input_Table[[#This Row],[INVOICE ID]],'SuperMarket Analysis'!A:A,'SuperMarket Analysis'!F:F)</f>
        <v>Home and lifestyle</v>
      </c>
      <c r="I715" s="12">
        <f>_xlfn.XLOOKUP(Input_Table[[#This Row],[INVOICE ID]],'SuperMarket Analysis'!A:A,'SuperMarket Analysis'!G:G)</f>
        <v>65.91</v>
      </c>
      <c r="J715" s="12">
        <f>_xlfn.XLOOKUP(Input_Table[[#This Row],[INVOICE ID]],'SuperMarket Analysis'!A:A,'SuperMarket Analysis'!N:N)</f>
        <v>395.46</v>
      </c>
      <c r="K715" s="12">
        <f>_xlfn.XLOOKUP(Input_Table[[#This Row],[INVOICE ID]],'SuperMarket Analysis'!A:A,'SuperMarket Analysis'!J:J)</f>
        <v>415.233</v>
      </c>
      <c r="L715" s="6">
        <f>DAY(Input_Table[[#This Row],[DATE]])</f>
        <v>2</v>
      </c>
      <c r="M715" s="6" t="str">
        <f>TEXT(Input_Table[[#This Row],[DATE]],"mmmm")</f>
        <v>September</v>
      </c>
      <c r="N715" s="6">
        <f>YEAR(Input_Table[[#This Row],[DATE]])</f>
        <v>2019</v>
      </c>
    </row>
    <row r="716" spans="1:14" x14ac:dyDescent="0.3">
      <c r="A716" s="2">
        <f>_xlfn.XLOOKUP(B716,SuperMarket_Analysis[Invoice ID],SuperMarket_Analysis[Date])</f>
        <v>43617</v>
      </c>
      <c r="B716" s="6" t="s">
        <v>747</v>
      </c>
      <c r="C716" s="7">
        <f>_xlfn.XLOOKUP(B716,SuperMarket_Analysis[Invoice ID],SuperMarket_Analysis[Quantity])</f>
        <v>7</v>
      </c>
      <c r="D716" s="6" t="str">
        <f>_xlfn.XLOOKUP('Input data'!B716,'SuperMarket Analysis'!A:A,'SuperMarket Analysis'!F:F)</f>
        <v>Fashion accessories</v>
      </c>
      <c r="E716" s="6" t="str">
        <f>_xlfn.XLOOKUP(B716,'SuperMarket Analysis'!A:A,'SuperMarket Analysis'!M:M)</f>
        <v>Cash</v>
      </c>
      <c r="F716" s="6">
        <f>0.05*Input_Table[[#This Row],[TOTAL C.O.G.S]]</f>
        <v>14.899500000000002</v>
      </c>
      <c r="G716" s="6" t="str">
        <f>_xlfn.XLOOKUP(Input_Table[[#This Row],[INVOICE ID]],'SuperMarket Analysis'!A:A,'SuperMarket Analysis'!B:B)</f>
        <v>Alex</v>
      </c>
      <c r="H716" s="6" t="str">
        <f>_xlfn.XLOOKUP(Input_Table[[#This Row],[INVOICE ID]],'SuperMarket Analysis'!A:A,'SuperMarket Analysis'!F:F)</f>
        <v>Fashion accessories</v>
      </c>
      <c r="I716" s="12">
        <f>_xlfn.XLOOKUP(Input_Table[[#This Row],[INVOICE ID]],'SuperMarket Analysis'!A:A,'SuperMarket Analysis'!G:G)</f>
        <v>42.57</v>
      </c>
      <c r="J716" s="12">
        <f>_xlfn.XLOOKUP(Input_Table[[#This Row],[INVOICE ID]],'SuperMarket Analysis'!A:A,'SuperMarket Analysis'!N:N)</f>
        <v>297.99</v>
      </c>
      <c r="K716" s="12">
        <f>_xlfn.XLOOKUP(Input_Table[[#This Row],[INVOICE ID]],'SuperMarket Analysis'!A:A,'SuperMarket Analysis'!J:J)</f>
        <v>312.8895</v>
      </c>
      <c r="L716" s="6">
        <f>DAY(Input_Table[[#This Row],[DATE]])</f>
        <v>1</v>
      </c>
      <c r="M716" s="6" t="str">
        <f>TEXT(Input_Table[[#This Row],[DATE]],"mmmm")</f>
        <v>June</v>
      </c>
      <c r="N716" s="6">
        <f>YEAR(Input_Table[[#This Row],[DATE]])</f>
        <v>2019</v>
      </c>
    </row>
    <row r="717" spans="1:14" x14ac:dyDescent="0.3">
      <c r="A717" s="2">
        <f>_xlfn.XLOOKUP(B717,SuperMarket_Analysis[Invoice ID],SuperMarket_Analysis[Date])</f>
        <v>43739</v>
      </c>
      <c r="B717" s="6" t="s">
        <v>748</v>
      </c>
      <c r="C717" s="7">
        <f>_xlfn.XLOOKUP(B717,SuperMarket_Analysis[Invoice ID],SuperMarket_Analysis[Quantity])</f>
        <v>9</v>
      </c>
      <c r="D717" s="6" t="str">
        <f>_xlfn.XLOOKUP('Input data'!B717,'SuperMarket Analysis'!A:A,'SuperMarket Analysis'!F:F)</f>
        <v>Food and beverages</v>
      </c>
      <c r="E717" s="6" t="str">
        <f>_xlfn.XLOOKUP(B717,'SuperMarket Analysis'!A:A,'SuperMarket Analysis'!M:M)</f>
        <v>Cash</v>
      </c>
      <c r="F717" s="6">
        <f>0.05*Input_Table[[#This Row],[TOTAL C.O.G.S]]</f>
        <v>22.720500000000001</v>
      </c>
      <c r="G717" s="6" t="str">
        <f>_xlfn.XLOOKUP(Input_Table[[#This Row],[INVOICE ID]],'SuperMarket Analysis'!A:A,'SuperMarket Analysis'!B:B)</f>
        <v>Giza</v>
      </c>
      <c r="H717" s="6" t="str">
        <f>_xlfn.XLOOKUP(Input_Table[[#This Row],[INVOICE ID]],'SuperMarket Analysis'!A:A,'SuperMarket Analysis'!F:F)</f>
        <v>Food and beverages</v>
      </c>
      <c r="I717" s="12">
        <f>_xlfn.XLOOKUP(Input_Table[[#This Row],[INVOICE ID]],'SuperMarket Analysis'!A:A,'SuperMarket Analysis'!G:G)</f>
        <v>50.49</v>
      </c>
      <c r="J717" s="12">
        <f>_xlfn.XLOOKUP(Input_Table[[#This Row],[INVOICE ID]],'SuperMarket Analysis'!A:A,'SuperMarket Analysis'!N:N)</f>
        <v>454.41</v>
      </c>
      <c r="K717" s="12">
        <f>_xlfn.XLOOKUP(Input_Table[[#This Row],[INVOICE ID]],'SuperMarket Analysis'!A:A,'SuperMarket Analysis'!J:J)</f>
        <v>477.13049999999998</v>
      </c>
      <c r="L717" s="6">
        <f>DAY(Input_Table[[#This Row],[DATE]])</f>
        <v>1</v>
      </c>
      <c r="M717" s="6" t="str">
        <f>TEXT(Input_Table[[#This Row],[DATE]],"mmmm")</f>
        <v>October</v>
      </c>
      <c r="N717" s="6">
        <f>YEAR(Input_Table[[#This Row],[DATE]])</f>
        <v>2019</v>
      </c>
    </row>
    <row r="718" spans="1:14" x14ac:dyDescent="0.3">
      <c r="A718" s="2">
        <f>_xlfn.XLOOKUP(B718,SuperMarket_Analysis[Invoice ID],SuperMarket_Analysis[Date])</f>
        <v>43648</v>
      </c>
      <c r="B718" s="6" t="s">
        <v>749</v>
      </c>
      <c r="C718" s="7">
        <f>_xlfn.XLOOKUP(B718,SuperMarket_Analysis[Invoice ID],SuperMarket_Analysis[Quantity])</f>
        <v>6</v>
      </c>
      <c r="D718" s="6" t="str">
        <f>_xlfn.XLOOKUP('Input data'!B718,'SuperMarket Analysis'!A:A,'SuperMarket Analysis'!F:F)</f>
        <v>Electronic accessories</v>
      </c>
      <c r="E718" s="6" t="str">
        <f>_xlfn.XLOOKUP(B718,'SuperMarket Analysis'!A:A,'SuperMarket Analysis'!M:M)</f>
        <v>Cash</v>
      </c>
      <c r="F718" s="6">
        <f>0.05*Input_Table[[#This Row],[TOTAL C.O.G.S]]</f>
        <v>13.806000000000001</v>
      </c>
      <c r="G718" s="6" t="str">
        <f>_xlfn.XLOOKUP(Input_Table[[#This Row],[INVOICE ID]],'SuperMarket Analysis'!A:A,'SuperMarket Analysis'!B:B)</f>
        <v>Cairo</v>
      </c>
      <c r="H718" s="6" t="str">
        <f>_xlfn.XLOOKUP(Input_Table[[#This Row],[INVOICE ID]],'SuperMarket Analysis'!A:A,'SuperMarket Analysis'!F:F)</f>
        <v>Electronic accessories</v>
      </c>
      <c r="I718" s="12">
        <f>_xlfn.XLOOKUP(Input_Table[[#This Row],[INVOICE ID]],'SuperMarket Analysis'!A:A,'SuperMarket Analysis'!G:G)</f>
        <v>46.02</v>
      </c>
      <c r="J718" s="12">
        <f>_xlfn.XLOOKUP(Input_Table[[#This Row],[INVOICE ID]],'SuperMarket Analysis'!A:A,'SuperMarket Analysis'!N:N)</f>
        <v>276.12</v>
      </c>
      <c r="K718" s="12">
        <f>_xlfn.XLOOKUP(Input_Table[[#This Row],[INVOICE ID]],'SuperMarket Analysis'!A:A,'SuperMarket Analysis'!J:J)</f>
        <v>289.92599999999999</v>
      </c>
      <c r="L718" s="6">
        <f>DAY(Input_Table[[#This Row],[DATE]])</f>
        <v>2</v>
      </c>
      <c r="M718" s="6" t="str">
        <f>TEXT(Input_Table[[#This Row],[DATE]],"mmmm")</f>
        <v>July</v>
      </c>
      <c r="N718" s="6">
        <f>YEAR(Input_Table[[#This Row],[DATE]])</f>
        <v>2019</v>
      </c>
    </row>
    <row r="719" spans="1:14" x14ac:dyDescent="0.3">
      <c r="A719" s="2">
        <f>_xlfn.XLOOKUP(B719,SuperMarket_Analysis[Invoice ID],SuperMarket_Analysis[Date])</f>
        <v>43709</v>
      </c>
      <c r="B719" s="6" t="s">
        <v>750</v>
      </c>
      <c r="C719" s="7">
        <f>_xlfn.XLOOKUP(B719,SuperMarket_Analysis[Invoice ID],SuperMarket_Analysis[Quantity])</f>
        <v>10</v>
      </c>
      <c r="D719" s="6" t="str">
        <f>_xlfn.XLOOKUP('Input data'!B719,'SuperMarket Analysis'!A:A,'SuperMarket Analysis'!F:F)</f>
        <v>Home and lifestyle</v>
      </c>
      <c r="E719" s="6" t="str">
        <f>_xlfn.XLOOKUP(B719,'SuperMarket Analysis'!A:A,'SuperMarket Analysis'!M:M)</f>
        <v>Cash</v>
      </c>
      <c r="F719" s="6">
        <f>0.05*Input_Table[[#This Row],[TOTAL C.O.G.S]]</f>
        <v>7.9</v>
      </c>
      <c r="G719" s="6" t="str">
        <f>_xlfn.XLOOKUP(Input_Table[[#This Row],[INVOICE ID]],'SuperMarket Analysis'!A:A,'SuperMarket Analysis'!B:B)</f>
        <v>Giza</v>
      </c>
      <c r="H719" s="6" t="str">
        <f>_xlfn.XLOOKUP(Input_Table[[#This Row],[INVOICE ID]],'SuperMarket Analysis'!A:A,'SuperMarket Analysis'!F:F)</f>
        <v>Home and lifestyle</v>
      </c>
      <c r="I719" s="12">
        <f>_xlfn.XLOOKUP(Input_Table[[#This Row],[INVOICE ID]],'SuperMarket Analysis'!A:A,'SuperMarket Analysis'!G:G)</f>
        <v>15.8</v>
      </c>
      <c r="J719" s="12">
        <f>_xlfn.XLOOKUP(Input_Table[[#This Row],[INVOICE ID]],'SuperMarket Analysis'!A:A,'SuperMarket Analysis'!N:N)</f>
        <v>158</v>
      </c>
      <c r="K719" s="12">
        <f>_xlfn.XLOOKUP(Input_Table[[#This Row],[INVOICE ID]],'SuperMarket Analysis'!A:A,'SuperMarket Analysis'!J:J)</f>
        <v>165.9</v>
      </c>
      <c r="L719" s="6">
        <f>DAY(Input_Table[[#This Row],[DATE]])</f>
        <v>1</v>
      </c>
      <c r="M719" s="6" t="str">
        <f>TEXT(Input_Table[[#This Row],[DATE]],"mmmm")</f>
        <v>September</v>
      </c>
      <c r="N719" s="6">
        <f>YEAR(Input_Table[[#This Row],[DATE]])</f>
        <v>2019</v>
      </c>
    </row>
    <row r="720" spans="1:14" x14ac:dyDescent="0.3">
      <c r="A720" s="2">
        <f>_xlfn.XLOOKUP(B720,SuperMarket_Analysis[Invoice ID],SuperMarket_Analysis[Date])</f>
        <v>43587</v>
      </c>
      <c r="B720" s="6" t="s">
        <v>751</v>
      </c>
      <c r="C720" s="7">
        <f>_xlfn.XLOOKUP(B720,SuperMarket_Analysis[Invoice ID],SuperMarket_Analysis[Quantity])</f>
        <v>2</v>
      </c>
      <c r="D720" s="6" t="str">
        <f>_xlfn.XLOOKUP('Input data'!B720,'SuperMarket Analysis'!A:A,'SuperMarket Analysis'!F:F)</f>
        <v>Electronic accessories</v>
      </c>
      <c r="E720" s="6" t="str">
        <f>_xlfn.XLOOKUP(B720,'SuperMarket Analysis'!A:A,'SuperMarket Analysis'!M:M)</f>
        <v>Cash</v>
      </c>
      <c r="F720" s="6">
        <f>0.05*Input_Table[[#This Row],[TOTAL C.O.G.S]]</f>
        <v>2.089</v>
      </c>
      <c r="G720" s="6" t="str">
        <f>_xlfn.XLOOKUP(Input_Table[[#This Row],[INVOICE ID]],'SuperMarket Analysis'!A:A,'SuperMarket Analysis'!B:B)</f>
        <v>Alex</v>
      </c>
      <c r="H720" s="6" t="str">
        <f>_xlfn.XLOOKUP(Input_Table[[#This Row],[INVOICE ID]],'SuperMarket Analysis'!A:A,'SuperMarket Analysis'!F:F)</f>
        <v>Electronic accessories</v>
      </c>
      <c r="I720" s="12">
        <f>_xlfn.XLOOKUP(Input_Table[[#This Row],[INVOICE ID]],'SuperMarket Analysis'!A:A,'SuperMarket Analysis'!G:G)</f>
        <v>20.89</v>
      </c>
      <c r="J720" s="12">
        <f>_xlfn.XLOOKUP(Input_Table[[#This Row],[INVOICE ID]],'SuperMarket Analysis'!A:A,'SuperMarket Analysis'!N:N)</f>
        <v>41.78</v>
      </c>
      <c r="K720" s="12">
        <f>_xlfn.XLOOKUP(Input_Table[[#This Row],[INVOICE ID]],'SuperMarket Analysis'!A:A,'SuperMarket Analysis'!J:J)</f>
        <v>43.869</v>
      </c>
      <c r="L720" s="6">
        <f>DAY(Input_Table[[#This Row],[DATE]])</f>
        <v>2</v>
      </c>
      <c r="M720" s="6" t="str">
        <f>TEXT(Input_Table[[#This Row],[DATE]],"mmmm")</f>
        <v>May</v>
      </c>
      <c r="N720" s="6">
        <f>YEAR(Input_Table[[#This Row],[DATE]])</f>
        <v>2019</v>
      </c>
    </row>
    <row r="721" spans="1:14" x14ac:dyDescent="0.3">
      <c r="A721" s="2">
        <f>_xlfn.XLOOKUP(B721,SuperMarket_Analysis[Invoice ID],SuperMarket_Analysis[Date])</f>
        <v>43499</v>
      </c>
      <c r="B721" s="6" t="s">
        <v>752</v>
      </c>
      <c r="C721" s="7">
        <f>_xlfn.XLOOKUP(B721,SuperMarket_Analysis[Invoice ID],SuperMarket_Analysis[Quantity])</f>
        <v>2</v>
      </c>
      <c r="D721" s="6" t="str">
        <f>_xlfn.XLOOKUP('Input data'!B721,'SuperMarket Analysis'!A:A,'SuperMarket Analysis'!F:F)</f>
        <v>Electronic accessories</v>
      </c>
      <c r="E721" s="6" t="str">
        <f>_xlfn.XLOOKUP(B721,'SuperMarket Analysis'!A:A,'SuperMarket Analysis'!M:M)</f>
        <v>Credit card</v>
      </c>
      <c r="F721" s="6">
        <f>0.05*Input_Table[[#This Row],[TOTAL C.O.G.S]]</f>
        <v>3.8270000000000004</v>
      </c>
      <c r="G721" s="6" t="str">
        <f>_xlfn.XLOOKUP(Input_Table[[#This Row],[INVOICE ID]],'SuperMarket Analysis'!A:A,'SuperMarket Analysis'!B:B)</f>
        <v>Cairo</v>
      </c>
      <c r="H721" s="6" t="str">
        <f>_xlfn.XLOOKUP(Input_Table[[#This Row],[INVOICE ID]],'SuperMarket Analysis'!A:A,'SuperMarket Analysis'!F:F)</f>
        <v>Electronic accessories</v>
      </c>
      <c r="I721" s="12">
        <f>_xlfn.XLOOKUP(Input_Table[[#This Row],[INVOICE ID]],'SuperMarket Analysis'!A:A,'SuperMarket Analysis'!G:G)</f>
        <v>38.270000000000003</v>
      </c>
      <c r="J721" s="12">
        <f>_xlfn.XLOOKUP(Input_Table[[#This Row],[INVOICE ID]],'SuperMarket Analysis'!A:A,'SuperMarket Analysis'!N:N)</f>
        <v>76.540000000000006</v>
      </c>
      <c r="K721" s="12">
        <f>_xlfn.XLOOKUP(Input_Table[[#This Row],[INVOICE ID]],'SuperMarket Analysis'!A:A,'SuperMarket Analysis'!J:J)</f>
        <v>80.367000000000004</v>
      </c>
      <c r="L721" s="6">
        <f>DAY(Input_Table[[#This Row],[DATE]])</f>
        <v>3</v>
      </c>
      <c r="M721" s="6" t="str">
        <f>TEXT(Input_Table[[#This Row],[DATE]],"mmmm")</f>
        <v>February</v>
      </c>
      <c r="N721" s="6">
        <f>YEAR(Input_Table[[#This Row],[DATE]])</f>
        <v>2019</v>
      </c>
    </row>
    <row r="722" spans="1:14" x14ac:dyDescent="0.3">
      <c r="A722" s="2">
        <f>_xlfn.XLOOKUP(B722,SuperMarket_Analysis[Invoice ID],SuperMarket_Analysis[Date])</f>
        <v>43558</v>
      </c>
      <c r="B722" s="6" t="s">
        <v>753</v>
      </c>
      <c r="C722" s="7">
        <f>_xlfn.XLOOKUP(B722,SuperMarket_Analysis[Invoice ID],SuperMarket_Analysis[Quantity])</f>
        <v>9</v>
      </c>
      <c r="D722" s="6" t="str">
        <f>_xlfn.XLOOKUP('Input data'!B722,'SuperMarket Analysis'!A:A,'SuperMarket Analysis'!F:F)</f>
        <v>Home and lifestyle</v>
      </c>
      <c r="E722" s="6" t="str">
        <f>_xlfn.XLOOKUP(B722,'SuperMarket Analysis'!A:A,'SuperMarket Analysis'!M:M)</f>
        <v>Ewallet</v>
      </c>
      <c r="F722" s="6">
        <f>0.05*Input_Table[[#This Row],[TOTAL C.O.G.S]]</f>
        <v>14.984999999999999</v>
      </c>
      <c r="G722" s="6" t="str">
        <f>_xlfn.XLOOKUP(Input_Table[[#This Row],[INVOICE ID]],'SuperMarket Analysis'!A:A,'SuperMarket Analysis'!B:B)</f>
        <v>Alex</v>
      </c>
      <c r="H722" s="6" t="str">
        <f>_xlfn.XLOOKUP(Input_Table[[#This Row],[INVOICE ID]],'SuperMarket Analysis'!A:A,'SuperMarket Analysis'!F:F)</f>
        <v>Home and lifestyle</v>
      </c>
      <c r="I722" s="12">
        <f>_xlfn.XLOOKUP(Input_Table[[#This Row],[INVOICE ID]],'SuperMarket Analysis'!A:A,'SuperMarket Analysis'!G:G)</f>
        <v>33.299999999999997</v>
      </c>
      <c r="J722" s="12">
        <f>_xlfn.XLOOKUP(Input_Table[[#This Row],[INVOICE ID]],'SuperMarket Analysis'!A:A,'SuperMarket Analysis'!N:N)</f>
        <v>299.7</v>
      </c>
      <c r="K722" s="12">
        <f>_xlfn.XLOOKUP(Input_Table[[#This Row],[INVOICE ID]],'SuperMarket Analysis'!A:A,'SuperMarket Analysis'!J:J)</f>
        <v>314.685</v>
      </c>
      <c r="L722" s="6">
        <f>DAY(Input_Table[[#This Row],[DATE]])</f>
        <v>3</v>
      </c>
      <c r="M722" s="6" t="str">
        <f>TEXT(Input_Table[[#This Row],[DATE]],"mmmm")</f>
        <v>April</v>
      </c>
      <c r="N722" s="6">
        <f>YEAR(Input_Table[[#This Row],[DATE]])</f>
        <v>2019</v>
      </c>
    </row>
    <row r="723" spans="1:14" x14ac:dyDescent="0.3">
      <c r="A723" s="2">
        <f>_xlfn.XLOOKUP(B723,SuperMarket_Analysis[Invoice ID],SuperMarket_Analysis[Date])</f>
        <v>43772</v>
      </c>
      <c r="B723" s="6" t="s">
        <v>754</v>
      </c>
      <c r="C723" s="7">
        <f>_xlfn.XLOOKUP(B723,SuperMarket_Analysis[Invoice ID],SuperMarket_Analysis[Quantity])</f>
        <v>5</v>
      </c>
      <c r="D723" s="6" t="str">
        <f>_xlfn.XLOOKUP('Input data'!B723,'SuperMarket Analysis'!A:A,'SuperMarket Analysis'!F:F)</f>
        <v>Electronic accessories</v>
      </c>
      <c r="E723" s="6" t="str">
        <f>_xlfn.XLOOKUP(B723,'SuperMarket Analysis'!A:A,'SuperMarket Analysis'!M:M)</f>
        <v>Credit card</v>
      </c>
      <c r="F723" s="6">
        <f>0.05*Input_Table[[#This Row],[TOTAL C.O.G.S]]</f>
        <v>8.6225000000000005</v>
      </c>
      <c r="G723" s="6" t="str">
        <f>_xlfn.XLOOKUP(Input_Table[[#This Row],[INVOICE ID]],'SuperMarket Analysis'!A:A,'SuperMarket Analysis'!B:B)</f>
        <v>Cairo</v>
      </c>
      <c r="H723" s="6" t="str">
        <f>_xlfn.XLOOKUP(Input_Table[[#This Row],[INVOICE ID]],'SuperMarket Analysis'!A:A,'SuperMarket Analysis'!F:F)</f>
        <v>Electronic accessories</v>
      </c>
      <c r="I723" s="12">
        <f>_xlfn.XLOOKUP(Input_Table[[#This Row],[INVOICE ID]],'SuperMarket Analysis'!A:A,'SuperMarket Analysis'!G:G)</f>
        <v>34.49</v>
      </c>
      <c r="J723" s="12">
        <f>_xlfn.XLOOKUP(Input_Table[[#This Row],[INVOICE ID]],'SuperMarket Analysis'!A:A,'SuperMarket Analysis'!N:N)</f>
        <v>172.45</v>
      </c>
      <c r="K723" s="12">
        <f>_xlfn.XLOOKUP(Input_Table[[#This Row],[INVOICE ID]],'SuperMarket Analysis'!A:A,'SuperMarket Analysis'!J:J)</f>
        <v>181.07249999999999</v>
      </c>
      <c r="L723" s="6">
        <f>DAY(Input_Table[[#This Row],[DATE]])</f>
        <v>3</v>
      </c>
      <c r="M723" s="6" t="str">
        <f>TEXT(Input_Table[[#This Row],[DATE]],"mmmm")</f>
        <v>November</v>
      </c>
      <c r="N723" s="6">
        <f>YEAR(Input_Table[[#This Row],[DATE]])</f>
        <v>2019</v>
      </c>
    </row>
    <row r="724" spans="1:14" x14ac:dyDescent="0.3">
      <c r="A724" s="2">
        <f>_xlfn.XLOOKUP(B724,SuperMarket_Analysis[Invoice ID],SuperMarket_Analysis[Date])</f>
        <v>43466</v>
      </c>
      <c r="B724" s="6" t="s">
        <v>755</v>
      </c>
      <c r="C724" s="7">
        <f>_xlfn.XLOOKUP(B724,SuperMarket_Analysis[Invoice ID],SuperMarket_Analysis[Quantity])</f>
        <v>10</v>
      </c>
      <c r="D724" s="6" t="str">
        <f>_xlfn.XLOOKUP('Input data'!B724,'SuperMarket Analysis'!A:A,'SuperMarket Analysis'!F:F)</f>
        <v>Food and beverages</v>
      </c>
      <c r="E724" s="6" t="str">
        <f>_xlfn.XLOOKUP(B724,'SuperMarket Analysis'!A:A,'SuperMarket Analysis'!M:M)</f>
        <v>Credit card</v>
      </c>
      <c r="F724" s="6">
        <f>0.05*Input_Table[[#This Row],[TOTAL C.O.G.S]]</f>
        <v>42.314999999999998</v>
      </c>
      <c r="G724" s="6" t="str">
        <f>_xlfn.XLOOKUP(Input_Table[[#This Row],[INVOICE ID]],'SuperMarket Analysis'!A:A,'SuperMarket Analysis'!B:B)</f>
        <v>Cairo</v>
      </c>
      <c r="H724" s="6" t="str">
        <f>_xlfn.XLOOKUP(Input_Table[[#This Row],[INVOICE ID]],'SuperMarket Analysis'!A:A,'SuperMarket Analysis'!F:F)</f>
        <v>Food and beverages</v>
      </c>
      <c r="I724" s="12">
        <f>_xlfn.XLOOKUP(Input_Table[[#This Row],[INVOICE ID]],'SuperMarket Analysis'!A:A,'SuperMarket Analysis'!G:G)</f>
        <v>84.63</v>
      </c>
      <c r="J724" s="12">
        <f>_xlfn.XLOOKUP(Input_Table[[#This Row],[INVOICE ID]],'SuperMarket Analysis'!A:A,'SuperMarket Analysis'!N:N)</f>
        <v>846.3</v>
      </c>
      <c r="K724" s="12">
        <f>_xlfn.XLOOKUP(Input_Table[[#This Row],[INVOICE ID]],'SuperMarket Analysis'!A:A,'SuperMarket Analysis'!J:J)</f>
        <v>888.61500000000001</v>
      </c>
      <c r="L724" s="6">
        <f>DAY(Input_Table[[#This Row],[DATE]])</f>
        <v>1</v>
      </c>
      <c r="M724" s="6" t="str">
        <f>TEXT(Input_Table[[#This Row],[DATE]],"mmmm")</f>
        <v>January</v>
      </c>
      <c r="N724" s="6">
        <f>YEAR(Input_Table[[#This Row],[DATE]])</f>
        <v>2019</v>
      </c>
    </row>
    <row r="725" spans="1:14" x14ac:dyDescent="0.3">
      <c r="A725" s="2">
        <f>_xlfn.XLOOKUP(B725,SuperMarket_Analysis[Invoice ID],SuperMarket_Analysis[Date])</f>
        <v>43740</v>
      </c>
      <c r="B725" s="6" t="s">
        <v>756</v>
      </c>
      <c r="C725" s="7">
        <f>_xlfn.XLOOKUP(B725,SuperMarket_Analysis[Invoice ID],SuperMarket_Analysis[Quantity])</f>
        <v>7</v>
      </c>
      <c r="D725" s="6" t="str">
        <f>_xlfn.XLOOKUP('Input data'!B725,'SuperMarket Analysis'!A:A,'SuperMarket Analysis'!F:F)</f>
        <v>Home and lifestyle</v>
      </c>
      <c r="E725" s="6" t="str">
        <f>_xlfn.XLOOKUP(B725,'SuperMarket Analysis'!A:A,'SuperMarket Analysis'!M:M)</f>
        <v>Ewallet</v>
      </c>
      <c r="F725" s="6">
        <f>0.05*Input_Table[[#This Row],[TOTAL C.O.G.S]]</f>
        <v>12.918500000000002</v>
      </c>
      <c r="G725" s="6" t="str">
        <f>_xlfn.XLOOKUP(Input_Table[[#This Row],[INVOICE ID]],'SuperMarket Analysis'!A:A,'SuperMarket Analysis'!B:B)</f>
        <v>Cairo</v>
      </c>
      <c r="H725" s="6" t="str">
        <f>_xlfn.XLOOKUP(Input_Table[[#This Row],[INVOICE ID]],'SuperMarket Analysis'!A:A,'SuperMarket Analysis'!F:F)</f>
        <v>Home and lifestyle</v>
      </c>
      <c r="I725" s="12">
        <f>_xlfn.XLOOKUP(Input_Table[[#This Row],[INVOICE ID]],'SuperMarket Analysis'!A:A,'SuperMarket Analysis'!G:G)</f>
        <v>36.909999999999997</v>
      </c>
      <c r="J725" s="12">
        <f>_xlfn.XLOOKUP(Input_Table[[#This Row],[INVOICE ID]],'SuperMarket Analysis'!A:A,'SuperMarket Analysis'!N:N)</f>
        <v>258.37</v>
      </c>
      <c r="K725" s="12">
        <f>_xlfn.XLOOKUP(Input_Table[[#This Row],[INVOICE ID]],'SuperMarket Analysis'!A:A,'SuperMarket Analysis'!J:J)</f>
        <v>271.2885</v>
      </c>
      <c r="L725" s="6">
        <f>DAY(Input_Table[[#This Row],[DATE]])</f>
        <v>2</v>
      </c>
      <c r="M725" s="6" t="str">
        <f>TEXT(Input_Table[[#This Row],[DATE]],"mmmm")</f>
        <v>October</v>
      </c>
      <c r="N725" s="6">
        <f>YEAR(Input_Table[[#This Row],[DATE]])</f>
        <v>2019</v>
      </c>
    </row>
    <row r="726" spans="1:14" x14ac:dyDescent="0.3">
      <c r="A726" s="2">
        <f>_xlfn.XLOOKUP(B726,SuperMarket_Analysis[Invoice ID],SuperMarket_Analysis[Date])</f>
        <v>43771</v>
      </c>
      <c r="B726" s="6" t="s">
        <v>757</v>
      </c>
      <c r="C726" s="7">
        <f>_xlfn.XLOOKUP(B726,SuperMarket_Analysis[Invoice ID],SuperMarket_Analysis[Quantity])</f>
        <v>3</v>
      </c>
      <c r="D726" s="6" t="str">
        <f>_xlfn.XLOOKUP('Input data'!B726,'SuperMarket Analysis'!A:A,'SuperMarket Analysis'!F:F)</f>
        <v>Home and lifestyle</v>
      </c>
      <c r="E726" s="6" t="str">
        <f>_xlfn.XLOOKUP(B726,'SuperMarket Analysis'!A:A,'SuperMarket Analysis'!M:M)</f>
        <v>Cash</v>
      </c>
      <c r="F726" s="6">
        <f>0.05*Input_Table[[#This Row],[TOTAL C.O.G.S]]</f>
        <v>12.012</v>
      </c>
      <c r="G726" s="6" t="str">
        <f>_xlfn.XLOOKUP(Input_Table[[#This Row],[INVOICE ID]],'SuperMarket Analysis'!A:A,'SuperMarket Analysis'!B:B)</f>
        <v>Alex</v>
      </c>
      <c r="H726" s="6" t="str">
        <f>_xlfn.XLOOKUP(Input_Table[[#This Row],[INVOICE ID]],'SuperMarket Analysis'!A:A,'SuperMarket Analysis'!F:F)</f>
        <v>Home and lifestyle</v>
      </c>
      <c r="I726" s="12">
        <f>_xlfn.XLOOKUP(Input_Table[[#This Row],[INVOICE ID]],'SuperMarket Analysis'!A:A,'SuperMarket Analysis'!G:G)</f>
        <v>80.08</v>
      </c>
      <c r="J726" s="12">
        <f>_xlfn.XLOOKUP(Input_Table[[#This Row],[INVOICE ID]],'SuperMarket Analysis'!A:A,'SuperMarket Analysis'!N:N)</f>
        <v>240.24</v>
      </c>
      <c r="K726" s="12">
        <f>_xlfn.XLOOKUP(Input_Table[[#This Row],[INVOICE ID]],'SuperMarket Analysis'!A:A,'SuperMarket Analysis'!J:J)</f>
        <v>252.25200000000001</v>
      </c>
      <c r="L726" s="6">
        <f>DAY(Input_Table[[#This Row],[DATE]])</f>
        <v>2</v>
      </c>
      <c r="M726" s="6" t="str">
        <f>TEXT(Input_Table[[#This Row],[DATE]],"mmmm")</f>
        <v>November</v>
      </c>
      <c r="N726" s="6">
        <f>YEAR(Input_Table[[#This Row],[DATE]])</f>
        <v>2019</v>
      </c>
    </row>
    <row r="727" spans="1:14" x14ac:dyDescent="0.3">
      <c r="A727" s="2">
        <f>_xlfn.XLOOKUP(B727,SuperMarket_Analysis[Invoice ID],SuperMarket_Analysis[Date])</f>
        <v>43648</v>
      </c>
      <c r="B727" s="6" t="s">
        <v>758</v>
      </c>
      <c r="C727" s="7">
        <f>_xlfn.XLOOKUP(B727,SuperMarket_Analysis[Invoice ID],SuperMarket_Analysis[Quantity])</f>
        <v>2</v>
      </c>
      <c r="D727" s="6" t="str">
        <f>_xlfn.XLOOKUP('Input data'!B727,'SuperMarket Analysis'!A:A,'SuperMarket Analysis'!F:F)</f>
        <v>Fashion accessories</v>
      </c>
      <c r="E727" s="6" t="str">
        <f>_xlfn.XLOOKUP(B727,'SuperMarket Analysis'!A:A,'SuperMarket Analysis'!M:M)</f>
        <v>Cash</v>
      </c>
      <c r="F727" s="6">
        <f>0.05*Input_Table[[#This Row],[TOTAL C.O.G.S]]</f>
        <v>8.6129999999999995</v>
      </c>
      <c r="G727" s="6" t="str">
        <f>_xlfn.XLOOKUP(Input_Table[[#This Row],[INVOICE ID]],'SuperMarket Analysis'!A:A,'SuperMarket Analysis'!B:B)</f>
        <v>Giza</v>
      </c>
      <c r="H727" s="6" t="str">
        <f>_xlfn.XLOOKUP(Input_Table[[#This Row],[INVOICE ID]],'SuperMarket Analysis'!A:A,'SuperMarket Analysis'!F:F)</f>
        <v>Fashion accessories</v>
      </c>
      <c r="I727" s="12">
        <f>_xlfn.XLOOKUP(Input_Table[[#This Row],[INVOICE ID]],'SuperMarket Analysis'!A:A,'SuperMarket Analysis'!G:G)</f>
        <v>86.13</v>
      </c>
      <c r="J727" s="12">
        <f>_xlfn.XLOOKUP(Input_Table[[#This Row],[INVOICE ID]],'SuperMarket Analysis'!A:A,'SuperMarket Analysis'!N:N)</f>
        <v>172.26</v>
      </c>
      <c r="K727" s="12">
        <f>_xlfn.XLOOKUP(Input_Table[[#This Row],[INVOICE ID]],'SuperMarket Analysis'!A:A,'SuperMarket Analysis'!J:J)</f>
        <v>180.87299999999999</v>
      </c>
      <c r="L727" s="6">
        <f>DAY(Input_Table[[#This Row],[DATE]])</f>
        <v>2</v>
      </c>
      <c r="M727" s="6" t="str">
        <f>TEXT(Input_Table[[#This Row],[DATE]],"mmmm")</f>
        <v>July</v>
      </c>
      <c r="N727" s="6">
        <f>YEAR(Input_Table[[#This Row],[DATE]])</f>
        <v>2019</v>
      </c>
    </row>
    <row r="728" spans="1:14" x14ac:dyDescent="0.3">
      <c r="A728" s="2">
        <f>_xlfn.XLOOKUP(B728,SuperMarket_Analysis[Invoice ID],SuperMarket_Analysis[Date])</f>
        <v>43619</v>
      </c>
      <c r="B728" s="6" t="s">
        <v>759</v>
      </c>
      <c r="C728" s="7">
        <f>_xlfn.XLOOKUP(B728,SuperMarket_Analysis[Invoice ID],SuperMarket_Analysis[Quantity])</f>
        <v>2</v>
      </c>
      <c r="D728" s="6" t="str">
        <f>_xlfn.XLOOKUP('Input data'!B728,'SuperMarket Analysis'!A:A,'SuperMarket Analysis'!F:F)</f>
        <v>Fashion accessories</v>
      </c>
      <c r="E728" s="6" t="str">
        <f>_xlfn.XLOOKUP(B728,'SuperMarket Analysis'!A:A,'SuperMarket Analysis'!M:M)</f>
        <v>Credit card</v>
      </c>
      <c r="F728" s="6">
        <f>0.05*Input_Table[[#This Row],[TOTAL C.O.G.S]]</f>
        <v>4.9920000000000009</v>
      </c>
      <c r="G728" s="6" t="str">
        <f>_xlfn.XLOOKUP(Input_Table[[#This Row],[INVOICE ID]],'SuperMarket Analysis'!A:A,'SuperMarket Analysis'!B:B)</f>
        <v>Cairo</v>
      </c>
      <c r="H728" s="6" t="str">
        <f>_xlfn.XLOOKUP(Input_Table[[#This Row],[INVOICE ID]],'SuperMarket Analysis'!A:A,'SuperMarket Analysis'!F:F)</f>
        <v>Fashion accessories</v>
      </c>
      <c r="I728" s="12">
        <f>_xlfn.XLOOKUP(Input_Table[[#This Row],[INVOICE ID]],'SuperMarket Analysis'!A:A,'SuperMarket Analysis'!G:G)</f>
        <v>49.92</v>
      </c>
      <c r="J728" s="12">
        <f>_xlfn.XLOOKUP(Input_Table[[#This Row],[INVOICE ID]],'SuperMarket Analysis'!A:A,'SuperMarket Analysis'!N:N)</f>
        <v>99.84</v>
      </c>
      <c r="K728" s="12">
        <f>_xlfn.XLOOKUP(Input_Table[[#This Row],[INVOICE ID]],'SuperMarket Analysis'!A:A,'SuperMarket Analysis'!J:J)</f>
        <v>104.83199999999999</v>
      </c>
      <c r="L728" s="6">
        <f>DAY(Input_Table[[#This Row],[DATE]])</f>
        <v>3</v>
      </c>
      <c r="M728" s="6" t="str">
        <f>TEXT(Input_Table[[#This Row],[DATE]],"mmmm")</f>
        <v>June</v>
      </c>
      <c r="N728" s="6">
        <f>YEAR(Input_Table[[#This Row],[DATE]])</f>
        <v>2019</v>
      </c>
    </row>
    <row r="729" spans="1:14" x14ac:dyDescent="0.3">
      <c r="A729" s="2">
        <f>_xlfn.XLOOKUP(B729,SuperMarket_Analysis[Invoice ID],SuperMarket_Analysis[Date])</f>
        <v>43558</v>
      </c>
      <c r="B729" s="6" t="s">
        <v>760</v>
      </c>
      <c r="C729" s="7">
        <f>_xlfn.XLOOKUP(B729,SuperMarket_Analysis[Invoice ID],SuperMarket_Analysis[Quantity])</f>
        <v>4</v>
      </c>
      <c r="D729" s="6" t="str">
        <f>_xlfn.XLOOKUP('Input data'!B729,'SuperMarket Analysis'!A:A,'SuperMarket Analysis'!F:F)</f>
        <v>Food and beverages</v>
      </c>
      <c r="E729" s="6" t="str">
        <f>_xlfn.XLOOKUP(B729,'SuperMarket Analysis'!A:A,'SuperMarket Analysis'!M:M)</f>
        <v>Cash</v>
      </c>
      <c r="F729" s="6">
        <f>0.05*Input_Table[[#This Row],[TOTAL C.O.G.S]]</f>
        <v>14.932</v>
      </c>
      <c r="G729" s="6" t="str">
        <f>_xlfn.XLOOKUP(Input_Table[[#This Row],[INVOICE ID]],'SuperMarket Analysis'!A:A,'SuperMarket Analysis'!B:B)</f>
        <v>Alex</v>
      </c>
      <c r="H729" s="6" t="str">
        <f>_xlfn.XLOOKUP(Input_Table[[#This Row],[INVOICE ID]],'SuperMarket Analysis'!A:A,'SuperMarket Analysis'!F:F)</f>
        <v>Food and beverages</v>
      </c>
      <c r="I729" s="12">
        <f>_xlfn.XLOOKUP(Input_Table[[#This Row],[INVOICE ID]],'SuperMarket Analysis'!A:A,'SuperMarket Analysis'!G:G)</f>
        <v>74.66</v>
      </c>
      <c r="J729" s="12">
        <f>_xlfn.XLOOKUP(Input_Table[[#This Row],[INVOICE ID]],'SuperMarket Analysis'!A:A,'SuperMarket Analysis'!N:N)</f>
        <v>298.64</v>
      </c>
      <c r="K729" s="12">
        <f>_xlfn.XLOOKUP(Input_Table[[#This Row],[INVOICE ID]],'SuperMarket Analysis'!A:A,'SuperMarket Analysis'!J:J)</f>
        <v>313.572</v>
      </c>
      <c r="L729" s="6">
        <f>DAY(Input_Table[[#This Row],[DATE]])</f>
        <v>3</v>
      </c>
      <c r="M729" s="6" t="str">
        <f>TEXT(Input_Table[[#This Row],[DATE]],"mmmm")</f>
        <v>April</v>
      </c>
      <c r="N729" s="6">
        <f>YEAR(Input_Table[[#This Row],[DATE]])</f>
        <v>2019</v>
      </c>
    </row>
    <row r="730" spans="1:14" x14ac:dyDescent="0.3">
      <c r="A730" s="2">
        <f>_xlfn.XLOOKUP(B730,SuperMarket_Analysis[Invoice ID],SuperMarket_Analysis[Date])</f>
        <v>43741</v>
      </c>
      <c r="B730" s="6" t="s">
        <v>761</v>
      </c>
      <c r="C730" s="7">
        <f>_xlfn.XLOOKUP(B730,SuperMarket_Analysis[Invoice ID],SuperMarket_Analysis[Quantity])</f>
        <v>1</v>
      </c>
      <c r="D730" s="6" t="str">
        <f>_xlfn.XLOOKUP('Input data'!B730,'SuperMarket Analysis'!A:A,'SuperMarket Analysis'!F:F)</f>
        <v>Electronic accessories</v>
      </c>
      <c r="E730" s="6" t="str">
        <f>_xlfn.XLOOKUP(B730,'SuperMarket Analysis'!A:A,'SuperMarket Analysis'!M:M)</f>
        <v>Credit card</v>
      </c>
      <c r="F730" s="6">
        <f>0.05*Input_Table[[#This Row],[TOTAL C.O.G.S]]</f>
        <v>1.2725</v>
      </c>
      <c r="G730" s="6" t="str">
        <f>_xlfn.XLOOKUP(Input_Table[[#This Row],[INVOICE ID]],'SuperMarket Analysis'!A:A,'SuperMarket Analysis'!B:B)</f>
        <v>Cairo</v>
      </c>
      <c r="H730" s="6" t="str">
        <f>_xlfn.XLOOKUP(Input_Table[[#This Row],[INVOICE ID]],'SuperMarket Analysis'!A:A,'SuperMarket Analysis'!F:F)</f>
        <v>Electronic accessories</v>
      </c>
      <c r="I730" s="12">
        <f>_xlfn.XLOOKUP(Input_Table[[#This Row],[INVOICE ID]],'SuperMarket Analysis'!A:A,'SuperMarket Analysis'!G:G)</f>
        <v>25.45</v>
      </c>
      <c r="J730" s="12">
        <f>_xlfn.XLOOKUP(Input_Table[[#This Row],[INVOICE ID]],'SuperMarket Analysis'!A:A,'SuperMarket Analysis'!N:N)</f>
        <v>25.45</v>
      </c>
      <c r="K730" s="12">
        <f>_xlfn.XLOOKUP(Input_Table[[#This Row],[INVOICE ID]],'SuperMarket Analysis'!A:A,'SuperMarket Analysis'!J:J)</f>
        <v>26.7225</v>
      </c>
      <c r="L730" s="6">
        <f>DAY(Input_Table[[#This Row],[DATE]])</f>
        <v>3</v>
      </c>
      <c r="M730" s="6" t="str">
        <f>TEXT(Input_Table[[#This Row],[DATE]],"mmmm")</f>
        <v>October</v>
      </c>
      <c r="N730" s="6">
        <f>YEAR(Input_Table[[#This Row],[DATE]])</f>
        <v>2019</v>
      </c>
    </row>
    <row r="731" spans="1:14" x14ac:dyDescent="0.3">
      <c r="A731" s="2">
        <f>_xlfn.XLOOKUP(B731,SuperMarket_Analysis[Invoice ID],SuperMarket_Analysis[Date])</f>
        <v>43557</v>
      </c>
      <c r="B731" s="6" t="s">
        <v>762</v>
      </c>
      <c r="C731" s="7">
        <f>_xlfn.XLOOKUP(B731,SuperMarket_Analysis[Invoice ID],SuperMarket_Analysis[Quantity])</f>
        <v>1</v>
      </c>
      <c r="D731" s="6" t="str">
        <f>_xlfn.XLOOKUP('Input data'!B731,'SuperMarket Analysis'!A:A,'SuperMarket Analysis'!F:F)</f>
        <v>Food and beverages</v>
      </c>
      <c r="E731" s="6" t="str">
        <f>_xlfn.XLOOKUP(B731,'SuperMarket Analysis'!A:A,'SuperMarket Analysis'!M:M)</f>
        <v>Credit card</v>
      </c>
      <c r="F731" s="6">
        <f>0.05*Input_Table[[#This Row],[TOTAL C.O.G.S]]</f>
        <v>3.3885000000000001</v>
      </c>
      <c r="G731" s="6" t="str">
        <f>_xlfn.XLOOKUP(Input_Table[[#This Row],[INVOICE ID]],'SuperMarket Analysis'!A:A,'SuperMarket Analysis'!B:B)</f>
        <v>Cairo</v>
      </c>
      <c r="H731" s="6" t="str">
        <f>_xlfn.XLOOKUP(Input_Table[[#This Row],[INVOICE ID]],'SuperMarket Analysis'!A:A,'SuperMarket Analysis'!F:F)</f>
        <v>Food and beverages</v>
      </c>
      <c r="I731" s="12">
        <f>_xlfn.XLOOKUP(Input_Table[[#This Row],[INVOICE ID]],'SuperMarket Analysis'!A:A,'SuperMarket Analysis'!G:G)</f>
        <v>67.77</v>
      </c>
      <c r="J731" s="12">
        <f>_xlfn.XLOOKUP(Input_Table[[#This Row],[INVOICE ID]],'SuperMarket Analysis'!A:A,'SuperMarket Analysis'!N:N)</f>
        <v>67.77</v>
      </c>
      <c r="K731" s="12">
        <f>_xlfn.XLOOKUP(Input_Table[[#This Row],[INVOICE ID]],'SuperMarket Analysis'!A:A,'SuperMarket Analysis'!J:J)</f>
        <v>71.158500000000004</v>
      </c>
      <c r="L731" s="6">
        <f>DAY(Input_Table[[#This Row],[DATE]])</f>
        <v>2</v>
      </c>
      <c r="M731" s="6" t="str">
        <f>TEXT(Input_Table[[#This Row],[DATE]],"mmmm")</f>
        <v>April</v>
      </c>
      <c r="N731" s="6">
        <f>YEAR(Input_Table[[#This Row],[DATE]])</f>
        <v>2019</v>
      </c>
    </row>
    <row r="732" spans="1:14" x14ac:dyDescent="0.3">
      <c r="A732" s="2">
        <f>_xlfn.XLOOKUP(B732,SuperMarket_Analysis[Invoice ID],SuperMarket_Analysis[Date])</f>
        <v>43709</v>
      </c>
      <c r="B732" s="6" t="s">
        <v>763</v>
      </c>
      <c r="C732" s="7">
        <f>_xlfn.XLOOKUP(B732,SuperMarket_Analysis[Invoice ID],SuperMarket_Analysis[Quantity])</f>
        <v>7</v>
      </c>
      <c r="D732" s="6" t="str">
        <f>_xlfn.XLOOKUP('Input data'!B732,'SuperMarket Analysis'!A:A,'SuperMarket Analysis'!F:F)</f>
        <v>Electronic accessories</v>
      </c>
      <c r="E732" s="6" t="str">
        <f>_xlfn.XLOOKUP(B732,'SuperMarket Analysis'!A:A,'SuperMarket Analysis'!M:M)</f>
        <v>Cash</v>
      </c>
      <c r="F732" s="6">
        <f>0.05*Input_Table[[#This Row],[TOTAL C.O.G.S]]</f>
        <v>33.729500000000002</v>
      </c>
      <c r="G732" s="6" t="str">
        <f>_xlfn.XLOOKUP(Input_Table[[#This Row],[INVOICE ID]],'SuperMarket Analysis'!A:A,'SuperMarket Analysis'!B:B)</f>
        <v>Giza</v>
      </c>
      <c r="H732" s="6" t="str">
        <f>_xlfn.XLOOKUP(Input_Table[[#This Row],[INVOICE ID]],'SuperMarket Analysis'!A:A,'SuperMarket Analysis'!F:F)</f>
        <v>Electronic accessories</v>
      </c>
      <c r="I732" s="12">
        <f>_xlfn.XLOOKUP(Input_Table[[#This Row],[INVOICE ID]],'SuperMarket Analysis'!A:A,'SuperMarket Analysis'!G:G)</f>
        <v>96.37</v>
      </c>
      <c r="J732" s="12">
        <f>_xlfn.XLOOKUP(Input_Table[[#This Row],[INVOICE ID]],'SuperMarket Analysis'!A:A,'SuperMarket Analysis'!N:N)</f>
        <v>674.59</v>
      </c>
      <c r="K732" s="12">
        <f>_xlfn.XLOOKUP(Input_Table[[#This Row],[INVOICE ID]],'SuperMarket Analysis'!A:A,'SuperMarket Analysis'!J:J)</f>
        <v>708.31949999999995</v>
      </c>
      <c r="L732" s="6">
        <f>DAY(Input_Table[[#This Row],[DATE]])</f>
        <v>1</v>
      </c>
      <c r="M732" s="6" t="str">
        <f>TEXT(Input_Table[[#This Row],[DATE]],"mmmm")</f>
        <v>September</v>
      </c>
      <c r="N732" s="6">
        <f>YEAR(Input_Table[[#This Row],[DATE]])</f>
        <v>2019</v>
      </c>
    </row>
    <row r="733" spans="1:14" x14ac:dyDescent="0.3">
      <c r="A733" s="2">
        <f>_xlfn.XLOOKUP(B733,SuperMarket_Analysis[Invoice ID],SuperMarket_Analysis[Date])</f>
        <v>43648</v>
      </c>
      <c r="B733" s="6" t="s">
        <v>764</v>
      </c>
      <c r="C733" s="7">
        <f>_xlfn.XLOOKUP(B733,SuperMarket_Analysis[Invoice ID],SuperMarket_Analysis[Quantity])</f>
        <v>5</v>
      </c>
      <c r="D733" s="6" t="str">
        <f>_xlfn.XLOOKUP('Input data'!B733,'SuperMarket Analysis'!A:A,'SuperMarket Analysis'!F:F)</f>
        <v>Fashion accessories</v>
      </c>
      <c r="E733" s="6" t="str">
        <f>_xlfn.XLOOKUP(B733,'SuperMarket Analysis'!A:A,'SuperMarket Analysis'!M:M)</f>
        <v>Ewallet</v>
      </c>
      <c r="F733" s="6">
        <f>0.05*Input_Table[[#This Row],[TOTAL C.O.G.S]]</f>
        <v>15.927500000000002</v>
      </c>
      <c r="G733" s="6" t="str">
        <f>_xlfn.XLOOKUP(Input_Table[[#This Row],[INVOICE ID]],'SuperMarket Analysis'!A:A,'SuperMarket Analysis'!B:B)</f>
        <v>Cairo</v>
      </c>
      <c r="H733" s="6" t="str">
        <f>_xlfn.XLOOKUP(Input_Table[[#This Row],[INVOICE ID]],'SuperMarket Analysis'!A:A,'SuperMarket Analysis'!F:F)</f>
        <v>Fashion accessories</v>
      </c>
      <c r="I733" s="12">
        <f>_xlfn.XLOOKUP(Input_Table[[#This Row],[INVOICE ID]],'SuperMarket Analysis'!A:A,'SuperMarket Analysis'!G:G)</f>
        <v>63.71</v>
      </c>
      <c r="J733" s="12">
        <f>_xlfn.XLOOKUP(Input_Table[[#This Row],[INVOICE ID]],'SuperMarket Analysis'!A:A,'SuperMarket Analysis'!N:N)</f>
        <v>318.55</v>
      </c>
      <c r="K733" s="12">
        <f>_xlfn.XLOOKUP(Input_Table[[#This Row],[INVOICE ID]],'SuperMarket Analysis'!A:A,'SuperMarket Analysis'!J:J)</f>
        <v>334.47750000000002</v>
      </c>
      <c r="L733" s="6">
        <f>DAY(Input_Table[[#This Row],[DATE]])</f>
        <v>2</v>
      </c>
      <c r="M733" s="6" t="str">
        <f>TEXT(Input_Table[[#This Row],[DATE]],"mmmm")</f>
        <v>July</v>
      </c>
      <c r="N733" s="6">
        <f>YEAR(Input_Table[[#This Row],[DATE]])</f>
        <v>2019</v>
      </c>
    </row>
    <row r="734" spans="1:14" x14ac:dyDescent="0.3">
      <c r="A734" s="2">
        <f>_xlfn.XLOOKUP(B734,SuperMarket_Analysis[Invoice ID],SuperMarket_Analysis[Date])</f>
        <v>43525</v>
      </c>
      <c r="B734" s="6" t="s">
        <v>765</v>
      </c>
      <c r="C734" s="7">
        <f>_xlfn.XLOOKUP(B734,SuperMarket_Analysis[Invoice ID],SuperMarket_Analysis[Quantity])</f>
        <v>8</v>
      </c>
      <c r="D734" s="6" t="str">
        <f>_xlfn.XLOOKUP('Input data'!B734,'SuperMarket Analysis'!A:A,'SuperMarket Analysis'!F:F)</f>
        <v>Health and beauty</v>
      </c>
      <c r="E734" s="6" t="str">
        <f>_xlfn.XLOOKUP(B734,'SuperMarket Analysis'!A:A,'SuperMarket Analysis'!M:M)</f>
        <v>Credit card</v>
      </c>
      <c r="F734" s="6">
        <f>0.05*Input_Table[[#This Row],[TOTAL C.O.G.S]]</f>
        <v>24.8</v>
      </c>
      <c r="G734" s="6" t="str">
        <f>_xlfn.XLOOKUP(Input_Table[[#This Row],[INVOICE ID]],'SuperMarket Analysis'!A:A,'SuperMarket Analysis'!B:B)</f>
        <v>Cairo</v>
      </c>
      <c r="H734" s="6" t="str">
        <f>_xlfn.XLOOKUP(Input_Table[[#This Row],[INVOICE ID]],'SuperMarket Analysis'!A:A,'SuperMarket Analysis'!F:F)</f>
        <v>Health and beauty</v>
      </c>
      <c r="I734" s="12">
        <f>_xlfn.XLOOKUP(Input_Table[[#This Row],[INVOICE ID]],'SuperMarket Analysis'!A:A,'SuperMarket Analysis'!G:G)</f>
        <v>62</v>
      </c>
      <c r="J734" s="12">
        <f>_xlfn.XLOOKUP(Input_Table[[#This Row],[INVOICE ID]],'SuperMarket Analysis'!A:A,'SuperMarket Analysis'!N:N)</f>
        <v>496</v>
      </c>
      <c r="K734" s="12">
        <f>_xlfn.XLOOKUP(Input_Table[[#This Row],[INVOICE ID]],'SuperMarket Analysis'!A:A,'SuperMarket Analysis'!J:J)</f>
        <v>520.79999999999995</v>
      </c>
      <c r="L734" s="6">
        <f>DAY(Input_Table[[#This Row],[DATE]])</f>
        <v>1</v>
      </c>
      <c r="M734" s="6" t="str">
        <f>TEXT(Input_Table[[#This Row],[DATE]],"mmmm")</f>
        <v>March</v>
      </c>
      <c r="N734" s="6">
        <f>YEAR(Input_Table[[#This Row],[DATE]])</f>
        <v>2019</v>
      </c>
    </row>
    <row r="735" spans="1:14" x14ac:dyDescent="0.3">
      <c r="A735" s="2">
        <f>_xlfn.XLOOKUP(B735,SuperMarket_Analysis[Invoice ID],SuperMarket_Analysis[Date])</f>
        <v>43741</v>
      </c>
      <c r="B735" s="6" t="s">
        <v>766</v>
      </c>
      <c r="C735" s="7">
        <f>_xlfn.XLOOKUP(B735,SuperMarket_Analysis[Invoice ID],SuperMarket_Analysis[Quantity])</f>
        <v>2</v>
      </c>
      <c r="D735" s="6" t="str">
        <f>_xlfn.XLOOKUP('Input data'!B735,'SuperMarket Analysis'!A:A,'SuperMarket Analysis'!F:F)</f>
        <v>Electronic accessories</v>
      </c>
      <c r="E735" s="6" t="str">
        <f>_xlfn.XLOOKUP(B735,'SuperMarket Analysis'!A:A,'SuperMarket Analysis'!M:M)</f>
        <v>Ewallet</v>
      </c>
      <c r="F735" s="6">
        <f>0.05*Input_Table[[#This Row],[TOTAL C.O.G.S]]</f>
        <v>5.8030000000000008</v>
      </c>
      <c r="G735" s="6" t="str">
        <f>_xlfn.XLOOKUP(Input_Table[[#This Row],[INVOICE ID]],'SuperMarket Analysis'!A:A,'SuperMarket Analysis'!B:B)</f>
        <v>Alex</v>
      </c>
      <c r="H735" s="6" t="str">
        <f>_xlfn.XLOOKUP(Input_Table[[#This Row],[INVOICE ID]],'SuperMarket Analysis'!A:A,'SuperMarket Analysis'!F:F)</f>
        <v>Electronic accessories</v>
      </c>
      <c r="I735" s="12">
        <f>_xlfn.XLOOKUP(Input_Table[[#This Row],[INVOICE ID]],'SuperMarket Analysis'!A:A,'SuperMarket Analysis'!G:G)</f>
        <v>58.03</v>
      </c>
      <c r="J735" s="12">
        <f>_xlfn.XLOOKUP(Input_Table[[#This Row],[INVOICE ID]],'SuperMarket Analysis'!A:A,'SuperMarket Analysis'!N:N)</f>
        <v>116.06</v>
      </c>
      <c r="K735" s="12">
        <f>_xlfn.XLOOKUP(Input_Table[[#This Row],[INVOICE ID]],'SuperMarket Analysis'!A:A,'SuperMarket Analysis'!J:J)</f>
        <v>121.863</v>
      </c>
      <c r="L735" s="6">
        <f>DAY(Input_Table[[#This Row],[DATE]])</f>
        <v>3</v>
      </c>
      <c r="M735" s="6" t="str">
        <f>TEXT(Input_Table[[#This Row],[DATE]],"mmmm")</f>
        <v>October</v>
      </c>
      <c r="N735" s="6">
        <f>YEAR(Input_Table[[#This Row],[DATE]])</f>
        <v>2019</v>
      </c>
    </row>
    <row r="736" spans="1:14" x14ac:dyDescent="0.3">
      <c r="A736" s="2">
        <f>_xlfn.XLOOKUP(B736,SuperMarket_Analysis[Invoice ID],SuperMarket_Analysis[Date])</f>
        <v>43499</v>
      </c>
      <c r="B736" s="6" t="s">
        <v>767</v>
      </c>
      <c r="C736" s="7">
        <f>_xlfn.XLOOKUP(B736,SuperMarket_Analysis[Invoice ID],SuperMarket_Analysis[Quantity])</f>
        <v>10</v>
      </c>
      <c r="D736" s="6" t="str">
        <f>_xlfn.XLOOKUP('Input data'!B736,'SuperMarket Analysis'!A:A,'SuperMarket Analysis'!F:F)</f>
        <v>Home and lifestyle</v>
      </c>
      <c r="E736" s="6" t="str">
        <f>_xlfn.XLOOKUP(B736,'SuperMarket Analysis'!A:A,'SuperMarket Analysis'!M:M)</f>
        <v>Ewallet</v>
      </c>
      <c r="F736" s="6">
        <f>0.05*Input_Table[[#This Row],[TOTAL C.O.G.S]]</f>
        <v>48.69</v>
      </c>
      <c r="G736" s="6" t="str">
        <f>_xlfn.XLOOKUP(Input_Table[[#This Row],[INVOICE ID]],'SuperMarket Analysis'!A:A,'SuperMarket Analysis'!B:B)</f>
        <v>Cairo</v>
      </c>
      <c r="H736" s="6" t="str">
        <f>_xlfn.XLOOKUP(Input_Table[[#This Row],[INVOICE ID]],'SuperMarket Analysis'!A:A,'SuperMarket Analysis'!F:F)</f>
        <v>Home and lifestyle</v>
      </c>
      <c r="I736" s="12">
        <f>_xlfn.XLOOKUP(Input_Table[[#This Row],[INVOICE ID]],'SuperMarket Analysis'!A:A,'SuperMarket Analysis'!G:G)</f>
        <v>97.38</v>
      </c>
      <c r="J736" s="12">
        <f>_xlfn.XLOOKUP(Input_Table[[#This Row],[INVOICE ID]],'SuperMarket Analysis'!A:A,'SuperMarket Analysis'!N:N)</f>
        <v>973.8</v>
      </c>
      <c r="K736" s="12">
        <f>_xlfn.XLOOKUP(Input_Table[[#This Row],[INVOICE ID]],'SuperMarket Analysis'!A:A,'SuperMarket Analysis'!J:J)</f>
        <v>1022.49</v>
      </c>
      <c r="L736" s="6">
        <f>DAY(Input_Table[[#This Row],[DATE]])</f>
        <v>3</v>
      </c>
      <c r="M736" s="6" t="str">
        <f>TEXT(Input_Table[[#This Row],[DATE]],"mmmm")</f>
        <v>February</v>
      </c>
      <c r="N736" s="6">
        <f>YEAR(Input_Table[[#This Row],[DATE]])</f>
        <v>2019</v>
      </c>
    </row>
    <row r="737" spans="1:14" x14ac:dyDescent="0.3">
      <c r="A737" s="2">
        <f>_xlfn.XLOOKUP(B737,SuperMarket_Analysis[Invoice ID],SuperMarket_Analysis[Date])</f>
        <v>43710</v>
      </c>
      <c r="B737" s="6" t="s">
        <v>768</v>
      </c>
      <c r="C737" s="7">
        <f>_xlfn.XLOOKUP(B737,SuperMarket_Analysis[Invoice ID],SuperMarket_Analysis[Quantity])</f>
        <v>1</v>
      </c>
      <c r="D737" s="6" t="str">
        <f>_xlfn.XLOOKUP('Input data'!B737,'SuperMarket Analysis'!A:A,'SuperMarket Analysis'!F:F)</f>
        <v>Food and beverages</v>
      </c>
      <c r="E737" s="6" t="str">
        <f>_xlfn.XLOOKUP(B737,'SuperMarket Analysis'!A:A,'SuperMarket Analysis'!M:M)</f>
        <v>Cash</v>
      </c>
      <c r="F737" s="6">
        <f>0.05*Input_Table[[#This Row],[TOTAL C.O.G.S]]</f>
        <v>1.5920000000000001</v>
      </c>
      <c r="G737" s="6" t="str">
        <f>_xlfn.XLOOKUP(Input_Table[[#This Row],[INVOICE ID]],'SuperMarket Analysis'!A:A,'SuperMarket Analysis'!B:B)</f>
        <v>Alex</v>
      </c>
      <c r="H737" s="6" t="str">
        <f>_xlfn.XLOOKUP(Input_Table[[#This Row],[INVOICE ID]],'SuperMarket Analysis'!A:A,'SuperMarket Analysis'!F:F)</f>
        <v>Food and beverages</v>
      </c>
      <c r="I737" s="12">
        <f>_xlfn.XLOOKUP(Input_Table[[#This Row],[INVOICE ID]],'SuperMarket Analysis'!A:A,'SuperMarket Analysis'!G:G)</f>
        <v>31.84</v>
      </c>
      <c r="J737" s="12">
        <f>_xlfn.XLOOKUP(Input_Table[[#This Row],[INVOICE ID]],'SuperMarket Analysis'!A:A,'SuperMarket Analysis'!N:N)</f>
        <v>31.84</v>
      </c>
      <c r="K737" s="12">
        <f>_xlfn.XLOOKUP(Input_Table[[#This Row],[INVOICE ID]],'SuperMarket Analysis'!A:A,'SuperMarket Analysis'!J:J)</f>
        <v>33.432000000000002</v>
      </c>
      <c r="L737" s="6">
        <f>DAY(Input_Table[[#This Row],[DATE]])</f>
        <v>2</v>
      </c>
      <c r="M737" s="6" t="str">
        <f>TEXT(Input_Table[[#This Row],[DATE]],"mmmm")</f>
        <v>September</v>
      </c>
      <c r="N737" s="6">
        <f>YEAR(Input_Table[[#This Row],[DATE]])</f>
        <v>2019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606A-874B-4134-8DB1-BF8E9B457438}">
  <dimension ref="A1:AV738"/>
  <sheetViews>
    <sheetView topLeftCell="A4" zoomScaleNormal="100" workbookViewId="0">
      <selection activeCell="L21" sqref="L21"/>
    </sheetView>
  </sheetViews>
  <sheetFormatPr defaultRowHeight="13.5" x14ac:dyDescent="0.3"/>
  <cols>
    <col min="1" max="1" width="7.1640625" bestFit="1" customWidth="1"/>
    <col min="2" max="2" width="12.83203125" bestFit="1" customWidth="1"/>
    <col min="3" max="3" width="11.5" bestFit="1" customWidth="1"/>
    <col min="4" max="4" width="10" bestFit="1" customWidth="1"/>
    <col min="5" max="5" width="12.83203125" bestFit="1" customWidth="1"/>
    <col min="7" max="8" width="14" bestFit="1" customWidth="1"/>
    <col min="10" max="10" width="14" bestFit="1" customWidth="1"/>
    <col min="11" max="11" width="21.1640625" bestFit="1" customWidth="1"/>
    <col min="12" max="12" width="27" bestFit="1" customWidth="1"/>
    <col min="13" max="16" width="27" customWidth="1"/>
    <col min="17" max="17" width="21.83203125" customWidth="1"/>
    <col min="19" max="19" width="11.5" bestFit="1" customWidth="1"/>
    <col min="20" max="20" width="11.83203125" bestFit="1" customWidth="1"/>
    <col min="21" max="21" width="5.5" bestFit="1" customWidth="1"/>
    <col min="22" max="23" width="5.5" customWidth="1"/>
    <col min="24" max="24" width="13.1640625" customWidth="1"/>
    <col min="25" max="25" width="9.83203125" style="20" bestFit="1" customWidth="1"/>
    <col min="26" max="26" width="12.6640625" bestFit="1" customWidth="1"/>
    <col min="27" max="28" width="5.5" customWidth="1"/>
    <col min="29" max="29" width="13.6640625" customWidth="1"/>
    <col min="30" max="30" width="13.83203125" style="20" customWidth="1"/>
    <col min="31" max="31" width="5.5" customWidth="1"/>
    <col min="33" max="33" width="20.33203125" bestFit="1" customWidth="1"/>
    <col min="34" max="34" width="12.83203125" bestFit="1" customWidth="1"/>
    <col min="35" max="35" width="22.5" customWidth="1"/>
    <col min="36" max="36" width="22.5" style="7" customWidth="1"/>
    <col min="37" max="39" width="22.5" customWidth="1"/>
    <col min="41" max="41" width="17.1640625" bestFit="1" customWidth="1"/>
    <col min="42" max="42" width="27" bestFit="1" customWidth="1"/>
    <col min="44" max="44" width="10.33203125" bestFit="1" customWidth="1"/>
    <col min="45" max="45" width="27" bestFit="1" customWidth="1"/>
    <col min="47" max="47" width="14" bestFit="1" customWidth="1"/>
    <col min="48" max="48" width="27" bestFit="1" customWidth="1"/>
  </cols>
  <sheetData>
    <row r="1" spans="1:48" x14ac:dyDescent="0.3">
      <c r="O1" t="b">
        <v>1</v>
      </c>
      <c r="P1" t="b">
        <v>1</v>
      </c>
      <c r="Q1" t="b">
        <v>1</v>
      </c>
      <c r="X1" t="str">
        <f ca="1">VLOOKUP(1,W:Z,2,0)</f>
        <v>860-79-0874</v>
      </c>
      <c r="Z1" s="20" t="str">
        <f ca="1">CONCATENATE("Kshs. ",VLOOKUP(1,W:Z,3,0))</f>
        <v>Kshs. 1042.65</v>
      </c>
      <c r="AC1">
        <v>1</v>
      </c>
      <c r="AD1" s="21">
        <f>COUNT(U:U)</f>
        <v>736</v>
      </c>
      <c r="AE1" s="16">
        <f>MIN(AC1,AD1)</f>
        <v>1</v>
      </c>
      <c r="AK1" t="str">
        <f ca="1">VLOOKUP(1,$AJ:$AL,2,0)</f>
        <v>Food and beverages</v>
      </c>
      <c r="AL1" s="18">
        <f ca="1">VLOOKUP(1,$AJ:$AL,3,0)</f>
        <v>43831.105499999998</v>
      </c>
    </row>
    <row r="2" spans="1:48" x14ac:dyDescent="0.3">
      <c r="A2" s="14" t="s">
        <v>770</v>
      </c>
      <c r="B2" t="s">
        <v>791</v>
      </c>
      <c r="D2" s="14" t="s">
        <v>771</v>
      </c>
      <c r="E2" t="s">
        <v>791</v>
      </c>
      <c r="G2" t="s">
        <v>805</v>
      </c>
      <c r="H2" t="s">
        <v>806</v>
      </c>
      <c r="J2" s="14" t="s">
        <v>790</v>
      </c>
      <c r="K2" t="s">
        <v>804</v>
      </c>
      <c r="L2" t="s">
        <v>789</v>
      </c>
      <c r="N2" s="6" t="s">
        <v>771</v>
      </c>
      <c r="O2" s="6" t="s">
        <v>9</v>
      </c>
      <c r="P2" s="6" t="s">
        <v>813</v>
      </c>
      <c r="Q2" s="6" t="s">
        <v>811</v>
      </c>
      <c r="S2" s="14" t="s">
        <v>808</v>
      </c>
      <c r="T2" t="s">
        <v>791</v>
      </c>
      <c r="U2" t="s">
        <v>807</v>
      </c>
      <c r="AG2" s="14" t="s">
        <v>809</v>
      </c>
      <c r="AH2" t="s">
        <v>814</v>
      </c>
      <c r="AO2" s="14" t="s">
        <v>810</v>
      </c>
      <c r="AP2" t="s">
        <v>789</v>
      </c>
      <c r="AR2" s="14" t="s">
        <v>1</v>
      </c>
      <c r="AS2" t="s">
        <v>789</v>
      </c>
      <c r="AU2" s="14" t="s">
        <v>790</v>
      </c>
      <c r="AV2" t="s">
        <v>789</v>
      </c>
    </row>
    <row r="3" spans="1:48" x14ac:dyDescent="0.3">
      <c r="A3" s="15">
        <v>1</v>
      </c>
      <c r="B3" s="13">
        <v>17527.250999999997</v>
      </c>
      <c r="D3" s="15" t="s">
        <v>792</v>
      </c>
      <c r="E3" s="13">
        <v>75160.511999999988</v>
      </c>
      <c r="G3" s="13">
        <v>229176.31999999995</v>
      </c>
      <c r="H3" s="13">
        <v>240635.13599999988</v>
      </c>
      <c r="J3" s="15" t="s">
        <v>792</v>
      </c>
      <c r="K3" s="13">
        <v>71581.440000000017</v>
      </c>
      <c r="L3" s="13">
        <v>75160.511999999988</v>
      </c>
      <c r="M3" s="13"/>
      <c r="N3" s="6" t="s">
        <v>792</v>
      </c>
      <c r="O3" s="12">
        <f>IF($O$1=TRUE,VLOOKUP(N3,J:L,2,0),"N/A")</f>
        <v>71581.440000000017</v>
      </c>
      <c r="P3" s="12">
        <f>IF($P$1=TRUE,VLOOKUP(N3,J:L,3,0)-VLOOKUP(N3,J:L,2,0),"N/A")</f>
        <v>3579.071999999971</v>
      </c>
      <c r="Q3" s="19">
        <f>IF($Q$1=TRUE,P3/VLOOKUP(N3,J:L,2,0),"")</f>
        <v>4.9999999999999586E-2</v>
      </c>
      <c r="S3" s="15" t="s">
        <v>195</v>
      </c>
      <c r="T3" s="13">
        <v>336.55650000000003</v>
      </c>
      <c r="U3" s="16">
        <v>7</v>
      </c>
      <c r="V3" s="16"/>
      <c r="W3" s="16">
        <f t="shared" ref="W3:W66" ca="1" si="0">RANK(Y:Y,Y:Y)</f>
        <v>291</v>
      </c>
      <c r="X3" s="16" t="str" cm="1">
        <f t="array" aca="1" ref="X3:X738" ca="1">OFFSET($S$2,1,0,COUNT(T:T))</f>
        <v>101-17-6199</v>
      </c>
      <c r="Y3" s="20" cm="1">
        <f t="array" aca="1" ref="Y3:Y738" ca="1">OFFSET($S$2,1,1,COUNT(T:T))</f>
        <v>336.55650000000003</v>
      </c>
      <c r="Z3" s="16" cm="1">
        <f t="array" aca="1" ref="Z3:Z738" ca="1">OFFSET($S$2,1,2,COUNT(T:T))</f>
        <v>7</v>
      </c>
      <c r="AA3" s="16"/>
      <c r="AB3" s="16"/>
      <c r="AC3" s="16" t="str" cm="1">
        <f t="array" aca="1" ref="AC3:AC12" ca="1">OFFSET($S$2,AC1,0,10)</f>
        <v>101-17-6199</v>
      </c>
      <c r="AD3" s="20" cm="1">
        <f t="array" aca="1" ref="AD3:AD12" ca="1">OFFSET($S$2,AC1,1,10)</f>
        <v>336.55650000000003</v>
      </c>
      <c r="AE3" s="16"/>
      <c r="AG3" s="15" t="s">
        <v>25</v>
      </c>
      <c r="AH3" s="13">
        <v>35711.507999999994</v>
      </c>
      <c r="AI3" s="13"/>
      <c r="AJ3" s="7" cm="1">
        <f t="array" aca="1" ref="AJ3:AJ8" ca="1">RANK(_xlfn.ANCHORARRAY(AL3),_xlfn.ANCHORARRAY(AL3))</f>
        <v>5</v>
      </c>
      <c r="AK3" s="13" t="str" cm="1">
        <f t="array" aca="1" ref="AK3:AK8" ca="1">OFFSET(AG2,1,0,COUNT(AH:AH))</f>
        <v>Electronic accessories</v>
      </c>
      <c r="AL3" s="13" cm="1">
        <f t="array" aca="1" ref="AL3:AL8" ca="1">OFFSET(AG2,1,1,COUNT(AH:AH))</f>
        <v>35711.507999999994</v>
      </c>
      <c r="AM3" s="13"/>
      <c r="AO3" s="15" t="s">
        <v>26</v>
      </c>
      <c r="AP3" s="13">
        <v>85657.309499999959</v>
      </c>
      <c r="AR3" s="15" t="s">
        <v>15</v>
      </c>
      <c r="AS3" s="13">
        <v>78510.610500000024</v>
      </c>
      <c r="AU3" s="15" t="s">
        <v>816</v>
      </c>
      <c r="AV3" s="13">
        <v>2142.9870000000001</v>
      </c>
    </row>
    <row r="4" spans="1:48" x14ac:dyDescent="0.3">
      <c r="A4" s="15">
        <v>2</v>
      </c>
      <c r="B4" s="13">
        <v>15729.892500000004</v>
      </c>
      <c r="D4" s="15" t="s">
        <v>793</v>
      </c>
      <c r="E4" s="13">
        <v>59986.237500000003</v>
      </c>
      <c r="J4" s="15" t="s">
        <v>793</v>
      </c>
      <c r="K4" s="13">
        <v>57129.75</v>
      </c>
      <c r="L4" s="13">
        <v>59986.237500000003</v>
      </c>
      <c r="M4" s="13"/>
      <c r="N4" s="6" t="s">
        <v>793</v>
      </c>
      <c r="O4" s="12">
        <f t="shared" ref="O4:O14" si="1">IF($O$1=TRUE,VLOOKUP(N4,J:L,2,0),"N/A")</f>
        <v>57129.75</v>
      </c>
      <c r="P4" s="12">
        <f t="shared" ref="P4:P14" si="2">IF($P$1=TRUE,VLOOKUP(N4,J:L,3,0)-VLOOKUP(N4,J:L,2,0),"N/A")</f>
        <v>2856.4875000000029</v>
      </c>
      <c r="Q4" s="19">
        <f t="shared" ref="Q4:Q14" si="3">IF($Q$1=TRUE,P4/VLOOKUP(N4,J:L,2,0),"")</f>
        <v>5.0000000000000051E-2</v>
      </c>
      <c r="S4" s="15" t="s">
        <v>686</v>
      </c>
      <c r="T4" s="13">
        <v>480.02850000000001</v>
      </c>
      <c r="U4" s="16">
        <v>7</v>
      </c>
      <c r="V4" s="16"/>
      <c r="W4" s="16">
        <f t="shared" ca="1" si="0"/>
        <v>182</v>
      </c>
      <c r="X4" s="16" t="str">
        <f ca="1"/>
        <v>102-77-2261</v>
      </c>
      <c r="Y4" s="20">
        <f ca="1"/>
        <v>480.02850000000001</v>
      </c>
      <c r="Z4" s="16">
        <f ca="1"/>
        <v>7</v>
      </c>
      <c r="AA4" s="16"/>
      <c r="AB4" s="16"/>
      <c r="AC4" s="16" t="str">
        <f ca="1"/>
        <v>102-77-2261</v>
      </c>
      <c r="AD4" s="20">
        <f ca="1"/>
        <v>480.02850000000001</v>
      </c>
      <c r="AE4" s="16"/>
      <c r="AG4" s="15" t="s">
        <v>42</v>
      </c>
      <c r="AH4" s="13">
        <v>42210.514499999997</v>
      </c>
      <c r="AI4" s="13"/>
      <c r="AJ4" s="7">
        <f ca="1"/>
        <v>3</v>
      </c>
      <c r="AK4" s="13" t="str">
        <f ca="1"/>
        <v>Fashion accessories</v>
      </c>
      <c r="AL4" s="13">
        <f ca="1"/>
        <v>42210.514499999997</v>
      </c>
      <c r="AM4" s="13"/>
      <c r="AO4" s="15" t="s">
        <v>29</v>
      </c>
      <c r="AP4" s="13">
        <v>77393.568000000043</v>
      </c>
      <c r="AR4" s="15" t="s">
        <v>38</v>
      </c>
      <c r="AS4" s="13">
        <v>78728.653499999986</v>
      </c>
      <c r="AU4" s="15" t="s">
        <v>817</v>
      </c>
      <c r="AV4" s="13">
        <v>674.37300000000005</v>
      </c>
    </row>
    <row r="5" spans="1:48" x14ac:dyDescent="0.3">
      <c r="A5" s="15">
        <v>3</v>
      </c>
      <c r="B5" s="13">
        <v>15845.896499999999</v>
      </c>
      <c r="D5" s="15" t="s">
        <v>794</v>
      </c>
      <c r="E5" s="13">
        <v>68749.275000000009</v>
      </c>
      <c r="G5" t="s">
        <v>791</v>
      </c>
      <c r="H5" s="18">
        <f>GETPIVOTDATA("TOTAL SALES",$G$2)</f>
        <v>240635.13599999988</v>
      </c>
      <c r="J5" s="15" t="s">
        <v>794</v>
      </c>
      <c r="K5" s="13">
        <v>65475.500000000022</v>
      </c>
      <c r="L5" s="13">
        <v>68749.275000000009</v>
      </c>
      <c r="M5" s="13"/>
      <c r="N5" s="6" t="s">
        <v>794</v>
      </c>
      <c r="O5" s="12">
        <f t="shared" si="1"/>
        <v>65475.500000000022</v>
      </c>
      <c r="P5" s="12">
        <f t="shared" si="2"/>
        <v>3273.7749999999869</v>
      </c>
      <c r="Q5" s="19">
        <f t="shared" si="3"/>
        <v>4.9999999999999781E-2</v>
      </c>
      <c r="S5" s="15" t="s">
        <v>202</v>
      </c>
      <c r="T5" s="13">
        <v>510.97199999999998</v>
      </c>
      <c r="U5" s="16">
        <v>7</v>
      </c>
      <c r="V5" s="16"/>
      <c r="W5" s="16">
        <f t="shared" ca="1" si="0"/>
        <v>162</v>
      </c>
      <c r="X5" s="16" t="str">
        <f ca="1"/>
        <v>105-31-1824</v>
      </c>
      <c r="Y5" s="20">
        <f ca="1"/>
        <v>510.97199999999998</v>
      </c>
      <c r="Z5" s="16">
        <f ca="1"/>
        <v>7</v>
      </c>
      <c r="AA5" s="16"/>
      <c r="AB5" s="16"/>
      <c r="AC5" s="16" t="str">
        <f ca="1"/>
        <v>105-31-1824</v>
      </c>
      <c r="AD5" s="20">
        <f ca="1"/>
        <v>510.97199999999998</v>
      </c>
      <c r="AE5" s="16"/>
      <c r="AG5" s="15" t="s">
        <v>40</v>
      </c>
      <c r="AH5" s="13">
        <v>43831.105499999998</v>
      </c>
      <c r="AI5" s="13"/>
      <c r="AJ5" s="7">
        <f ca="1"/>
        <v>1</v>
      </c>
      <c r="AK5" s="13" t="str">
        <f ca="1"/>
        <v>Food and beverages</v>
      </c>
      <c r="AL5" s="13">
        <f ca="1"/>
        <v>43831.105499999998</v>
      </c>
      <c r="AM5" s="13"/>
      <c r="AO5" s="15" t="s">
        <v>20</v>
      </c>
      <c r="AP5" s="13">
        <v>77584.258499999996</v>
      </c>
      <c r="AR5" s="15" t="s">
        <v>22</v>
      </c>
      <c r="AS5" s="13">
        <v>83395.871999999974</v>
      </c>
      <c r="AU5" s="15" t="s">
        <v>818</v>
      </c>
      <c r="AV5" s="13">
        <v>3540.2325000000001</v>
      </c>
    </row>
    <row r="6" spans="1:48" x14ac:dyDescent="0.3">
      <c r="A6" s="15">
        <v>13</v>
      </c>
      <c r="B6" s="13">
        <v>9552.9210000000003</v>
      </c>
      <c r="D6" s="15" t="s">
        <v>795</v>
      </c>
      <c r="E6" s="13">
        <v>2870.4585000000002</v>
      </c>
      <c r="G6" t="s">
        <v>812</v>
      </c>
      <c r="H6" s="18">
        <f>GETPIVOTDATA("TOTAL SALES",$G$2)-GETPIVOTDATA("TOTAL COGS",$G$2)</f>
        <v>11458.815999999933</v>
      </c>
      <c r="J6" s="15" t="s">
        <v>795</v>
      </c>
      <c r="K6" s="13">
        <v>2733.7699999999995</v>
      </c>
      <c r="L6" s="13">
        <v>2870.4585000000002</v>
      </c>
      <c r="M6" s="13"/>
      <c r="N6" s="6" t="s">
        <v>795</v>
      </c>
      <c r="O6" s="12">
        <f t="shared" si="1"/>
        <v>2733.7699999999995</v>
      </c>
      <c r="P6" s="12">
        <f t="shared" si="2"/>
        <v>136.68850000000066</v>
      </c>
      <c r="Q6" s="19">
        <f t="shared" si="3"/>
        <v>5.0000000000000253E-2</v>
      </c>
      <c r="S6" s="15" t="s">
        <v>88</v>
      </c>
      <c r="T6" s="13">
        <v>93.114000000000004</v>
      </c>
      <c r="U6" s="16">
        <v>2</v>
      </c>
      <c r="V6" s="16"/>
      <c r="W6" s="16">
        <f t="shared" ca="1" si="0"/>
        <v>608</v>
      </c>
      <c r="X6" s="16" t="str">
        <f ca="1"/>
        <v>106-35-6779</v>
      </c>
      <c r="Y6" s="20">
        <f ca="1"/>
        <v>93.114000000000004</v>
      </c>
      <c r="Z6" s="16">
        <f ca="1"/>
        <v>2</v>
      </c>
      <c r="AA6" s="16"/>
      <c r="AB6" s="16"/>
      <c r="AC6" s="16" t="str">
        <f ca="1"/>
        <v>106-35-6779</v>
      </c>
      <c r="AD6" s="20">
        <f ca="1"/>
        <v>93.114000000000004</v>
      </c>
      <c r="AE6" s="16"/>
      <c r="AG6" s="15" t="s">
        <v>19</v>
      </c>
      <c r="AH6" s="13">
        <v>34723.605000000003</v>
      </c>
      <c r="AI6" s="13"/>
      <c r="AJ6" s="7">
        <f ca="1"/>
        <v>6</v>
      </c>
      <c r="AK6" s="13" t="str">
        <f ca="1"/>
        <v>Health and beauty</v>
      </c>
      <c r="AL6" s="13">
        <f ca="1"/>
        <v>34723.605000000003</v>
      </c>
      <c r="AM6" s="13"/>
      <c r="AU6" s="15" t="s">
        <v>819</v>
      </c>
      <c r="AV6" s="13">
        <v>2451.0464999999999</v>
      </c>
    </row>
    <row r="7" spans="1:48" x14ac:dyDescent="0.3">
      <c r="A7" s="15">
        <v>14</v>
      </c>
      <c r="B7" s="13">
        <v>10189.851000000004</v>
      </c>
      <c r="D7" s="15" t="s">
        <v>796</v>
      </c>
      <c r="E7" s="13">
        <v>5022.2550000000001</v>
      </c>
      <c r="G7" t="s">
        <v>811</v>
      </c>
      <c r="H7" s="17">
        <f>H6/GETPIVOTDATA("TOTAL COGS",$G$2)</f>
        <v>4.9999999999999718E-2</v>
      </c>
      <c r="J7" s="15" t="s">
        <v>796</v>
      </c>
      <c r="K7" s="13">
        <v>4783.0999999999995</v>
      </c>
      <c r="L7" s="13">
        <v>5022.2550000000001</v>
      </c>
      <c r="M7" s="13"/>
      <c r="N7" s="6" t="s">
        <v>796</v>
      </c>
      <c r="O7" s="12">
        <f t="shared" si="1"/>
        <v>4783.0999999999995</v>
      </c>
      <c r="P7" s="12">
        <f t="shared" si="2"/>
        <v>239.15500000000065</v>
      </c>
      <c r="Q7" s="19">
        <f t="shared" si="3"/>
        <v>5.0000000000000142E-2</v>
      </c>
      <c r="S7" s="15" t="s">
        <v>99</v>
      </c>
      <c r="T7" s="13">
        <v>614.94299999999998</v>
      </c>
      <c r="U7" s="16">
        <v>6</v>
      </c>
      <c r="V7" s="16"/>
      <c r="W7" s="16">
        <f t="shared" ca="1" si="0"/>
        <v>109</v>
      </c>
      <c r="X7" s="16" t="str">
        <f ca="1"/>
        <v>109-28-2512</v>
      </c>
      <c r="Y7" s="20">
        <f ca="1"/>
        <v>614.94299999999998</v>
      </c>
      <c r="Z7" s="16">
        <f ca="1"/>
        <v>6</v>
      </c>
      <c r="AA7" s="16"/>
      <c r="AB7" s="16"/>
      <c r="AC7" s="16" t="str">
        <f ca="1"/>
        <v>109-28-2512</v>
      </c>
      <c r="AD7" s="20">
        <f ca="1"/>
        <v>614.94299999999998</v>
      </c>
      <c r="AE7" s="16"/>
      <c r="AG7" s="15" t="s">
        <v>28</v>
      </c>
      <c r="AH7" s="13">
        <v>42629.821500000013</v>
      </c>
      <c r="AI7" s="13"/>
      <c r="AJ7" s="7">
        <f ca="1"/>
        <v>2</v>
      </c>
      <c r="AK7" s="13" t="str">
        <f ca="1"/>
        <v>Home and lifestyle</v>
      </c>
      <c r="AL7" s="13">
        <f ca="1"/>
        <v>42629.821500000013</v>
      </c>
      <c r="AM7" s="13"/>
      <c r="AO7" t="str">
        <f>AO3</f>
        <v>Cash</v>
      </c>
      <c r="AP7" s="22">
        <f>AP3</f>
        <v>85657.309499999959</v>
      </c>
      <c r="AR7" t="str">
        <f t="shared" ref="AR7:AS9" si="4">AR3</f>
        <v>Alex</v>
      </c>
      <c r="AS7" s="22">
        <f t="shared" si="4"/>
        <v>78510.610500000024</v>
      </c>
      <c r="AU7" s="15" t="s">
        <v>820</v>
      </c>
      <c r="AV7" s="13">
        <v>3860.1884999999997</v>
      </c>
    </row>
    <row r="8" spans="1:48" x14ac:dyDescent="0.3">
      <c r="A8" s="15">
        <v>15</v>
      </c>
      <c r="B8" s="13">
        <v>15530.214000000002</v>
      </c>
      <c r="D8" s="15" t="s">
        <v>797</v>
      </c>
      <c r="E8" s="13">
        <v>3199.9064999999996</v>
      </c>
      <c r="J8" s="15" t="s">
        <v>797</v>
      </c>
      <c r="K8" s="13">
        <v>3047.5300000000007</v>
      </c>
      <c r="L8" s="13">
        <v>3199.9064999999996</v>
      </c>
      <c r="M8" s="13"/>
      <c r="N8" s="6" t="s">
        <v>797</v>
      </c>
      <c r="O8" s="12">
        <f t="shared" si="1"/>
        <v>3047.5300000000007</v>
      </c>
      <c r="P8" s="12">
        <f t="shared" si="2"/>
        <v>152.37649999999894</v>
      </c>
      <c r="Q8" s="19">
        <f t="shared" si="3"/>
        <v>4.9999999999999642E-2</v>
      </c>
      <c r="S8" s="15" t="s">
        <v>433</v>
      </c>
      <c r="T8" s="13">
        <v>248.40899999999999</v>
      </c>
      <c r="U8" s="16">
        <v>6</v>
      </c>
      <c r="V8" s="16"/>
      <c r="W8" s="16">
        <f t="shared" ca="1" si="0"/>
        <v>381</v>
      </c>
      <c r="X8" s="16" t="str">
        <f ca="1"/>
        <v>110-05-6330</v>
      </c>
      <c r="Y8" s="20">
        <f ca="1"/>
        <v>248.40899999999999</v>
      </c>
      <c r="Z8" s="16">
        <f ca="1"/>
        <v>6</v>
      </c>
      <c r="AA8" s="16"/>
      <c r="AB8" s="16"/>
      <c r="AC8" s="16" t="str">
        <f ca="1"/>
        <v>110-05-6330</v>
      </c>
      <c r="AD8" s="20">
        <f ca="1"/>
        <v>248.40899999999999</v>
      </c>
      <c r="AE8" s="16"/>
      <c r="AG8" s="15" t="s">
        <v>32</v>
      </c>
      <c r="AH8" s="13">
        <v>41528.581499999986</v>
      </c>
      <c r="AI8" s="13"/>
      <c r="AJ8" s="7">
        <f ca="1"/>
        <v>4</v>
      </c>
      <c r="AK8" s="13" t="str">
        <f ca="1"/>
        <v>Sports and travel</v>
      </c>
      <c r="AL8" s="13">
        <f ca="1"/>
        <v>41528.581499999986</v>
      </c>
      <c r="AM8" s="13"/>
      <c r="AO8" t="str">
        <f t="shared" ref="AO8:AP8" si="5">AO4</f>
        <v>Credit card</v>
      </c>
      <c r="AP8" s="22">
        <f t="shared" si="5"/>
        <v>77393.568000000043</v>
      </c>
      <c r="AR8" t="str">
        <f t="shared" si="4"/>
        <v>Cairo</v>
      </c>
      <c r="AS8" s="22">
        <f t="shared" si="4"/>
        <v>78728.653499999986</v>
      </c>
      <c r="AU8" s="15" t="s">
        <v>821</v>
      </c>
      <c r="AV8" s="13">
        <v>2777.1239999999998</v>
      </c>
    </row>
    <row r="9" spans="1:48" x14ac:dyDescent="0.3">
      <c r="A9" s="15">
        <v>16</v>
      </c>
      <c r="B9" s="13">
        <v>8864.656500000001</v>
      </c>
      <c r="D9" s="15" t="s">
        <v>798</v>
      </c>
      <c r="E9" s="13">
        <v>3681.9929999999999</v>
      </c>
      <c r="J9" s="15" t="s">
        <v>798</v>
      </c>
      <c r="K9" s="13">
        <v>3506.66</v>
      </c>
      <c r="L9" s="13">
        <v>3681.9929999999999</v>
      </c>
      <c r="M9" s="13"/>
      <c r="N9" s="6" t="s">
        <v>798</v>
      </c>
      <c r="O9" s="12">
        <f t="shared" si="1"/>
        <v>3506.66</v>
      </c>
      <c r="P9" s="12">
        <f t="shared" si="2"/>
        <v>175.33300000000008</v>
      </c>
      <c r="Q9" s="19">
        <f t="shared" si="3"/>
        <v>5.0000000000000024E-2</v>
      </c>
      <c r="S9" s="15" t="s">
        <v>288</v>
      </c>
      <c r="T9" s="13">
        <v>137.00399999999999</v>
      </c>
      <c r="U9" s="16">
        <v>4</v>
      </c>
      <c r="V9" s="16"/>
      <c r="W9" s="16">
        <f t="shared" ca="1" si="0"/>
        <v>545</v>
      </c>
      <c r="X9" s="16" t="str">
        <f ca="1"/>
        <v>110-48-7033</v>
      </c>
      <c r="Y9" s="20">
        <f ca="1"/>
        <v>137.00399999999999</v>
      </c>
      <c r="Z9" s="16">
        <f ca="1"/>
        <v>4</v>
      </c>
      <c r="AA9" s="16"/>
      <c r="AB9" s="16"/>
      <c r="AC9" s="16" t="str">
        <f ca="1"/>
        <v>110-48-7033</v>
      </c>
      <c r="AD9" s="20">
        <f ca="1"/>
        <v>137.00399999999999</v>
      </c>
      <c r="AE9" s="16"/>
      <c r="AO9" t="str">
        <f t="shared" ref="AO9:AP9" si="6">AO5</f>
        <v>Ewallet</v>
      </c>
      <c r="AP9" s="22">
        <f t="shared" si="6"/>
        <v>77584.258499999996</v>
      </c>
      <c r="AR9" t="str">
        <f t="shared" si="4"/>
        <v>Giza</v>
      </c>
      <c r="AS9" s="22">
        <f t="shared" si="4"/>
        <v>83395.871999999974</v>
      </c>
      <c r="AU9" s="15" t="s">
        <v>822</v>
      </c>
      <c r="AV9" s="13">
        <v>3278.415</v>
      </c>
    </row>
    <row r="10" spans="1:48" x14ac:dyDescent="0.3">
      <c r="A10" s="15">
        <v>17</v>
      </c>
      <c r="B10" s="13">
        <v>8843.7404999999999</v>
      </c>
      <c r="D10" s="15" t="s">
        <v>799</v>
      </c>
      <c r="E10" s="13">
        <v>3854.1089999999995</v>
      </c>
      <c r="J10" s="15" t="s">
        <v>799</v>
      </c>
      <c r="K10" s="13">
        <v>3670.5799999999995</v>
      </c>
      <c r="L10" s="13">
        <v>3854.1089999999995</v>
      </c>
      <c r="M10" s="13"/>
      <c r="N10" s="6" t="s">
        <v>799</v>
      </c>
      <c r="O10" s="12">
        <f t="shared" si="1"/>
        <v>3670.5799999999995</v>
      </c>
      <c r="P10" s="12">
        <f t="shared" si="2"/>
        <v>183.529</v>
      </c>
      <c r="Q10" s="19">
        <f t="shared" si="3"/>
        <v>0.05</v>
      </c>
      <c r="S10" s="15" t="s">
        <v>720</v>
      </c>
      <c r="T10" s="13">
        <v>486.44400000000002</v>
      </c>
      <c r="U10" s="16">
        <v>8</v>
      </c>
      <c r="V10" s="16"/>
      <c r="W10" s="16">
        <f t="shared" ca="1" si="0"/>
        <v>176</v>
      </c>
      <c r="X10" s="16" t="str">
        <f ca="1"/>
        <v>114-35-5271</v>
      </c>
      <c r="Y10" s="20">
        <f ca="1"/>
        <v>486.44400000000002</v>
      </c>
      <c r="Z10" s="16">
        <f ca="1"/>
        <v>8</v>
      </c>
      <c r="AA10" s="16"/>
      <c r="AB10" s="16"/>
      <c r="AC10" s="16" t="str">
        <f ca="1"/>
        <v>114-35-5271</v>
      </c>
      <c r="AD10" s="20">
        <f ca="1"/>
        <v>486.44400000000002</v>
      </c>
      <c r="AE10" s="16"/>
      <c r="AU10" s="15" t="s">
        <v>823</v>
      </c>
      <c r="AV10" s="13">
        <v>2982.3255000000004</v>
      </c>
    </row>
    <row r="11" spans="1:48" x14ac:dyDescent="0.3">
      <c r="A11" s="15">
        <v>18</v>
      </c>
      <c r="B11" s="13">
        <v>7447.9334999999992</v>
      </c>
      <c r="D11" s="15" t="s">
        <v>800</v>
      </c>
      <c r="E11" s="13">
        <v>5680.9199999999992</v>
      </c>
      <c r="J11" s="15" t="s">
        <v>800</v>
      </c>
      <c r="K11" s="13">
        <v>5410.4000000000005</v>
      </c>
      <c r="L11" s="13">
        <v>5680.9199999999992</v>
      </c>
      <c r="M11" s="13"/>
      <c r="N11" s="6" t="s">
        <v>800</v>
      </c>
      <c r="O11" s="12">
        <f t="shared" si="1"/>
        <v>5410.4000000000005</v>
      </c>
      <c r="P11" s="12">
        <f t="shared" si="2"/>
        <v>270.51999999999862</v>
      </c>
      <c r="Q11" s="19">
        <f t="shared" si="3"/>
        <v>4.9999999999999739E-2</v>
      </c>
      <c r="S11" s="15" t="s">
        <v>385</v>
      </c>
      <c r="T11" s="13">
        <v>402.26549999999997</v>
      </c>
      <c r="U11" s="16">
        <v>7</v>
      </c>
      <c r="V11" s="16"/>
      <c r="W11" s="16">
        <f t="shared" ca="1" si="0"/>
        <v>232</v>
      </c>
      <c r="X11" s="16" t="str">
        <f ca="1"/>
        <v>115-99-4379</v>
      </c>
      <c r="Y11" s="20">
        <f ca="1"/>
        <v>402.26549999999997</v>
      </c>
      <c r="Z11" s="16">
        <f ca="1"/>
        <v>7</v>
      </c>
      <c r="AA11" s="16"/>
      <c r="AB11" s="16"/>
      <c r="AC11" s="16" t="str">
        <f ca="1"/>
        <v>115-99-4379</v>
      </c>
      <c r="AD11" s="20">
        <f ca="1"/>
        <v>402.26549999999997</v>
      </c>
      <c r="AE11" s="16"/>
      <c r="AU11" s="15" t="s">
        <v>824</v>
      </c>
      <c r="AV11" s="13">
        <v>3659.3865000000005</v>
      </c>
    </row>
    <row r="12" spans="1:48" x14ac:dyDescent="0.3">
      <c r="A12" s="15">
        <v>19</v>
      </c>
      <c r="B12" s="13">
        <v>11255.0445</v>
      </c>
      <c r="D12" s="15" t="s">
        <v>801</v>
      </c>
      <c r="E12" s="13">
        <v>3698.3204999999998</v>
      </c>
      <c r="J12" s="15" t="s">
        <v>801</v>
      </c>
      <c r="K12" s="13">
        <v>3522.2099999999996</v>
      </c>
      <c r="L12" s="13">
        <v>3698.3204999999998</v>
      </c>
      <c r="M12" s="13"/>
      <c r="N12" s="6" t="s">
        <v>801</v>
      </c>
      <c r="O12" s="12">
        <f t="shared" si="1"/>
        <v>3522.2099999999996</v>
      </c>
      <c r="P12" s="12">
        <f t="shared" si="2"/>
        <v>176.11050000000023</v>
      </c>
      <c r="Q12" s="19">
        <f t="shared" si="3"/>
        <v>5.0000000000000072E-2</v>
      </c>
      <c r="S12" s="15" t="s">
        <v>91</v>
      </c>
      <c r="T12" s="13">
        <v>192.84299999999999</v>
      </c>
      <c r="U12" s="16">
        <v>6</v>
      </c>
      <c r="V12" s="16"/>
      <c r="W12" s="16">
        <f t="shared" ca="1" si="0"/>
        <v>456</v>
      </c>
      <c r="X12" s="16" t="str">
        <f ca="1"/>
        <v>120-06-4233</v>
      </c>
      <c r="Y12" s="20">
        <f ca="1"/>
        <v>192.84299999999999</v>
      </c>
      <c r="Z12" s="16">
        <f ca="1"/>
        <v>6</v>
      </c>
      <c r="AA12" s="16"/>
      <c r="AB12" s="16"/>
      <c r="AC12" s="16" t="str">
        <f ca="1"/>
        <v>120-06-4233</v>
      </c>
      <c r="AD12" s="20">
        <f ca="1"/>
        <v>192.84299999999999</v>
      </c>
      <c r="AE12" s="16"/>
      <c r="AU12" s="15" t="s">
        <v>825</v>
      </c>
      <c r="AV12" s="13">
        <v>3205.4715000000006</v>
      </c>
    </row>
    <row r="13" spans="1:48" x14ac:dyDescent="0.3">
      <c r="A13" s="15">
        <v>20</v>
      </c>
      <c r="B13" s="13">
        <v>11360.306999999995</v>
      </c>
      <c r="D13" s="15" t="s">
        <v>802</v>
      </c>
      <c r="E13" s="13">
        <v>3678.5385000000001</v>
      </c>
      <c r="J13" s="15" t="s">
        <v>802</v>
      </c>
      <c r="K13" s="13">
        <v>3503.37</v>
      </c>
      <c r="L13" s="13">
        <v>3678.5385000000001</v>
      </c>
      <c r="M13" s="13"/>
      <c r="N13" s="6" t="s">
        <v>802</v>
      </c>
      <c r="O13" s="12">
        <f t="shared" si="1"/>
        <v>3503.37</v>
      </c>
      <c r="P13" s="12">
        <f t="shared" si="2"/>
        <v>175.16850000000022</v>
      </c>
      <c r="Q13" s="19">
        <f t="shared" si="3"/>
        <v>5.0000000000000065E-2</v>
      </c>
      <c r="S13" s="15" t="s">
        <v>399</v>
      </c>
      <c r="T13" s="13">
        <v>484.97399999999999</v>
      </c>
      <c r="U13" s="16">
        <v>9</v>
      </c>
      <c r="V13" s="16"/>
      <c r="W13" s="16">
        <f t="shared" ca="1" si="0"/>
        <v>179</v>
      </c>
      <c r="X13" s="16" t="str">
        <f ca="1"/>
        <v>122-61-9553</v>
      </c>
      <c r="Y13" s="20">
        <f ca="1"/>
        <v>484.97399999999999</v>
      </c>
      <c r="Z13" s="16">
        <f ca="1"/>
        <v>9</v>
      </c>
      <c r="AA13" s="16"/>
      <c r="AB13" s="16"/>
      <c r="AC13" s="16"/>
      <c r="AE13" s="16"/>
      <c r="AU13" s="15" t="s">
        <v>826</v>
      </c>
      <c r="AV13" s="13">
        <v>1521.5864999999999</v>
      </c>
    </row>
    <row r="14" spans="1:48" x14ac:dyDescent="0.3">
      <c r="A14" s="15">
        <v>21</v>
      </c>
      <c r="B14" s="13">
        <v>7543.1055000000006</v>
      </c>
      <c r="D14" s="15" t="s">
        <v>803</v>
      </c>
      <c r="E14" s="13">
        <v>5052.6104999999989</v>
      </c>
      <c r="J14" s="15" t="s">
        <v>803</v>
      </c>
      <c r="K14" s="13">
        <v>4812.01</v>
      </c>
      <c r="L14" s="13">
        <v>5052.6104999999989</v>
      </c>
      <c r="M14" s="13"/>
      <c r="N14" s="6" t="s">
        <v>803</v>
      </c>
      <c r="O14" s="12">
        <f t="shared" si="1"/>
        <v>4812.01</v>
      </c>
      <c r="P14" s="12">
        <f t="shared" si="2"/>
        <v>240.60049999999865</v>
      </c>
      <c r="Q14" s="19">
        <f t="shared" si="3"/>
        <v>4.9999999999999718E-2</v>
      </c>
      <c r="S14" s="15" t="s">
        <v>30</v>
      </c>
      <c r="T14" s="13">
        <v>489.048</v>
      </c>
      <c r="U14" s="16">
        <v>8</v>
      </c>
      <c r="V14" s="16"/>
      <c r="W14" s="16">
        <f t="shared" ca="1" si="0"/>
        <v>174</v>
      </c>
      <c r="X14" s="16" t="str">
        <f ca="1"/>
        <v>123-19-1176</v>
      </c>
      <c r="Y14" s="20">
        <f ca="1"/>
        <v>489.048</v>
      </c>
      <c r="Z14" s="16">
        <f ca="1"/>
        <v>8</v>
      </c>
      <c r="AA14" s="16"/>
      <c r="AB14" s="16"/>
      <c r="AC14" s="16"/>
      <c r="AE14" s="16"/>
      <c r="AU14" s="15" t="s">
        <v>827</v>
      </c>
      <c r="AV14" s="13">
        <v>1932.7140000000002</v>
      </c>
    </row>
    <row r="15" spans="1:48" x14ac:dyDescent="0.3">
      <c r="A15" s="15">
        <v>22</v>
      </c>
      <c r="B15" s="13">
        <v>6951.8399999999983</v>
      </c>
      <c r="S15" s="15" t="s">
        <v>714</v>
      </c>
      <c r="T15" s="13">
        <v>250.70849999999999</v>
      </c>
      <c r="U15" s="16">
        <v>3</v>
      </c>
      <c r="V15" s="16"/>
      <c r="W15" s="16">
        <f t="shared" ca="1" si="0"/>
        <v>380</v>
      </c>
      <c r="X15" s="16" t="str">
        <f ca="1"/>
        <v>124-31-1458</v>
      </c>
      <c r="Y15" s="20">
        <f ca="1"/>
        <v>250.70849999999999</v>
      </c>
      <c r="Z15" s="16">
        <f ca="1"/>
        <v>3</v>
      </c>
      <c r="AA15" s="16"/>
      <c r="AB15" s="16"/>
      <c r="AC15" s="16"/>
      <c r="AE15" s="16"/>
      <c r="AU15" s="15" t="s">
        <v>828</v>
      </c>
      <c r="AV15" s="13">
        <v>4465.2404999999999</v>
      </c>
    </row>
    <row r="16" spans="1:48" x14ac:dyDescent="0.3">
      <c r="A16" s="15">
        <v>23</v>
      </c>
      <c r="B16" s="13">
        <v>11131.606499999998</v>
      </c>
      <c r="S16" s="15" t="s">
        <v>305</v>
      </c>
      <c r="T16" s="13">
        <v>203.553</v>
      </c>
      <c r="U16" s="16">
        <v>9</v>
      </c>
      <c r="V16" s="16"/>
      <c r="W16" s="16">
        <f t="shared" ca="1" si="0"/>
        <v>439</v>
      </c>
      <c r="X16" s="16" t="str">
        <f ca="1"/>
        <v>126-54-1082</v>
      </c>
      <c r="Y16" s="20">
        <f ca="1"/>
        <v>203.553</v>
      </c>
      <c r="Z16" s="16">
        <f ca="1"/>
        <v>9</v>
      </c>
      <c r="AA16" s="16"/>
      <c r="AB16" s="16"/>
      <c r="AC16" s="16"/>
      <c r="AE16" s="16"/>
      <c r="AU16" s="15" t="s">
        <v>829</v>
      </c>
      <c r="AV16" s="13">
        <v>3793.6710000000007</v>
      </c>
    </row>
    <row r="17" spans="1:48" x14ac:dyDescent="0.3">
      <c r="A17" s="15">
        <v>24</v>
      </c>
      <c r="B17" s="13">
        <v>10145.246999999999</v>
      </c>
      <c r="S17" s="15" t="s">
        <v>618</v>
      </c>
      <c r="T17" s="13">
        <v>217.18199999999999</v>
      </c>
      <c r="U17" s="16">
        <v>4</v>
      </c>
      <c r="V17" s="16"/>
      <c r="W17" s="16">
        <f t="shared" ca="1" si="0"/>
        <v>412</v>
      </c>
      <c r="X17" s="16" t="str">
        <f ca="1"/>
        <v>127-47-6963</v>
      </c>
      <c r="Y17" s="20">
        <f ca="1"/>
        <v>217.18199999999999</v>
      </c>
      <c r="Z17" s="16">
        <f ca="1"/>
        <v>4</v>
      </c>
      <c r="AA17" s="16"/>
      <c r="AB17" s="16"/>
      <c r="AC17" s="16"/>
      <c r="AE17" s="16"/>
      <c r="AU17" s="15" t="s">
        <v>830</v>
      </c>
      <c r="AV17" s="13">
        <v>6653.7659999999996</v>
      </c>
    </row>
    <row r="18" spans="1:48" x14ac:dyDescent="0.3">
      <c r="A18" s="15">
        <v>25</v>
      </c>
      <c r="B18" s="13">
        <v>16146.942000000003</v>
      </c>
      <c r="S18" s="15" t="s">
        <v>68</v>
      </c>
      <c r="T18" s="13">
        <v>328.755</v>
      </c>
      <c r="U18" s="16">
        <v>5</v>
      </c>
      <c r="V18" s="16"/>
      <c r="W18" s="16">
        <f t="shared" ca="1" si="0"/>
        <v>297</v>
      </c>
      <c r="X18" s="16" t="str">
        <f ca="1"/>
        <v>129-29-8530</v>
      </c>
      <c r="Y18" s="20">
        <f ca="1"/>
        <v>328.755</v>
      </c>
      <c r="Z18" s="16">
        <f ca="1"/>
        <v>5</v>
      </c>
      <c r="AA18" s="16"/>
      <c r="AB18" s="16"/>
      <c r="AC18" s="16"/>
      <c r="AE18" s="16"/>
      <c r="AU18" s="15" t="s">
        <v>831</v>
      </c>
      <c r="AV18" s="13">
        <v>3951.78</v>
      </c>
    </row>
    <row r="19" spans="1:48" x14ac:dyDescent="0.3">
      <c r="A19" s="15">
        <v>26</v>
      </c>
      <c r="B19" s="13">
        <v>13511.9355</v>
      </c>
      <c r="S19" s="15" t="s">
        <v>647</v>
      </c>
      <c r="T19" s="13">
        <v>305.55</v>
      </c>
      <c r="U19" s="16">
        <v>6</v>
      </c>
      <c r="V19" s="16"/>
      <c r="W19" s="16">
        <f t="shared" ca="1" si="0"/>
        <v>319</v>
      </c>
      <c r="X19" s="16" t="str">
        <f ca="1"/>
        <v>130-67-4723</v>
      </c>
      <c r="Y19" s="20">
        <f ca="1"/>
        <v>305.55</v>
      </c>
      <c r="Z19" s="16">
        <f ca="1"/>
        <v>6</v>
      </c>
      <c r="AA19" s="16"/>
      <c r="AB19" s="16"/>
      <c r="AC19" s="16"/>
      <c r="AE19" s="16"/>
      <c r="AU19" s="15" t="s">
        <v>832</v>
      </c>
      <c r="AV19" s="13">
        <v>5273.3625000000002</v>
      </c>
    </row>
    <row r="20" spans="1:48" x14ac:dyDescent="0.3">
      <c r="A20" s="15">
        <v>27</v>
      </c>
      <c r="B20" s="13">
        <v>12782.195999999998</v>
      </c>
      <c r="S20" s="15" t="s">
        <v>213</v>
      </c>
      <c r="T20" s="13">
        <v>472.31099999999998</v>
      </c>
      <c r="U20" s="16">
        <v>7</v>
      </c>
      <c r="V20" s="16"/>
      <c r="W20" s="16">
        <f t="shared" ca="1" si="0"/>
        <v>188</v>
      </c>
      <c r="X20" s="16" t="str">
        <f ca="1"/>
        <v>130-98-8941</v>
      </c>
      <c r="Y20" s="20">
        <f ca="1"/>
        <v>472.31099999999998</v>
      </c>
      <c r="Z20" s="16">
        <f ca="1"/>
        <v>7</v>
      </c>
      <c r="AA20" s="16"/>
      <c r="AB20" s="16"/>
      <c r="AC20" s="16"/>
      <c r="AE20" s="16"/>
      <c r="AU20" s="15" t="s">
        <v>833</v>
      </c>
      <c r="AV20" s="13">
        <v>3710.9519999999993</v>
      </c>
    </row>
    <row r="21" spans="1:48" x14ac:dyDescent="0.3">
      <c r="A21" s="15">
        <v>28</v>
      </c>
      <c r="B21" s="13">
        <v>9828.3465000000015</v>
      </c>
      <c r="S21" s="15" t="s">
        <v>445</v>
      </c>
      <c r="T21" s="13">
        <v>110.0925</v>
      </c>
      <c r="U21" s="16">
        <v>5</v>
      </c>
      <c r="V21" s="16"/>
      <c r="W21" s="16">
        <f t="shared" ca="1" si="0"/>
        <v>580</v>
      </c>
      <c r="X21" s="16" t="str">
        <f ca="1"/>
        <v>132-23-6451</v>
      </c>
      <c r="Y21" s="20">
        <f ca="1"/>
        <v>110.0925</v>
      </c>
      <c r="Z21" s="16">
        <f ca="1"/>
        <v>5</v>
      </c>
      <c r="AA21" s="16"/>
      <c r="AB21" s="16"/>
      <c r="AC21" s="16"/>
      <c r="AE21" s="16"/>
      <c r="AU21" s="15" t="s">
        <v>834</v>
      </c>
      <c r="AV21" s="13">
        <v>4267.4625000000005</v>
      </c>
    </row>
    <row r="22" spans="1:48" x14ac:dyDescent="0.3">
      <c r="A22" s="15">
        <v>29</v>
      </c>
      <c r="B22" s="13">
        <v>6157.473</v>
      </c>
      <c r="S22" s="15" t="s">
        <v>77</v>
      </c>
      <c r="T22" s="13">
        <v>394.63200000000001</v>
      </c>
      <c r="U22" s="16">
        <v>4</v>
      </c>
      <c r="V22" s="16"/>
      <c r="W22" s="16">
        <f t="shared" ca="1" si="0"/>
        <v>242</v>
      </c>
      <c r="X22" s="16" t="str">
        <f ca="1"/>
        <v>132-32-9879</v>
      </c>
      <c r="Y22" s="20">
        <f ca="1"/>
        <v>394.63200000000001</v>
      </c>
      <c r="Z22" s="16">
        <f ca="1"/>
        <v>4</v>
      </c>
      <c r="AA22" s="16"/>
      <c r="AB22" s="16"/>
      <c r="AC22" s="16"/>
      <c r="AE22" s="16"/>
      <c r="AU22" s="15" t="s">
        <v>835</v>
      </c>
      <c r="AV22" s="13">
        <v>4281.9944999999998</v>
      </c>
    </row>
    <row r="23" spans="1:48" x14ac:dyDescent="0.3">
      <c r="A23" s="15">
        <v>30</v>
      </c>
      <c r="B23" s="13">
        <v>7552.3034999999991</v>
      </c>
      <c r="S23" s="15" t="s">
        <v>556</v>
      </c>
      <c r="T23" s="13">
        <v>132.02699999999999</v>
      </c>
      <c r="U23" s="16">
        <v>2</v>
      </c>
      <c r="V23" s="16"/>
      <c r="W23" s="16">
        <f t="shared" ca="1" si="0"/>
        <v>554</v>
      </c>
      <c r="X23" s="16" t="str">
        <f ca="1"/>
        <v>133-14-7229</v>
      </c>
      <c r="Y23" s="20">
        <f ca="1"/>
        <v>132.02699999999999</v>
      </c>
      <c r="Z23" s="16">
        <f ca="1"/>
        <v>2</v>
      </c>
      <c r="AA23" s="16"/>
      <c r="AB23" s="16"/>
      <c r="AC23" s="16"/>
      <c r="AE23" s="16"/>
      <c r="AU23" s="15" t="s">
        <v>836</v>
      </c>
      <c r="AV23" s="13">
        <v>6736.4324999999981</v>
      </c>
    </row>
    <row r="24" spans="1:48" x14ac:dyDescent="0.3">
      <c r="A24" s="15">
        <v>31</v>
      </c>
      <c r="B24" s="13">
        <v>6736.4324999999981</v>
      </c>
      <c r="S24" s="15" t="s">
        <v>595</v>
      </c>
      <c r="T24" s="13">
        <v>356.32799999999997</v>
      </c>
      <c r="U24" s="16">
        <v>8</v>
      </c>
      <c r="V24" s="16"/>
      <c r="W24" s="16">
        <f t="shared" ca="1" si="0"/>
        <v>270</v>
      </c>
      <c r="X24" s="16" t="str">
        <f ca="1"/>
        <v>134-54-4720</v>
      </c>
      <c r="Y24" s="20">
        <f ca="1"/>
        <v>356.32799999999997</v>
      </c>
      <c r="Z24" s="16">
        <f ca="1"/>
        <v>8</v>
      </c>
      <c r="AA24" s="16"/>
      <c r="AB24" s="16"/>
      <c r="AC24" s="16"/>
      <c r="AE24" s="16"/>
      <c r="AU24" s="15" t="s">
        <v>837</v>
      </c>
      <c r="AV24" s="13">
        <v>547.197</v>
      </c>
    </row>
    <row r="25" spans="1:48" x14ac:dyDescent="0.3">
      <c r="S25" s="15" t="s">
        <v>587</v>
      </c>
      <c r="T25" s="13">
        <v>142.00200000000001</v>
      </c>
      <c r="U25" s="16">
        <v>7</v>
      </c>
      <c r="V25" s="16"/>
      <c r="W25" s="16">
        <f t="shared" ca="1" si="0"/>
        <v>538</v>
      </c>
      <c r="X25" s="16" t="str">
        <f ca="1"/>
        <v>134-75-2619</v>
      </c>
      <c r="Y25" s="20">
        <f ca="1"/>
        <v>142.00200000000001</v>
      </c>
      <c r="Z25" s="16">
        <f ca="1"/>
        <v>7</v>
      </c>
      <c r="AA25" s="16"/>
      <c r="AB25" s="16"/>
      <c r="AC25" s="16"/>
      <c r="AE25" s="16"/>
      <c r="AU25" s="15" t="s">
        <v>838</v>
      </c>
      <c r="AV25" s="13">
        <v>626.82899999999995</v>
      </c>
    </row>
    <row r="26" spans="1:48" x14ac:dyDescent="0.3">
      <c r="S26" s="15" t="s">
        <v>378</v>
      </c>
      <c r="T26" s="13">
        <v>736.43849999999998</v>
      </c>
      <c r="U26" s="16">
        <v>9</v>
      </c>
      <c r="V26" s="16"/>
      <c r="W26" s="16">
        <f t="shared" ca="1" si="0"/>
        <v>68</v>
      </c>
      <c r="X26" s="16" t="str">
        <f ca="1"/>
        <v>135-84-8019</v>
      </c>
      <c r="Y26" s="20">
        <f ca="1"/>
        <v>736.43849999999998</v>
      </c>
      <c r="Z26" s="16">
        <f ca="1"/>
        <v>9</v>
      </c>
      <c r="AA26" s="16"/>
      <c r="AB26" s="16"/>
      <c r="AC26" s="16"/>
      <c r="AE26" s="16"/>
      <c r="AU26" s="15" t="s">
        <v>839</v>
      </c>
      <c r="AV26" s="13">
        <v>3782.2574999999997</v>
      </c>
    </row>
    <row r="27" spans="1:48" x14ac:dyDescent="0.3">
      <c r="S27" s="15" t="s">
        <v>313</v>
      </c>
      <c r="T27" s="13">
        <v>587.66399999999999</v>
      </c>
      <c r="U27" s="16">
        <v>8</v>
      </c>
      <c r="V27" s="16"/>
      <c r="W27" s="16">
        <f t="shared" ca="1" si="0"/>
        <v>120</v>
      </c>
      <c r="X27" s="16" t="str">
        <f ca="1"/>
        <v>136-08-6195</v>
      </c>
      <c r="Y27" s="20">
        <f ca="1"/>
        <v>587.66399999999999</v>
      </c>
      <c r="Z27" s="16">
        <f ca="1"/>
        <v>8</v>
      </c>
      <c r="AA27" s="16"/>
      <c r="AB27" s="16"/>
      <c r="AC27" s="16"/>
      <c r="AE27" s="16"/>
      <c r="AU27" s="15" t="s">
        <v>840</v>
      </c>
      <c r="AV27" s="13">
        <v>2469.5790000000002</v>
      </c>
    </row>
    <row r="28" spans="1:48" x14ac:dyDescent="0.3">
      <c r="S28" s="15" t="s">
        <v>475</v>
      </c>
      <c r="T28" s="13">
        <v>843.03449999999998</v>
      </c>
      <c r="U28" s="16">
        <v>9</v>
      </c>
      <c r="V28" s="16"/>
      <c r="W28" s="16">
        <f t="shared" ca="1" si="0"/>
        <v>32</v>
      </c>
      <c r="X28" s="16" t="str">
        <f ca="1"/>
        <v>138-17-5109</v>
      </c>
      <c r="Y28" s="20">
        <f ca="1"/>
        <v>843.03449999999998</v>
      </c>
      <c r="Z28" s="16">
        <f ca="1"/>
        <v>9</v>
      </c>
      <c r="AA28" s="16"/>
      <c r="AB28" s="16"/>
      <c r="AC28" s="16"/>
      <c r="AE28" s="16"/>
      <c r="AU28" s="15" t="s">
        <v>841</v>
      </c>
      <c r="AV28" s="13">
        <v>1529.8394999999998</v>
      </c>
    </row>
    <row r="29" spans="1:48" x14ac:dyDescent="0.3">
      <c r="S29" s="15" t="s">
        <v>323</v>
      </c>
      <c r="T29" s="13">
        <v>423.15</v>
      </c>
      <c r="U29" s="16">
        <v>10</v>
      </c>
      <c r="V29" s="16"/>
      <c r="W29" s="16">
        <f t="shared" ca="1" si="0"/>
        <v>218</v>
      </c>
      <c r="X29" s="16" t="str">
        <f ca="1"/>
        <v>139-20-0155</v>
      </c>
      <c r="Y29" s="20">
        <f ca="1"/>
        <v>423.15</v>
      </c>
      <c r="Z29" s="16">
        <f ca="1"/>
        <v>10</v>
      </c>
      <c r="AA29" s="16"/>
      <c r="AB29" s="16"/>
      <c r="AC29" s="16"/>
      <c r="AE29" s="16"/>
      <c r="AU29" s="15" t="s">
        <v>842</v>
      </c>
      <c r="AV29" s="13">
        <v>6825.9030000000012</v>
      </c>
    </row>
    <row r="30" spans="1:48" x14ac:dyDescent="0.3">
      <c r="S30" s="15" t="s">
        <v>210</v>
      </c>
      <c r="T30" s="13">
        <v>165.4485</v>
      </c>
      <c r="U30" s="16">
        <v>7</v>
      </c>
      <c r="V30" s="16"/>
      <c r="W30" s="16">
        <f t="shared" ca="1" si="0"/>
        <v>497</v>
      </c>
      <c r="X30" s="16" t="str">
        <f ca="1"/>
        <v>139-52-2867</v>
      </c>
      <c r="Y30" s="20">
        <f ca="1"/>
        <v>165.4485</v>
      </c>
      <c r="Z30" s="16">
        <f ca="1"/>
        <v>7</v>
      </c>
      <c r="AA30" s="16"/>
      <c r="AB30" s="16"/>
      <c r="AC30" s="16"/>
      <c r="AE30" s="16"/>
      <c r="AU30" s="15" t="s">
        <v>843</v>
      </c>
      <c r="AV30" s="13">
        <v>2513.1645000000003</v>
      </c>
    </row>
    <row r="31" spans="1:48" x14ac:dyDescent="0.3">
      <c r="S31" s="15" t="s">
        <v>245</v>
      </c>
      <c r="T31" s="13">
        <v>484.89</v>
      </c>
      <c r="U31" s="16">
        <v>5</v>
      </c>
      <c r="V31" s="16"/>
      <c r="W31" s="16">
        <f t="shared" ca="1" si="0"/>
        <v>180</v>
      </c>
      <c r="X31" s="16" t="str">
        <f ca="1"/>
        <v>142-63-6033</v>
      </c>
      <c r="Y31" s="20">
        <f ca="1"/>
        <v>484.89</v>
      </c>
      <c r="Z31" s="16">
        <f ca="1"/>
        <v>5</v>
      </c>
      <c r="AA31" s="16"/>
      <c r="AB31" s="16"/>
      <c r="AC31" s="16"/>
      <c r="AE31" s="16"/>
      <c r="AU31" s="15" t="s">
        <v>844</v>
      </c>
      <c r="AV31" s="13">
        <v>3408.4994999999999</v>
      </c>
    </row>
    <row r="32" spans="1:48" x14ac:dyDescent="0.3">
      <c r="S32" s="15" t="s">
        <v>275</v>
      </c>
      <c r="T32" s="13">
        <v>195.72</v>
      </c>
      <c r="U32" s="16">
        <v>2</v>
      </c>
      <c r="V32" s="16"/>
      <c r="W32" s="16">
        <f t="shared" ca="1" si="0"/>
        <v>448</v>
      </c>
      <c r="X32" s="16" t="str">
        <f ca="1"/>
        <v>142-72-4741</v>
      </c>
      <c r="Y32" s="20">
        <f ca="1"/>
        <v>195.72</v>
      </c>
      <c r="Z32" s="16">
        <f ca="1"/>
        <v>2</v>
      </c>
      <c r="AA32" s="16"/>
      <c r="AB32" s="16"/>
      <c r="AC32" s="16"/>
      <c r="AE32" s="16"/>
      <c r="AU32" s="15" t="s">
        <v>845</v>
      </c>
      <c r="AV32" s="13">
        <v>1906.884</v>
      </c>
    </row>
    <row r="33" spans="19:48" x14ac:dyDescent="0.3">
      <c r="S33" s="15" t="s">
        <v>301</v>
      </c>
      <c r="T33" s="13">
        <v>297.108</v>
      </c>
      <c r="U33" s="16">
        <v>4</v>
      </c>
      <c r="V33" s="16"/>
      <c r="W33" s="16">
        <f t="shared" ca="1" si="0"/>
        <v>326</v>
      </c>
      <c r="X33" s="16" t="str">
        <f ca="1"/>
        <v>144-51-6085</v>
      </c>
      <c r="Y33" s="20">
        <f ca="1"/>
        <v>297.108</v>
      </c>
      <c r="Z33" s="16">
        <f ca="1"/>
        <v>4</v>
      </c>
      <c r="AA33" s="16"/>
      <c r="AB33" s="16"/>
      <c r="AC33" s="16"/>
      <c r="AE33" s="16"/>
      <c r="AU33" s="15" t="s">
        <v>846</v>
      </c>
      <c r="AV33" s="13">
        <v>1835.8409999999999</v>
      </c>
    </row>
    <row r="34" spans="19:48" x14ac:dyDescent="0.3">
      <c r="S34" s="15" t="s">
        <v>60</v>
      </c>
      <c r="T34" s="13">
        <v>463.89</v>
      </c>
      <c r="U34" s="16">
        <v>5</v>
      </c>
      <c r="V34" s="16"/>
      <c r="W34" s="16">
        <f t="shared" ca="1" si="0"/>
        <v>193</v>
      </c>
      <c r="X34" s="16" t="str">
        <f ca="1"/>
        <v>145-94-9061</v>
      </c>
      <c r="Y34" s="20">
        <f ca="1"/>
        <v>463.89</v>
      </c>
      <c r="Z34" s="16">
        <f ca="1"/>
        <v>5</v>
      </c>
      <c r="AA34" s="16"/>
      <c r="AB34" s="16"/>
      <c r="AC34" s="16"/>
      <c r="AE34" s="16"/>
      <c r="AU34" s="15" t="s">
        <v>847</v>
      </c>
      <c r="AV34" s="13">
        <v>4486.7655000000004</v>
      </c>
    </row>
    <row r="35" spans="19:48" x14ac:dyDescent="0.3">
      <c r="S35" s="15" t="s">
        <v>726</v>
      </c>
      <c r="T35" s="13">
        <v>331.12799999999999</v>
      </c>
      <c r="U35" s="16">
        <v>9</v>
      </c>
      <c r="V35" s="16"/>
      <c r="W35" s="16">
        <f t="shared" ca="1" si="0"/>
        <v>296</v>
      </c>
      <c r="X35" s="16" t="str">
        <f ca="1"/>
        <v>146-09-5432</v>
      </c>
      <c r="Y35" s="20">
        <f ca="1"/>
        <v>331.12799999999999</v>
      </c>
      <c r="Z35" s="16">
        <f ca="1"/>
        <v>9</v>
      </c>
      <c r="AA35" s="16"/>
      <c r="AB35" s="16"/>
      <c r="AC35" s="16"/>
      <c r="AE35" s="16"/>
      <c r="AU35" s="15" t="s">
        <v>848</v>
      </c>
      <c r="AV35" s="13">
        <v>3113.7435</v>
      </c>
    </row>
    <row r="36" spans="19:48" x14ac:dyDescent="0.3">
      <c r="S36" s="15" t="s">
        <v>526</v>
      </c>
      <c r="T36" s="13">
        <v>127.26</v>
      </c>
      <c r="U36" s="16">
        <v>10</v>
      </c>
      <c r="V36" s="16"/>
      <c r="W36" s="16">
        <f t="shared" ca="1" si="0"/>
        <v>560</v>
      </c>
      <c r="X36" s="16" t="str">
        <f ca="1"/>
        <v>148-82-2527</v>
      </c>
      <c r="Y36" s="20">
        <f ca="1"/>
        <v>127.26</v>
      </c>
      <c r="Z36" s="16">
        <f ca="1"/>
        <v>10</v>
      </c>
      <c r="AA36" s="16"/>
      <c r="AB36" s="16"/>
      <c r="AC36" s="16"/>
      <c r="AE36" s="16"/>
      <c r="AU36" s="15" t="s">
        <v>849</v>
      </c>
      <c r="AV36" s="13">
        <v>2801.3895000000002</v>
      </c>
    </row>
    <row r="37" spans="19:48" x14ac:dyDescent="0.3">
      <c r="S37" s="15" t="s">
        <v>666</v>
      </c>
      <c r="T37" s="13">
        <v>239.4</v>
      </c>
      <c r="U37" s="16">
        <v>8</v>
      </c>
      <c r="V37" s="16"/>
      <c r="W37" s="16">
        <f t="shared" ca="1" si="0"/>
        <v>390</v>
      </c>
      <c r="X37" s="16" t="str">
        <f ca="1"/>
        <v>149-14-0304</v>
      </c>
      <c r="Y37" s="20">
        <f ca="1"/>
        <v>239.4</v>
      </c>
      <c r="Z37" s="16">
        <f ca="1"/>
        <v>8</v>
      </c>
      <c r="AA37" s="16"/>
      <c r="AB37" s="16"/>
      <c r="AC37" s="16"/>
      <c r="AE37" s="16"/>
      <c r="AU37" s="15" t="s">
        <v>850</v>
      </c>
      <c r="AV37" s="13">
        <v>3570.84</v>
      </c>
    </row>
    <row r="38" spans="19:48" x14ac:dyDescent="0.3">
      <c r="S38" s="15" t="s">
        <v>640</v>
      </c>
      <c r="T38" s="13">
        <v>352.67399999999998</v>
      </c>
      <c r="U38" s="16">
        <v>9</v>
      </c>
      <c r="V38" s="16"/>
      <c r="W38" s="16">
        <f t="shared" ca="1" si="0"/>
        <v>274</v>
      </c>
      <c r="X38" s="16" t="str">
        <f ca="1"/>
        <v>149-15-7606</v>
      </c>
      <c r="Y38" s="20">
        <f ca="1"/>
        <v>352.67399999999998</v>
      </c>
      <c r="Z38" s="16">
        <f ca="1"/>
        <v>9</v>
      </c>
      <c r="AA38" s="16"/>
      <c r="AB38" s="16"/>
      <c r="AC38" s="16"/>
      <c r="AE38" s="16"/>
      <c r="AU38" s="15" t="s">
        <v>851</v>
      </c>
      <c r="AV38" s="13">
        <v>3985.1070000000004</v>
      </c>
    </row>
    <row r="39" spans="19:48" x14ac:dyDescent="0.3">
      <c r="S39" s="15" t="s">
        <v>63</v>
      </c>
      <c r="T39" s="13">
        <v>737.76149999999996</v>
      </c>
      <c r="U39" s="16">
        <v>9</v>
      </c>
      <c r="V39" s="16"/>
      <c r="W39" s="16">
        <f t="shared" ca="1" si="0"/>
        <v>67</v>
      </c>
      <c r="X39" s="16" t="str">
        <f ca="1"/>
        <v>149-71-6266</v>
      </c>
      <c r="Y39" s="20">
        <f ca="1"/>
        <v>737.76149999999996</v>
      </c>
      <c r="Z39" s="16">
        <f ca="1"/>
        <v>9</v>
      </c>
      <c r="AA39" s="16"/>
      <c r="AB39" s="16"/>
      <c r="AC39" s="16"/>
      <c r="AE39" s="16"/>
      <c r="AU39" s="15" t="s">
        <v>852</v>
      </c>
      <c r="AV39" s="13">
        <v>5488.9169999999995</v>
      </c>
    </row>
    <row r="40" spans="19:48" x14ac:dyDescent="0.3">
      <c r="S40" s="15" t="s">
        <v>377</v>
      </c>
      <c r="T40" s="13">
        <v>140.64750000000001</v>
      </c>
      <c r="U40" s="16">
        <v>3</v>
      </c>
      <c r="V40" s="16"/>
      <c r="W40" s="16">
        <f t="shared" ca="1" si="0"/>
        <v>540</v>
      </c>
      <c r="X40" s="16" t="str">
        <f ca="1"/>
        <v>150-89-8043</v>
      </c>
      <c r="Y40" s="20">
        <f ca="1"/>
        <v>140.64750000000001</v>
      </c>
      <c r="Z40" s="16">
        <f ca="1"/>
        <v>3</v>
      </c>
      <c r="AA40" s="16"/>
      <c r="AB40" s="16"/>
      <c r="AC40" s="16"/>
      <c r="AE40" s="16"/>
      <c r="AU40" s="15" t="s">
        <v>853</v>
      </c>
      <c r="AV40" s="13">
        <v>3984.8025000000007</v>
      </c>
    </row>
    <row r="41" spans="19:48" x14ac:dyDescent="0.3">
      <c r="S41" s="15" t="s">
        <v>291</v>
      </c>
      <c r="T41" s="13">
        <v>135.44999999999999</v>
      </c>
      <c r="U41" s="16">
        <v>4</v>
      </c>
      <c r="V41" s="16"/>
      <c r="W41" s="16">
        <f t="shared" ca="1" si="0"/>
        <v>548</v>
      </c>
      <c r="X41" s="16" t="str">
        <f ca="1"/>
        <v>151-16-1484</v>
      </c>
      <c r="Y41" s="20">
        <f ca="1"/>
        <v>135.44999999999999</v>
      </c>
      <c r="Z41" s="16">
        <f ca="1"/>
        <v>4</v>
      </c>
      <c r="AA41" s="16"/>
      <c r="AB41" s="16"/>
      <c r="AC41" s="16"/>
      <c r="AE41" s="16"/>
      <c r="AU41" s="15" t="s">
        <v>854</v>
      </c>
      <c r="AV41" s="13">
        <v>4705.6485000000011</v>
      </c>
    </row>
    <row r="42" spans="19:48" x14ac:dyDescent="0.3">
      <c r="S42" s="15" t="s">
        <v>762</v>
      </c>
      <c r="T42" s="13">
        <v>71.158500000000004</v>
      </c>
      <c r="U42" s="16">
        <v>1</v>
      </c>
      <c r="V42" s="16"/>
      <c r="W42" s="16">
        <f t="shared" ca="1" si="0"/>
        <v>662</v>
      </c>
      <c r="X42" s="16" t="str">
        <f ca="1"/>
        <v>151-33-7434</v>
      </c>
      <c r="Y42" s="20">
        <f ca="1"/>
        <v>71.158500000000004</v>
      </c>
      <c r="Z42" s="16">
        <f ca="1"/>
        <v>1</v>
      </c>
      <c r="AA42" s="16"/>
      <c r="AB42" s="16"/>
      <c r="AC42" s="16"/>
      <c r="AE42" s="16"/>
      <c r="AU42" s="15" t="s">
        <v>855</v>
      </c>
      <c r="AV42" s="13">
        <v>2403.0300000000002</v>
      </c>
    </row>
    <row r="43" spans="19:48" x14ac:dyDescent="0.3">
      <c r="S43" s="15" t="s">
        <v>125</v>
      </c>
      <c r="T43" s="13">
        <v>608.202</v>
      </c>
      <c r="U43" s="16">
        <v>9</v>
      </c>
      <c r="V43" s="16"/>
      <c r="W43" s="16">
        <f t="shared" ca="1" si="0"/>
        <v>114</v>
      </c>
      <c r="X43" s="16" t="str">
        <f ca="1"/>
        <v>152-08-9985</v>
      </c>
      <c r="Y43" s="20">
        <f ca="1"/>
        <v>608.202</v>
      </c>
      <c r="Z43" s="16">
        <f ca="1"/>
        <v>9</v>
      </c>
      <c r="AA43" s="16"/>
      <c r="AB43" s="16"/>
      <c r="AC43" s="16"/>
      <c r="AE43" s="16"/>
      <c r="AU43" s="15" t="s">
        <v>856</v>
      </c>
      <c r="AV43" s="13">
        <v>1016.694</v>
      </c>
    </row>
    <row r="44" spans="19:48" x14ac:dyDescent="0.3">
      <c r="S44" s="15" t="s">
        <v>416</v>
      </c>
      <c r="T44" s="13">
        <v>314.53800000000001</v>
      </c>
      <c r="U44" s="16">
        <v>4</v>
      </c>
      <c r="V44" s="16"/>
      <c r="W44" s="16">
        <f t="shared" ca="1" si="0"/>
        <v>310</v>
      </c>
      <c r="X44" s="16" t="str">
        <f ca="1"/>
        <v>153-58-4872</v>
      </c>
      <c r="Y44" s="20">
        <f ca="1"/>
        <v>314.53800000000001</v>
      </c>
      <c r="Z44" s="16">
        <f ca="1"/>
        <v>4</v>
      </c>
      <c r="AA44" s="16"/>
      <c r="AB44" s="16"/>
      <c r="AC44" s="16"/>
      <c r="AE44" s="16"/>
      <c r="AU44" s="15" t="s">
        <v>857</v>
      </c>
      <c r="AV44" s="13">
        <v>2055.0495000000001</v>
      </c>
    </row>
    <row r="45" spans="19:48" x14ac:dyDescent="0.3">
      <c r="S45" s="15" t="s">
        <v>297</v>
      </c>
      <c r="T45" s="13">
        <v>57.172499999999999</v>
      </c>
      <c r="U45" s="16">
        <v>1</v>
      </c>
      <c r="V45" s="16"/>
      <c r="W45" s="16">
        <f t="shared" ca="1" si="0"/>
        <v>676</v>
      </c>
      <c r="X45" s="16" t="str">
        <f ca="1"/>
        <v>154-74-7179</v>
      </c>
      <c r="Y45" s="20">
        <f ca="1"/>
        <v>57.172499999999999</v>
      </c>
      <c r="Z45" s="16">
        <f ca="1"/>
        <v>1</v>
      </c>
      <c r="AA45" s="16"/>
      <c r="AB45" s="16"/>
      <c r="AC45" s="16"/>
      <c r="AE45" s="16"/>
      <c r="AU45" s="15" t="s">
        <v>858</v>
      </c>
      <c r="AV45" s="13">
        <v>1518.5415</v>
      </c>
    </row>
    <row r="46" spans="19:48" x14ac:dyDescent="0.3">
      <c r="S46" s="15" t="s">
        <v>761</v>
      </c>
      <c r="T46" s="13">
        <v>26.7225</v>
      </c>
      <c r="U46" s="16">
        <v>1</v>
      </c>
      <c r="V46" s="16"/>
      <c r="W46" s="16">
        <f t="shared" ca="1" si="0"/>
        <v>719</v>
      </c>
      <c r="X46" s="16" t="str">
        <f ca="1"/>
        <v>156-20-0370</v>
      </c>
      <c r="Y46" s="20">
        <f ca="1"/>
        <v>26.7225</v>
      </c>
      <c r="Z46" s="16">
        <f ca="1"/>
        <v>1</v>
      </c>
      <c r="AA46" s="16"/>
      <c r="AB46" s="16"/>
      <c r="AC46" s="16"/>
      <c r="AE46" s="16"/>
      <c r="AU46" s="15" t="s">
        <v>859</v>
      </c>
      <c r="AV46" s="13">
        <v>3543.1095000000005</v>
      </c>
    </row>
    <row r="47" spans="19:48" x14ac:dyDescent="0.3">
      <c r="S47" s="15" t="s">
        <v>267</v>
      </c>
      <c r="T47" s="13">
        <v>545.37</v>
      </c>
      <c r="U47" s="16">
        <v>10</v>
      </c>
      <c r="V47" s="16"/>
      <c r="W47" s="16">
        <f t="shared" ca="1" si="0"/>
        <v>140</v>
      </c>
      <c r="X47" s="16" t="str">
        <f ca="1"/>
        <v>157-13-5295</v>
      </c>
      <c r="Y47" s="20">
        <f ca="1"/>
        <v>545.37</v>
      </c>
      <c r="Z47" s="16">
        <f ca="1"/>
        <v>10</v>
      </c>
      <c r="AA47" s="16"/>
      <c r="AB47" s="16"/>
      <c r="AC47" s="16"/>
      <c r="AE47" s="16"/>
      <c r="AU47" s="15" t="s">
        <v>860</v>
      </c>
      <c r="AV47" s="13">
        <v>6208.9650000000011</v>
      </c>
    </row>
    <row r="48" spans="19:48" x14ac:dyDescent="0.3">
      <c r="S48" s="15" t="s">
        <v>83</v>
      </c>
      <c r="T48" s="13">
        <v>234.0975</v>
      </c>
      <c r="U48" s="16">
        <v>5</v>
      </c>
      <c r="V48" s="16"/>
      <c r="W48" s="16">
        <f t="shared" ca="1" si="0"/>
        <v>396</v>
      </c>
      <c r="X48" s="16" t="str">
        <f ca="1"/>
        <v>162-48-8011</v>
      </c>
      <c r="Y48" s="20">
        <f ca="1"/>
        <v>234.0975</v>
      </c>
      <c r="Z48" s="16">
        <f ca="1"/>
        <v>5</v>
      </c>
      <c r="AA48" s="16"/>
      <c r="AB48" s="16"/>
      <c r="AC48" s="16"/>
      <c r="AE48" s="16"/>
      <c r="AU48" s="15" t="s">
        <v>861</v>
      </c>
      <c r="AV48" s="13">
        <v>4844.1224999999995</v>
      </c>
    </row>
    <row r="49" spans="19:48" x14ac:dyDescent="0.3">
      <c r="S49" s="15" t="s">
        <v>132</v>
      </c>
      <c r="T49" s="13">
        <v>51.145499999999998</v>
      </c>
      <c r="U49" s="16">
        <v>1</v>
      </c>
      <c r="V49" s="16"/>
      <c r="W49" s="16">
        <f t="shared" ca="1" si="0"/>
        <v>686</v>
      </c>
      <c r="X49" s="16" t="str">
        <f ca="1"/>
        <v>163-56-7055</v>
      </c>
      <c r="Y49" s="20">
        <f ca="1"/>
        <v>51.145499999999998</v>
      </c>
      <c r="Z49" s="16">
        <f ca="1"/>
        <v>1</v>
      </c>
      <c r="AA49" s="16"/>
      <c r="AB49" s="16"/>
      <c r="AC49" s="16"/>
      <c r="AE49" s="16"/>
      <c r="AU49" s="15" t="s">
        <v>862</v>
      </c>
      <c r="AV49" s="13">
        <v>3574.3680000000004</v>
      </c>
    </row>
    <row r="50" spans="19:48" x14ac:dyDescent="0.3">
      <c r="S50" s="15" t="s">
        <v>752</v>
      </c>
      <c r="T50" s="13">
        <v>80.367000000000004</v>
      </c>
      <c r="U50" s="16">
        <v>2</v>
      </c>
      <c r="V50" s="16"/>
      <c r="W50" s="16">
        <f t="shared" ca="1" si="0"/>
        <v>633</v>
      </c>
      <c r="X50" s="16" t="str">
        <f ca="1"/>
        <v>172-42-8274</v>
      </c>
      <c r="Y50" s="20">
        <f ca="1"/>
        <v>80.367000000000004</v>
      </c>
      <c r="Z50" s="16">
        <f ca="1"/>
        <v>2</v>
      </c>
      <c r="AA50" s="16"/>
      <c r="AB50" s="16"/>
      <c r="AC50" s="16"/>
      <c r="AE50" s="16"/>
      <c r="AU50" s="15" t="s">
        <v>863</v>
      </c>
      <c r="AV50" s="13">
        <v>2156.826</v>
      </c>
    </row>
    <row r="51" spans="19:48" x14ac:dyDescent="0.3">
      <c r="S51" s="15" t="s">
        <v>575</v>
      </c>
      <c r="T51" s="13">
        <v>84.756</v>
      </c>
      <c r="U51" s="16">
        <v>4</v>
      </c>
      <c r="V51" s="16"/>
      <c r="W51" s="16">
        <f t="shared" ca="1" si="0"/>
        <v>625</v>
      </c>
      <c r="X51" s="16" t="str">
        <f ca="1"/>
        <v>173-50-1108</v>
      </c>
      <c r="Y51" s="20">
        <f ca="1"/>
        <v>84.756</v>
      </c>
      <c r="Z51" s="16">
        <f ca="1"/>
        <v>4</v>
      </c>
      <c r="AA51" s="16"/>
      <c r="AB51" s="16"/>
      <c r="AC51" s="16"/>
      <c r="AE51" s="16"/>
      <c r="AU51" s="15" t="s">
        <v>864</v>
      </c>
      <c r="AV51" s="13">
        <v>2558.7240000000002</v>
      </c>
    </row>
    <row r="52" spans="19:48" x14ac:dyDescent="0.3">
      <c r="S52" s="15" t="s">
        <v>424</v>
      </c>
      <c r="T52" s="13">
        <v>398.47500000000002</v>
      </c>
      <c r="U52" s="16">
        <v>10</v>
      </c>
      <c r="V52" s="16"/>
      <c r="W52" s="16">
        <f t="shared" ca="1" si="0"/>
        <v>237</v>
      </c>
      <c r="X52" s="16" t="str">
        <f ca="1"/>
        <v>173-82-9529</v>
      </c>
      <c r="Y52" s="20">
        <f ca="1"/>
        <v>398.47500000000002</v>
      </c>
      <c r="Z52" s="16">
        <f ca="1"/>
        <v>10</v>
      </c>
      <c r="AA52" s="16"/>
      <c r="AB52" s="16"/>
      <c r="AC52" s="16"/>
      <c r="AE52" s="16"/>
      <c r="AU52" s="15" t="s">
        <v>865</v>
      </c>
      <c r="AV52" s="13">
        <v>5759.8170000000009</v>
      </c>
    </row>
    <row r="53" spans="19:48" x14ac:dyDescent="0.3">
      <c r="S53" s="15" t="s">
        <v>348</v>
      </c>
      <c r="T53" s="13">
        <v>208.67699999999999</v>
      </c>
      <c r="U53" s="16">
        <v>2</v>
      </c>
      <c r="V53" s="16"/>
      <c r="W53" s="16">
        <f t="shared" ca="1" si="0"/>
        <v>429</v>
      </c>
      <c r="X53" s="16" t="str">
        <f ca="1"/>
        <v>174-36-3675</v>
      </c>
      <c r="Y53" s="20">
        <f ca="1"/>
        <v>208.67699999999999</v>
      </c>
      <c r="Z53" s="16">
        <f ca="1"/>
        <v>2</v>
      </c>
      <c r="AA53" s="16"/>
      <c r="AB53" s="16"/>
      <c r="AC53" s="16"/>
      <c r="AE53" s="16"/>
      <c r="AU53" s="15" t="s">
        <v>866</v>
      </c>
      <c r="AV53" s="13">
        <v>3668.0699999999997</v>
      </c>
    </row>
    <row r="54" spans="19:48" x14ac:dyDescent="0.3">
      <c r="S54" s="15" t="s">
        <v>668</v>
      </c>
      <c r="T54" s="13">
        <v>732.27</v>
      </c>
      <c r="U54" s="16">
        <v>10</v>
      </c>
      <c r="V54" s="16"/>
      <c r="W54" s="16">
        <f t="shared" ca="1" si="0"/>
        <v>70</v>
      </c>
      <c r="X54" s="16" t="str">
        <f ca="1"/>
        <v>174-64-0215</v>
      </c>
      <c r="Y54" s="20">
        <f ca="1"/>
        <v>732.27</v>
      </c>
      <c r="Z54" s="16">
        <f ca="1"/>
        <v>10</v>
      </c>
      <c r="AA54" s="16"/>
      <c r="AB54" s="16"/>
      <c r="AC54" s="16"/>
      <c r="AE54" s="16"/>
      <c r="AU54" s="15" t="s">
        <v>867</v>
      </c>
      <c r="AV54" s="13">
        <v>2907.7754999999997</v>
      </c>
    </row>
    <row r="55" spans="19:48" x14ac:dyDescent="0.3">
      <c r="S55" s="15" t="s">
        <v>593</v>
      </c>
      <c r="T55" s="13">
        <v>203.93100000000001</v>
      </c>
      <c r="U55" s="16">
        <v>9</v>
      </c>
      <c r="V55" s="16"/>
      <c r="W55" s="16">
        <f t="shared" ca="1" si="0"/>
        <v>438</v>
      </c>
      <c r="X55" s="16" t="str">
        <f ca="1"/>
        <v>174-75-0888</v>
      </c>
      <c r="Y55" s="20">
        <f ca="1"/>
        <v>203.93100000000001</v>
      </c>
      <c r="Z55" s="16">
        <f ca="1"/>
        <v>9</v>
      </c>
      <c r="AA55" s="16"/>
      <c r="AB55" s="16"/>
      <c r="AC55" s="16"/>
      <c r="AE55" s="16"/>
      <c r="AU55" s="15" t="s">
        <v>868</v>
      </c>
      <c r="AV55" s="13">
        <v>2217.7365000000004</v>
      </c>
    </row>
    <row r="56" spans="19:48" x14ac:dyDescent="0.3">
      <c r="S56" s="15" t="s">
        <v>209</v>
      </c>
      <c r="T56" s="13">
        <v>186.22800000000001</v>
      </c>
      <c r="U56" s="16">
        <v>8</v>
      </c>
      <c r="V56" s="16"/>
      <c r="W56" s="16">
        <f t="shared" ca="1" si="0"/>
        <v>465</v>
      </c>
      <c r="X56" s="16" t="str">
        <f ca="1"/>
        <v>175-54-2529</v>
      </c>
      <c r="Y56" s="20">
        <f ca="1"/>
        <v>186.22800000000001</v>
      </c>
      <c r="Z56" s="16">
        <f ca="1"/>
        <v>8</v>
      </c>
      <c r="AA56" s="16"/>
      <c r="AB56" s="16"/>
      <c r="AC56" s="16"/>
      <c r="AE56" s="16"/>
      <c r="AU56" s="15" t="s">
        <v>869</v>
      </c>
      <c r="AV56" s="13">
        <v>3095.5259999999998</v>
      </c>
    </row>
    <row r="57" spans="19:48" x14ac:dyDescent="0.3">
      <c r="S57" s="15" t="s">
        <v>734</v>
      </c>
      <c r="T57" s="13">
        <v>103.131</v>
      </c>
      <c r="U57" s="16">
        <v>6</v>
      </c>
      <c r="V57" s="16"/>
      <c r="W57" s="16">
        <f t="shared" ca="1" si="0"/>
        <v>588</v>
      </c>
      <c r="X57" s="16" t="str">
        <f ca="1"/>
        <v>181-82-6255</v>
      </c>
      <c r="Y57" s="20">
        <f ca="1"/>
        <v>103.131</v>
      </c>
      <c r="Z57" s="16">
        <f ca="1"/>
        <v>6</v>
      </c>
      <c r="AA57" s="16"/>
      <c r="AB57" s="16"/>
      <c r="AC57" s="16"/>
      <c r="AE57" s="16"/>
      <c r="AU57" s="15" t="s">
        <v>870</v>
      </c>
      <c r="AV57" s="13">
        <v>2366.4689999999996</v>
      </c>
    </row>
    <row r="58" spans="19:48" x14ac:dyDescent="0.3">
      <c r="S58" s="15" t="s">
        <v>344</v>
      </c>
      <c r="T58" s="13">
        <v>145.59299999999999</v>
      </c>
      <c r="U58" s="16">
        <v>2</v>
      </c>
      <c r="V58" s="16"/>
      <c r="W58" s="16">
        <f t="shared" ca="1" si="0"/>
        <v>532</v>
      </c>
      <c r="X58" s="16" t="str">
        <f ca="1"/>
        <v>181-94-6432</v>
      </c>
      <c r="Y58" s="20">
        <f ca="1"/>
        <v>145.59299999999999</v>
      </c>
      <c r="Z58" s="16">
        <f ca="1"/>
        <v>2</v>
      </c>
      <c r="AA58" s="16"/>
      <c r="AB58" s="16"/>
      <c r="AC58" s="16"/>
      <c r="AE58" s="16"/>
      <c r="AU58" s="15" t="s">
        <v>871</v>
      </c>
      <c r="AV58" s="13">
        <v>4004.259</v>
      </c>
    </row>
    <row r="59" spans="19:48" x14ac:dyDescent="0.3">
      <c r="S59" s="15" t="s">
        <v>655</v>
      </c>
      <c r="T59" s="13">
        <v>113.568</v>
      </c>
      <c r="U59" s="16">
        <v>4</v>
      </c>
      <c r="V59" s="16"/>
      <c r="W59" s="16">
        <f t="shared" ca="1" si="0"/>
        <v>578</v>
      </c>
      <c r="X59" s="16" t="str">
        <f ca="1"/>
        <v>182-52-7000</v>
      </c>
      <c r="Y59" s="20">
        <f ca="1"/>
        <v>113.568</v>
      </c>
      <c r="Z59" s="16">
        <f ca="1"/>
        <v>4</v>
      </c>
      <c r="AA59" s="16"/>
      <c r="AB59" s="16"/>
      <c r="AC59" s="16"/>
      <c r="AE59" s="16"/>
      <c r="AU59" s="15" t="s">
        <v>872</v>
      </c>
      <c r="AV59" s="13">
        <v>5575.353000000001</v>
      </c>
    </row>
    <row r="60" spans="19:48" x14ac:dyDescent="0.3">
      <c r="S60" s="15" t="s">
        <v>412</v>
      </c>
      <c r="T60" s="13">
        <v>99.33</v>
      </c>
      <c r="U60" s="16">
        <v>4</v>
      </c>
      <c r="V60" s="16"/>
      <c r="W60" s="16">
        <f t="shared" ca="1" si="0"/>
        <v>597</v>
      </c>
      <c r="X60" s="16" t="str">
        <f ca="1"/>
        <v>182-69-8360</v>
      </c>
      <c r="Y60" s="20">
        <f ca="1"/>
        <v>99.33</v>
      </c>
      <c r="Z60" s="16">
        <f ca="1"/>
        <v>4</v>
      </c>
      <c r="AA60" s="16"/>
      <c r="AB60" s="16"/>
      <c r="AC60" s="16"/>
      <c r="AE60" s="16"/>
      <c r="AU60" s="15" t="s">
        <v>873</v>
      </c>
      <c r="AV60" s="13">
        <v>2803.1849999999999</v>
      </c>
    </row>
    <row r="61" spans="19:48" x14ac:dyDescent="0.3">
      <c r="S61" s="15" t="s">
        <v>66</v>
      </c>
      <c r="T61" s="13">
        <v>417.56400000000002</v>
      </c>
      <c r="U61" s="16">
        <v>4</v>
      </c>
      <c r="V61" s="16"/>
      <c r="W61" s="16">
        <f t="shared" ca="1" si="0"/>
        <v>222</v>
      </c>
      <c r="X61" s="16" t="str">
        <f ca="1"/>
        <v>183-56-6882</v>
      </c>
      <c r="Y61" s="20">
        <f ca="1"/>
        <v>417.56400000000002</v>
      </c>
      <c r="Z61" s="16">
        <f ca="1"/>
        <v>4</v>
      </c>
      <c r="AA61" s="16"/>
      <c r="AB61" s="16"/>
      <c r="AC61" s="16"/>
      <c r="AE61" s="16"/>
      <c r="AU61" s="15" t="s">
        <v>874</v>
      </c>
      <c r="AV61" s="13">
        <v>3714.3645000000001</v>
      </c>
    </row>
    <row r="62" spans="19:48" x14ac:dyDescent="0.3">
      <c r="S62" s="15" t="s">
        <v>450</v>
      </c>
      <c r="T62" s="13">
        <v>85.585499999999996</v>
      </c>
      <c r="U62" s="16">
        <v>1</v>
      </c>
      <c r="V62" s="16"/>
      <c r="W62" s="16">
        <f t="shared" ca="1" si="0"/>
        <v>623</v>
      </c>
      <c r="X62" s="16" t="str">
        <f ca="1"/>
        <v>186-09-3669</v>
      </c>
      <c r="Y62" s="20">
        <f ca="1"/>
        <v>85.585499999999996</v>
      </c>
      <c r="Z62" s="16">
        <f ca="1"/>
        <v>1</v>
      </c>
      <c r="AA62" s="16"/>
      <c r="AB62" s="16"/>
      <c r="AC62" s="16"/>
      <c r="AE62" s="16"/>
      <c r="AU62" s="15" t="s">
        <v>875</v>
      </c>
      <c r="AV62" s="13">
        <v>1890.0104999999999</v>
      </c>
    </row>
    <row r="63" spans="19:48" x14ac:dyDescent="0.3">
      <c r="S63" s="15" t="s">
        <v>487</v>
      </c>
      <c r="T63" s="13">
        <v>87.233999999999995</v>
      </c>
      <c r="U63" s="16">
        <v>4</v>
      </c>
      <c r="V63" s="16"/>
      <c r="W63" s="16">
        <f t="shared" ca="1" si="0"/>
        <v>620</v>
      </c>
      <c r="X63" s="16" t="str">
        <f ca="1"/>
        <v>187-83-5490</v>
      </c>
      <c r="Y63" s="20">
        <f ca="1"/>
        <v>87.233999999999995</v>
      </c>
      <c r="Z63" s="16">
        <f ca="1"/>
        <v>4</v>
      </c>
      <c r="AA63" s="16"/>
      <c r="AB63" s="16"/>
      <c r="AC63" s="16"/>
      <c r="AE63" s="16"/>
      <c r="AU63" s="15" t="s">
        <v>876</v>
      </c>
      <c r="AV63" s="13">
        <v>3270.3089999999997</v>
      </c>
    </row>
    <row r="64" spans="19:48" x14ac:dyDescent="0.3">
      <c r="S64" s="15" t="s">
        <v>159</v>
      </c>
      <c r="T64" s="13">
        <v>299.8485</v>
      </c>
      <c r="U64" s="16">
        <v>9</v>
      </c>
      <c r="V64" s="16"/>
      <c r="W64" s="16">
        <f t="shared" ca="1" si="0"/>
        <v>321</v>
      </c>
      <c r="X64" s="16" t="str">
        <f ca="1"/>
        <v>189-08-9157</v>
      </c>
      <c r="Y64" s="20">
        <f ca="1"/>
        <v>299.8485</v>
      </c>
      <c r="Z64" s="16">
        <f ca="1"/>
        <v>9</v>
      </c>
      <c r="AA64" s="16"/>
      <c r="AB64" s="16"/>
      <c r="AC64" s="16"/>
      <c r="AE64" s="16"/>
      <c r="AU64" s="15" t="s">
        <v>877</v>
      </c>
      <c r="AV64" s="13">
        <v>1052.4780000000001</v>
      </c>
    </row>
    <row r="65" spans="19:48" x14ac:dyDescent="0.3">
      <c r="S65" s="15" t="s">
        <v>59</v>
      </c>
      <c r="T65" s="13">
        <v>184.107</v>
      </c>
      <c r="U65" s="16">
        <v>2</v>
      </c>
      <c r="V65" s="16"/>
      <c r="W65" s="16">
        <f t="shared" ca="1" si="0"/>
        <v>468</v>
      </c>
      <c r="X65" s="16" t="str">
        <f ca="1"/>
        <v>189-17-4241</v>
      </c>
      <c r="Y65" s="20">
        <f ca="1"/>
        <v>184.107</v>
      </c>
      <c r="Z65" s="16">
        <f ca="1"/>
        <v>2</v>
      </c>
      <c r="AA65" s="16"/>
      <c r="AB65" s="16"/>
      <c r="AC65" s="16"/>
      <c r="AE65" s="16"/>
      <c r="AU65" s="15" t="s">
        <v>878</v>
      </c>
      <c r="AV65" s="13">
        <v>1817.9805000000001</v>
      </c>
    </row>
    <row r="66" spans="19:48" x14ac:dyDescent="0.3">
      <c r="S66" s="15" t="s">
        <v>763</v>
      </c>
      <c r="T66" s="13">
        <v>708.31949999999995</v>
      </c>
      <c r="U66" s="16">
        <v>7</v>
      </c>
      <c r="V66" s="16"/>
      <c r="W66" s="16">
        <f t="shared" ca="1" si="0"/>
        <v>80</v>
      </c>
      <c r="X66" s="16" t="str">
        <f ca="1"/>
        <v>189-40-5216</v>
      </c>
      <c r="Y66" s="20">
        <f ca="1"/>
        <v>708.31949999999995</v>
      </c>
      <c r="Z66" s="16">
        <f ca="1"/>
        <v>7</v>
      </c>
      <c r="AA66" s="16"/>
      <c r="AB66" s="16"/>
      <c r="AC66" s="16"/>
      <c r="AE66" s="16"/>
      <c r="AU66" s="15" t="s">
        <v>879</v>
      </c>
      <c r="AV66" s="13">
        <v>2058.42</v>
      </c>
    </row>
    <row r="67" spans="19:48" x14ac:dyDescent="0.3">
      <c r="S67" s="15" t="s">
        <v>546</v>
      </c>
      <c r="T67" s="13">
        <v>731.6925</v>
      </c>
      <c r="U67" s="16">
        <v>7</v>
      </c>
      <c r="V67" s="16"/>
      <c r="W67" s="16">
        <f t="shared" ref="W67:W130" ca="1" si="7">RANK(Y:Y,Y:Y)</f>
        <v>71</v>
      </c>
      <c r="X67" s="16" t="str">
        <f ca="1"/>
        <v>189-52-0236</v>
      </c>
      <c r="Y67" s="20">
        <f ca="1"/>
        <v>731.6925</v>
      </c>
      <c r="Z67" s="16">
        <f ca="1"/>
        <v>7</v>
      </c>
      <c r="AA67" s="16"/>
      <c r="AB67" s="16"/>
      <c r="AC67" s="16"/>
      <c r="AE67" s="16"/>
      <c r="AU67" s="15" t="s">
        <v>880</v>
      </c>
      <c r="AV67" s="13">
        <v>702.99599999999998</v>
      </c>
    </row>
    <row r="68" spans="19:48" x14ac:dyDescent="0.3">
      <c r="S68" s="15" t="s">
        <v>133</v>
      </c>
      <c r="T68" s="13">
        <v>742.29750000000001</v>
      </c>
      <c r="U68" s="16">
        <v>9</v>
      </c>
      <c r="V68" s="16"/>
      <c r="W68" s="16">
        <f t="shared" ca="1" si="7"/>
        <v>66</v>
      </c>
      <c r="X68" s="16" t="str">
        <f ca="1"/>
        <v>189-98-2939</v>
      </c>
      <c r="Y68" s="20">
        <f ca="1"/>
        <v>742.29750000000001</v>
      </c>
      <c r="Z68" s="16">
        <f ca="1"/>
        <v>9</v>
      </c>
      <c r="AA68" s="16"/>
      <c r="AB68" s="16"/>
      <c r="AC68" s="16"/>
      <c r="AE68" s="16"/>
      <c r="AU68" s="15" t="s">
        <v>881</v>
      </c>
      <c r="AV68" s="13">
        <v>2260.8389999999999</v>
      </c>
    </row>
    <row r="69" spans="19:48" x14ac:dyDescent="0.3">
      <c r="S69" s="15" t="s">
        <v>699</v>
      </c>
      <c r="T69" s="13">
        <v>247.59</v>
      </c>
      <c r="U69" s="16">
        <v>5</v>
      </c>
      <c r="V69" s="16"/>
      <c r="W69" s="16">
        <f t="shared" ca="1" si="7"/>
        <v>383</v>
      </c>
      <c r="X69" s="16" t="str">
        <f ca="1"/>
        <v>190-59-3964</v>
      </c>
      <c r="Y69" s="20">
        <f ca="1"/>
        <v>247.59</v>
      </c>
      <c r="Z69" s="16">
        <f ca="1"/>
        <v>5</v>
      </c>
      <c r="AA69" s="16"/>
      <c r="AB69" s="16"/>
      <c r="AC69" s="16"/>
      <c r="AE69" s="16"/>
      <c r="AU69" s="15" t="s">
        <v>882</v>
      </c>
      <c r="AV69" s="13">
        <v>1605.807</v>
      </c>
    </row>
    <row r="70" spans="19:48" x14ac:dyDescent="0.3">
      <c r="S70" s="15" t="s">
        <v>162</v>
      </c>
      <c r="T70" s="13">
        <v>291.20699999999999</v>
      </c>
      <c r="U70" s="16">
        <v>7</v>
      </c>
      <c r="V70" s="16"/>
      <c r="W70" s="16">
        <f t="shared" ca="1" si="7"/>
        <v>332</v>
      </c>
      <c r="X70" s="16" t="str">
        <f ca="1"/>
        <v>191-10-6171</v>
      </c>
      <c r="Y70" s="20">
        <f ca="1"/>
        <v>291.20699999999999</v>
      </c>
      <c r="Z70" s="16">
        <f ca="1"/>
        <v>7</v>
      </c>
      <c r="AA70" s="16"/>
      <c r="AB70" s="16"/>
      <c r="AC70" s="16"/>
      <c r="AE70" s="16"/>
      <c r="AU70" s="15" t="s">
        <v>883</v>
      </c>
      <c r="AV70" s="13">
        <v>987.59850000000006</v>
      </c>
    </row>
    <row r="71" spans="19:48" x14ac:dyDescent="0.3">
      <c r="S71" s="15" t="s">
        <v>476</v>
      </c>
      <c r="T71" s="13">
        <v>13.419</v>
      </c>
      <c r="U71" s="16">
        <v>1</v>
      </c>
      <c r="V71" s="16"/>
      <c r="W71" s="16">
        <f t="shared" ca="1" si="7"/>
        <v>734</v>
      </c>
      <c r="X71" s="16" t="str">
        <f ca="1"/>
        <v>192-98-7397</v>
      </c>
      <c r="Y71" s="20">
        <f ca="1"/>
        <v>13.419</v>
      </c>
      <c r="Z71" s="16">
        <f ca="1"/>
        <v>1</v>
      </c>
      <c r="AA71" s="16"/>
      <c r="AB71" s="16"/>
      <c r="AC71" s="16"/>
      <c r="AE71" s="16"/>
      <c r="AU71" s="15" t="s">
        <v>884</v>
      </c>
      <c r="AV71" s="13">
        <v>606.50099999999998</v>
      </c>
    </row>
    <row r="72" spans="19:48" x14ac:dyDescent="0.3">
      <c r="S72" s="15" t="s">
        <v>654</v>
      </c>
      <c r="T72" s="13">
        <v>539.34299999999996</v>
      </c>
      <c r="U72" s="16">
        <v>7</v>
      </c>
      <c r="V72" s="16"/>
      <c r="W72" s="16">
        <f t="shared" ca="1" si="7"/>
        <v>143</v>
      </c>
      <c r="X72" s="16" t="str">
        <f ca="1"/>
        <v>196-01-2849</v>
      </c>
      <c r="Y72" s="20">
        <f ca="1"/>
        <v>539.34299999999996</v>
      </c>
      <c r="Z72" s="16">
        <f ca="1"/>
        <v>7</v>
      </c>
      <c r="AA72" s="16"/>
      <c r="AB72" s="16"/>
      <c r="AC72" s="16"/>
      <c r="AE72" s="16"/>
      <c r="AU72" s="15" t="s">
        <v>885</v>
      </c>
      <c r="AV72" s="13">
        <v>3563.0909999999999</v>
      </c>
    </row>
    <row r="73" spans="19:48" x14ac:dyDescent="0.3">
      <c r="S73" s="15" t="s">
        <v>674</v>
      </c>
      <c r="T73" s="13">
        <v>769.10400000000004</v>
      </c>
      <c r="U73" s="16">
        <v>8</v>
      </c>
      <c r="V73" s="16"/>
      <c r="W73" s="16">
        <f t="shared" ca="1" si="7"/>
        <v>54</v>
      </c>
      <c r="X73" s="16" t="str">
        <f ca="1"/>
        <v>197-77-7132</v>
      </c>
      <c r="Y73" s="20">
        <f ca="1"/>
        <v>769.10400000000004</v>
      </c>
      <c r="Z73" s="16">
        <f ca="1"/>
        <v>8</v>
      </c>
      <c r="AA73" s="16"/>
      <c r="AB73" s="16"/>
      <c r="AC73" s="16"/>
      <c r="AE73" s="16"/>
      <c r="AU73" s="15" t="s">
        <v>886</v>
      </c>
      <c r="AV73" s="13">
        <v>118.902</v>
      </c>
    </row>
    <row r="74" spans="19:48" x14ac:dyDescent="0.3">
      <c r="S74" s="15" t="s">
        <v>589</v>
      </c>
      <c r="T74" s="13">
        <v>151.28399999999999</v>
      </c>
      <c r="U74" s="16">
        <v>2</v>
      </c>
      <c r="V74" s="16"/>
      <c r="W74" s="16">
        <f t="shared" ca="1" si="7"/>
        <v>518</v>
      </c>
      <c r="X74" s="16" t="str">
        <f ca="1"/>
        <v>198-66-9832</v>
      </c>
      <c r="Y74" s="20">
        <f ca="1"/>
        <v>151.28399999999999</v>
      </c>
      <c r="Z74" s="16">
        <f ca="1"/>
        <v>2</v>
      </c>
      <c r="AA74" s="16"/>
      <c r="AB74" s="16"/>
      <c r="AC74" s="16"/>
      <c r="AE74" s="16"/>
      <c r="AU74" s="15" t="s">
        <v>887</v>
      </c>
      <c r="AV74" s="13">
        <v>3083.0729999999999</v>
      </c>
    </row>
    <row r="75" spans="19:48" x14ac:dyDescent="0.3">
      <c r="S75" s="15" t="s">
        <v>458</v>
      </c>
      <c r="T75" s="13">
        <v>383.7645</v>
      </c>
      <c r="U75" s="16">
        <v>9</v>
      </c>
      <c r="V75" s="16"/>
      <c r="W75" s="16">
        <f t="shared" ca="1" si="7"/>
        <v>250</v>
      </c>
      <c r="X75" s="16" t="str">
        <f ca="1"/>
        <v>198-84-7132</v>
      </c>
      <c r="Y75" s="20">
        <f ca="1"/>
        <v>383.7645</v>
      </c>
      <c r="Z75" s="16">
        <f ca="1"/>
        <v>9</v>
      </c>
      <c r="AA75" s="16"/>
      <c r="AB75" s="16"/>
      <c r="AC75" s="16"/>
      <c r="AE75" s="16"/>
      <c r="AU75" s="15" t="s">
        <v>888</v>
      </c>
      <c r="AV75" s="13">
        <v>598.25849999999991</v>
      </c>
    </row>
    <row r="76" spans="19:48" x14ac:dyDescent="0.3">
      <c r="S76" s="15" t="s">
        <v>95</v>
      </c>
      <c r="T76" s="13">
        <v>166.005</v>
      </c>
      <c r="U76" s="16">
        <v>10</v>
      </c>
      <c r="V76" s="16"/>
      <c r="W76" s="16">
        <f t="shared" ca="1" si="7"/>
        <v>495</v>
      </c>
      <c r="X76" s="16" t="str">
        <f ca="1"/>
        <v>199-75-8169</v>
      </c>
      <c r="Y76" s="20">
        <f ca="1"/>
        <v>166.005</v>
      </c>
      <c r="Z76" s="16">
        <f ca="1"/>
        <v>10</v>
      </c>
      <c r="AA76" s="16"/>
      <c r="AB76" s="16"/>
      <c r="AC76" s="16"/>
      <c r="AE76" s="16"/>
      <c r="AU76" s="15" t="s">
        <v>889</v>
      </c>
      <c r="AV76" s="13">
        <v>172.7775</v>
      </c>
    </row>
    <row r="77" spans="19:48" x14ac:dyDescent="0.3">
      <c r="S77" s="15" t="s">
        <v>746</v>
      </c>
      <c r="T77" s="13">
        <v>415.233</v>
      </c>
      <c r="U77" s="16">
        <v>6</v>
      </c>
      <c r="V77" s="16"/>
      <c r="W77" s="16">
        <f t="shared" ca="1" si="7"/>
        <v>224</v>
      </c>
      <c r="X77" s="16" t="str">
        <f ca="1"/>
        <v>200-40-6154</v>
      </c>
      <c r="Y77" s="20">
        <f ca="1"/>
        <v>415.233</v>
      </c>
      <c r="Z77" s="16">
        <f ca="1"/>
        <v>6</v>
      </c>
      <c r="AA77" s="16"/>
      <c r="AB77" s="16"/>
      <c r="AC77" s="16"/>
      <c r="AE77" s="16"/>
      <c r="AU77" s="15" t="s">
        <v>890</v>
      </c>
      <c r="AV77" s="13">
        <v>1555.7954999999999</v>
      </c>
    </row>
    <row r="78" spans="19:48" x14ac:dyDescent="0.3">
      <c r="S78" s="15" t="s">
        <v>403</v>
      </c>
      <c r="T78" s="13">
        <v>193.011</v>
      </c>
      <c r="U78" s="16">
        <v>7</v>
      </c>
      <c r="V78" s="16"/>
      <c r="W78" s="16">
        <f t="shared" ca="1" si="7"/>
        <v>455</v>
      </c>
      <c r="X78" s="16" t="str">
        <f ca="1"/>
        <v>201-86-2184</v>
      </c>
      <c r="Y78" s="20">
        <f ca="1"/>
        <v>193.011</v>
      </c>
      <c r="Z78" s="16">
        <f ca="1"/>
        <v>7</v>
      </c>
      <c r="AA78" s="16"/>
      <c r="AB78" s="16"/>
      <c r="AC78" s="16"/>
      <c r="AE78" s="16"/>
      <c r="AU78" s="15" t="s">
        <v>891</v>
      </c>
      <c r="AV78" s="13">
        <v>1861.2719999999999</v>
      </c>
    </row>
    <row r="79" spans="19:48" x14ac:dyDescent="0.3">
      <c r="S79" s="15" t="s">
        <v>612</v>
      </c>
      <c r="T79" s="13">
        <v>145.971</v>
      </c>
      <c r="U79" s="16">
        <v>2</v>
      </c>
      <c r="V79" s="16"/>
      <c r="W79" s="16">
        <f t="shared" ca="1" si="7"/>
        <v>530</v>
      </c>
      <c r="X79" s="16" t="str">
        <f ca="1"/>
        <v>207-73-1363</v>
      </c>
      <c r="Y79" s="20">
        <f ca="1"/>
        <v>145.971</v>
      </c>
      <c r="Z79" s="16">
        <f ca="1"/>
        <v>2</v>
      </c>
      <c r="AA79" s="16"/>
      <c r="AB79" s="16"/>
      <c r="AC79" s="16"/>
      <c r="AE79" s="16"/>
      <c r="AU79" s="15" t="s">
        <v>892</v>
      </c>
      <c r="AV79" s="13">
        <v>2263.8525</v>
      </c>
    </row>
    <row r="80" spans="19:48" x14ac:dyDescent="0.3">
      <c r="S80" s="15" t="s">
        <v>544</v>
      </c>
      <c r="T80" s="13">
        <v>225.2775</v>
      </c>
      <c r="U80" s="16">
        <v>5</v>
      </c>
      <c r="V80" s="16"/>
      <c r="W80" s="16">
        <f t="shared" ca="1" si="7"/>
        <v>404</v>
      </c>
      <c r="X80" s="16" t="str">
        <f ca="1"/>
        <v>209-61-0206</v>
      </c>
      <c r="Y80" s="20">
        <f ca="1"/>
        <v>225.2775</v>
      </c>
      <c r="Z80" s="16">
        <f ca="1"/>
        <v>5</v>
      </c>
      <c r="AA80" s="16"/>
      <c r="AB80" s="16"/>
      <c r="AC80" s="16"/>
      <c r="AE80" s="16"/>
      <c r="AU80" s="15" t="s">
        <v>893</v>
      </c>
      <c r="AV80" s="13">
        <v>1146.0854999999999</v>
      </c>
    </row>
    <row r="81" spans="19:48" x14ac:dyDescent="0.3">
      <c r="S81" s="15" t="s">
        <v>585</v>
      </c>
      <c r="T81" s="13">
        <v>550.36800000000005</v>
      </c>
      <c r="U81" s="16">
        <v>9</v>
      </c>
      <c r="V81" s="16"/>
      <c r="W81" s="16">
        <f t="shared" ca="1" si="7"/>
        <v>135</v>
      </c>
      <c r="X81" s="16" t="str">
        <f ca="1"/>
        <v>210-57-1719</v>
      </c>
      <c r="Y81" s="20">
        <f ca="1"/>
        <v>550.36800000000005</v>
      </c>
      <c r="Z81" s="16">
        <f ca="1"/>
        <v>9</v>
      </c>
      <c r="AA81" s="16"/>
      <c r="AB81" s="16"/>
      <c r="AC81" s="16"/>
      <c r="AE81" s="16"/>
      <c r="AU81" s="15" t="s">
        <v>894</v>
      </c>
      <c r="AV81" s="13">
        <v>1204.9589999999998</v>
      </c>
    </row>
    <row r="82" spans="19:48" x14ac:dyDescent="0.3">
      <c r="S82" s="15" t="s">
        <v>143</v>
      </c>
      <c r="T82" s="13">
        <v>309.36149999999998</v>
      </c>
      <c r="U82" s="16">
        <v>3</v>
      </c>
      <c r="V82" s="16"/>
      <c r="W82" s="16">
        <f t="shared" ca="1" si="7"/>
        <v>316</v>
      </c>
      <c r="X82" s="16" t="str">
        <f ca="1"/>
        <v>210-67-5886</v>
      </c>
      <c r="Y82" s="20">
        <f ca="1"/>
        <v>309.36149999999998</v>
      </c>
      <c r="Z82" s="16">
        <f ca="1"/>
        <v>3</v>
      </c>
      <c r="AA82" s="16"/>
      <c r="AB82" s="16"/>
      <c r="AC82" s="16"/>
      <c r="AE82" s="16"/>
      <c r="AU82" s="15" t="s">
        <v>895</v>
      </c>
      <c r="AV82" s="13">
        <v>1347.2760000000003</v>
      </c>
    </row>
    <row r="83" spans="19:48" x14ac:dyDescent="0.3">
      <c r="S83" s="15" t="s">
        <v>328</v>
      </c>
      <c r="T83" s="13">
        <v>272.58</v>
      </c>
      <c r="U83" s="16">
        <v>5</v>
      </c>
      <c r="V83" s="16"/>
      <c r="W83" s="16">
        <f t="shared" ca="1" si="7"/>
        <v>354</v>
      </c>
      <c r="X83" s="16" t="str">
        <f ca="1"/>
        <v>211-05-0490</v>
      </c>
      <c r="Y83" s="20">
        <f ca="1"/>
        <v>272.58</v>
      </c>
      <c r="Z83" s="16">
        <f ca="1"/>
        <v>5</v>
      </c>
      <c r="AA83" s="16"/>
      <c r="AB83" s="16"/>
      <c r="AC83" s="16"/>
      <c r="AE83" s="16"/>
      <c r="AU83" s="15" t="s">
        <v>896</v>
      </c>
      <c r="AV83" s="13">
        <v>1183.8855000000001</v>
      </c>
    </row>
    <row r="84" spans="19:48" x14ac:dyDescent="0.3">
      <c r="S84" s="15" t="s">
        <v>269</v>
      </c>
      <c r="T84" s="13">
        <v>91.402500000000003</v>
      </c>
      <c r="U84" s="16">
        <v>5</v>
      </c>
      <c r="V84" s="16"/>
      <c r="W84" s="16">
        <f t="shared" ca="1" si="7"/>
        <v>615</v>
      </c>
      <c r="X84" s="16" t="str">
        <f ca="1"/>
        <v>211-30-9270</v>
      </c>
      <c r="Y84" s="20">
        <f ca="1"/>
        <v>91.402500000000003</v>
      </c>
      <c r="Z84" s="16">
        <f ca="1"/>
        <v>5</v>
      </c>
      <c r="AA84" s="16"/>
      <c r="AB84" s="16"/>
      <c r="AC84" s="16"/>
      <c r="AE84" s="16"/>
      <c r="AU84" s="15" t="s">
        <v>897</v>
      </c>
      <c r="AV84" s="13">
        <v>1915.9665</v>
      </c>
    </row>
    <row r="85" spans="19:48" x14ac:dyDescent="0.3">
      <c r="S85" s="15" t="s">
        <v>135</v>
      </c>
      <c r="T85" s="13">
        <v>367.03800000000001</v>
      </c>
      <c r="U85" s="16">
        <v>6</v>
      </c>
      <c r="V85" s="16"/>
      <c r="W85" s="16">
        <f t="shared" ca="1" si="7"/>
        <v>262</v>
      </c>
      <c r="X85" s="16" t="str">
        <f ca="1"/>
        <v>212-62-1842</v>
      </c>
      <c r="Y85" s="20">
        <f ca="1"/>
        <v>367.03800000000001</v>
      </c>
      <c r="Z85" s="16">
        <f ca="1"/>
        <v>6</v>
      </c>
      <c r="AA85" s="16"/>
      <c r="AB85" s="16"/>
      <c r="AC85" s="16"/>
      <c r="AE85" s="16"/>
      <c r="AU85" s="15" t="s">
        <v>898</v>
      </c>
      <c r="AV85" s="13">
        <v>578.68650000000002</v>
      </c>
    </row>
    <row r="86" spans="19:48" x14ac:dyDescent="0.3">
      <c r="S86" s="15" t="s">
        <v>582</v>
      </c>
      <c r="T86" s="13">
        <v>416.178</v>
      </c>
      <c r="U86" s="16">
        <v>6</v>
      </c>
      <c r="V86" s="16"/>
      <c r="W86" s="16">
        <f t="shared" ca="1" si="7"/>
        <v>223</v>
      </c>
      <c r="X86" s="16" t="str">
        <f ca="1"/>
        <v>213-32-1216</v>
      </c>
      <c r="Y86" s="20">
        <f ca="1"/>
        <v>416.178</v>
      </c>
      <c r="Z86" s="16">
        <f ca="1"/>
        <v>6</v>
      </c>
      <c r="AA86" s="16"/>
      <c r="AB86" s="16"/>
      <c r="AC86" s="16"/>
      <c r="AE86" s="16"/>
      <c r="AU86" s="15" t="s">
        <v>899</v>
      </c>
      <c r="AV86" s="13">
        <v>3187.3065000000006</v>
      </c>
    </row>
    <row r="87" spans="19:48" x14ac:dyDescent="0.3">
      <c r="S87" s="15" t="s">
        <v>257</v>
      </c>
      <c r="T87" s="13">
        <v>90.825000000000003</v>
      </c>
      <c r="U87" s="16">
        <v>2</v>
      </c>
      <c r="V87" s="16"/>
      <c r="W87" s="16">
        <f t="shared" ca="1" si="7"/>
        <v>618</v>
      </c>
      <c r="X87" s="16" t="str">
        <f ca="1"/>
        <v>213-72-6612</v>
      </c>
      <c r="Y87" s="20">
        <f ca="1"/>
        <v>90.825000000000003</v>
      </c>
      <c r="Z87" s="16">
        <f ca="1"/>
        <v>2</v>
      </c>
      <c r="AA87" s="16"/>
      <c r="AB87" s="16"/>
      <c r="AC87" s="16"/>
      <c r="AE87" s="16"/>
      <c r="AU87" s="15" t="s">
        <v>900</v>
      </c>
      <c r="AV87" s="13">
        <v>1161.3944999999999</v>
      </c>
    </row>
    <row r="88" spans="19:48" x14ac:dyDescent="0.3">
      <c r="S88" s="15" t="s">
        <v>186</v>
      </c>
      <c r="T88" s="13">
        <v>103.824</v>
      </c>
      <c r="U88" s="16">
        <v>6</v>
      </c>
      <c r="V88" s="16"/>
      <c r="W88" s="16">
        <f t="shared" ca="1" si="7"/>
        <v>585</v>
      </c>
      <c r="X88" s="16" t="str">
        <f ca="1"/>
        <v>214-17-6927</v>
      </c>
      <c r="Y88" s="20">
        <f ca="1"/>
        <v>103.824</v>
      </c>
      <c r="Z88" s="16">
        <f ca="1"/>
        <v>6</v>
      </c>
      <c r="AA88" s="16"/>
      <c r="AB88" s="16"/>
      <c r="AC88" s="16"/>
      <c r="AE88" s="16"/>
      <c r="AU88" s="15" t="s">
        <v>901</v>
      </c>
      <c r="AV88" s="13">
        <v>703.90949999999998</v>
      </c>
    </row>
    <row r="89" spans="19:48" x14ac:dyDescent="0.3">
      <c r="S89" s="15" t="s">
        <v>754</v>
      </c>
      <c r="T89" s="13">
        <v>181.07249999999999</v>
      </c>
      <c r="U89" s="16">
        <v>5</v>
      </c>
      <c r="V89" s="16"/>
      <c r="W89" s="16">
        <f t="shared" ca="1" si="7"/>
        <v>473</v>
      </c>
      <c r="X89" s="16" t="str">
        <f ca="1"/>
        <v>214-30-2776</v>
      </c>
      <c r="Y89" s="20">
        <f ca="1"/>
        <v>181.07249999999999</v>
      </c>
      <c r="Z89" s="16">
        <f ca="1"/>
        <v>5</v>
      </c>
      <c r="AA89" s="16"/>
      <c r="AB89" s="16"/>
      <c r="AC89" s="16"/>
      <c r="AE89" s="16"/>
      <c r="AU89" s="15" t="s">
        <v>815</v>
      </c>
      <c r="AV89" s="13">
        <v>240635.13600000006</v>
      </c>
    </row>
    <row r="90" spans="19:48" x14ac:dyDescent="0.3">
      <c r="S90" s="15" t="s">
        <v>276</v>
      </c>
      <c r="T90" s="13">
        <v>263.13</v>
      </c>
      <c r="U90" s="16">
        <v>4</v>
      </c>
      <c r="V90" s="16"/>
      <c r="W90" s="16">
        <f t="shared" ca="1" si="7"/>
        <v>366</v>
      </c>
      <c r="X90" s="16" t="str">
        <f ca="1"/>
        <v>217-58-1179</v>
      </c>
      <c r="Y90" s="20">
        <f ca="1"/>
        <v>263.13</v>
      </c>
      <c r="Z90" s="16">
        <f ca="1"/>
        <v>4</v>
      </c>
      <c r="AA90" s="16"/>
      <c r="AB90" s="16"/>
      <c r="AC90" s="16"/>
      <c r="AE90" s="16"/>
    </row>
    <row r="91" spans="19:48" x14ac:dyDescent="0.3">
      <c r="S91" s="15" t="s">
        <v>592</v>
      </c>
      <c r="T91" s="13">
        <v>228.12299999999999</v>
      </c>
      <c r="U91" s="16">
        <v>3</v>
      </c>
      <c r="V91" s="16"/>
      <c r="W91" s="16">
        <f t="shared" ca="1" si="7"/>
        <v>402</v>
      </c>
      <c r="X91" s="16" t="str">
        <f ca="1"/>
        <v>218-59-9410</v>
      </c>
      <c r="Y91" s="20">
        <f ca="1"/>
        <v>228.12299999999999</v>
      </c>
      <c r="Z91" s="16">
        <f ca="1"/>
        <v>3</v>
      </c>
      <c r="AA91" s="16"/>
      <c r="AB91" s="16"/>
      <c r="AC91" s="16"/>
      <c r="AE91" s="16"/>
    </row>
    <row r="92" spans="19:48" x14ac:dyDescent="0.3">
      <c r="S92" s="15" t="s">
        <v>154</v>
      </c>
      <c r="T92" s="13">
        <v>944.62199999999996</v>
      </c>
      <c r="U92" s="16">
        <v>9</v>
      </c>
      <c r="V92" s="16"/>
      <c r="W92" s="16">
        <f t="shared" ca="1" si="7"/>
        <v>11</v>
      </c>
      <c r="X92" s="16" t="str">
        <f ca="1"/>
        <v>219-22-9386</v>
      </c>
      <c r="Y92" s="20">
        <f ca="1"/>
        <v>944.62199999999996</v>
      </c>
      <c r="Z92" s="16">
        <f ca="1"/>
        <v>9</v>
      </c>
      <c r="AA92" s="16"/>
      <c r="AB92" s="16"/>
      <c r="AC92" s="16"/>
      <c r="AE92" s="16"/>
    </row>
    <row r="93" spans="19:48" x14ac:dyDescent="0.3">
      <c r="S93" s="15" t="s">
        <v>551</v>
      </c>
      <c r="T93" s="13">
        <v>72.933000000000007</v>
      </c>
      <c r="U93" s="16">
        <v>2</v>
      </c>
      <c r="V93" s="16"/>
      <c r="W93" s="16">
        <f t="shared" ca="1" si="7"/>
        <v>657</v>
      </c>
      <c r="X93" s="16" t="str">
        <f ca="1"/>
        <v>220-28-1851</v>
      </c>
      <c r="Y93" s="20">
        <f ca="1"/>
        <v>72.933000000000007</v>
      </c>
      <c r="Z93" s="16">
        <f ca="1"/>
        <v>2</v>
      </c>
      <c r="AA93" s="16"/>
      <c r="AB93" s="16"/>
      <c r="AC93" s="16"/>
      <c r="AE93" s="16"/>
    </row>
    <row r="94" spans="19:48" x14ac:dyDescent="0.3">
      <c r="S94" s="15" t="s">
        <v>760</v>
      </c>
      <c r="T94" s="13">
        <v>313.572</v>
      </c>
      <c r="U94" s="16">
        <v>4</v>
      </c>
      <c r="V94" s="16"/>
      <c r="W94" s="16">
        <f t="shared" ca="1" si="7"/>
        <v>311</v>
      </c>
      <c r="X94" s="16" t="str">
        <f ca="1"/>
        <v>221-25-5073</v>
      </c>
      <c r="Y94" s="20">
        <f ca="1"/>
        <v>313.572</v>
      </c>
      <c r="Z94" s="16">
        <f ca="1"/>
        <v>4</v>
      </c>
      <c r="AA94" s="16"/>
      <c r="AB94" s="16"/>
      <c r="AC94" s="16"/>
      <c r="AE94" s="16"/>
    </row>
    <row r="95" spans="19:48" x14ac:dyDescent="0.3">
      <c r="S95" s="15" t="s">
        <v>123</v>
      </c>
      <c r="T95" s="13">
        <v>471.03</v>
      </c>
      <c r="U95" s="16">
        <v>10</v>
      </c>
      <c r="V95" s="16"/>
      <c r="W95" s="16">
        <f t="shared" ca="1" si="7"/>
        <v>189</v>
      </c>
      <c r="X95" s="16" t="str">
        <f ca="1"/>
        <v>225-32-0908</v>
      </c>
      <c r="Y95" s="20">
        <f ca="1"/>
        <v>471.03</v>
      </c>
      <c r="Z95" s="16">
        <f ca="1"/>
        <v>10</v>
      </c>
      <c r="AA95" s="16"/>
      <c r="AB95" s="16"/>
      <c r="AC95" s="16"/>
      <c r="AE95" s="16"/>
    </row>
    <row r="96" spans="19:48" x14ac:dyDescent="0.3">
      <c r="S96" s="15" t="s">
        <v>147</v>
      </c>
      <c r="T96" s="13">
        <v>85.113</v>
      </c>
      <c r="U96" s="16">
        <v>3</v>
      </c>
      <c r="V96" s="16"/>
      <c r="W96" s="16">
        <f t="shared" ca="1" si="7"/>
        <v>624</v>
      </c>
      <c r="X96" s="16" t="str">
        <f ca="1"/>
        <v>225-98-1496</v>
      </c>
      <c r="Y96" s="20">
        <f ca="1"/>
        <v>85.113</v>
      </c>
      <c r="Z96" s="16">
        <f ca="1"/>
        <v>3</v>
      </c>
      <c r="AA96" s="16"/>
      <c r="AB96" s="16"/>
      <c r="AC96" s="16"/>
      <c r="AE96" s="16"/>
    </row>
    <row r="97" spans="19:31" x14ac:dyDescent="0.3">
      <c r="S97" s="15" t="s">
        <v>21</v>
      </c>
      <c r="T97" s="13">
        <v>80.22</v>
      </c>
      <c r="U97" s="16">
        <v>5</v>
      </c>
      <c r="V97" s="16"/>
      <c r="W97" s="16">
        <f t="shared" ca="1" si="7"/>
        <v>634</v>
      </c>
      <c r="X97" s="16" t="str">
        <f ca="1"/>
        <v>226-31-3081</v>
      </c>
      <c r="Y97" s="20">
        <f ca="1"/>
        <v>80.22</v>
      </c>
      <c r="Z97" s="16">
        <f ca="1"/>
        <v>5</v>
      </c>
      <c r="AA97" s="16"/>
      <c r="AB97" s="16"/>
      <c r="AC97" s="16"/>
      <c r="AE97" s="16"/>
    </row>
    <row r="98" spans="19:31" x14ac:dyDescent="0.3">
      <c r="S98" s="15" t="s">
        <v>736</v>
      </c>
      <c r="T98" s="13">
        <v>57.875999999999998</v>
      </c>
      <c r="U98" s="16">
        <v>4</v>
      </c>
      <c r="V98" s="16"/>
      <c r="W98" s="16">
        <f t="shared" ca="1" si="7"/>
        <v>675</v>
      </c>
      <c r="X98" s="16" t="str">
        <f ca="1"/>
        <v>226-34-0034</v>
      </c>
      <c r="Y98" s="20">
        <f ca="1"/>
        <v>57.875999999999998</v>
      </c>
      <c r="Z98" s="16">
        <f ca="1"/>
        <v>4</v>
      </c>
      <c r="AA98" s="16"/>
      <c r="AB98" s="16"/>
      <c r="AC98" s="16"/>
      <c r="AE98" s="16"/>
    </row>
    <row r="99" spans="19:31" x14ac:dyDescent="0.3">
      <c r="S99" s="15" t="s">
        <v>320</v>
      </c>
      <c r="T99" s="13">
        <v>224.4375</v>
      </c>
      <c r="U99" s="16">
        <v>9</v>
      </c>
      <c r="V99" s="16"/>
      <c r="W99" s="16">
        <f t="shared" ca="1" si="7"/>
        <v>405</v>
      </c>
      <c r="X99" s="16" t="str">
        <f ca="1"/>
        <v>226-71-3580</v>
      </c>
      <c r="Y99" s="20">
        <f ca="1"/>
        <v>224.4375</v>
      </c>
      <c r="Z99" s="16">
        <f ca="1"/>
        <v>9</v>
      </c>
      <c r="AA99" s="16"/>
      <c r="AB99" s="16"/>
      <c r="AC99" s="16"/>
      <c r="AE99" s="16"/>
    </row>
    <row r="100" spans="19:31" x14ac:dyDescent="0.3">
      <c r="S100" s="15" t="s">
        <v>57</v>
      </c>
      <c r="T100" s="13">
        <v>441.75599999999997</v>
      </c>
      <c r="U100" s="16">
        <v>8</v>
      </c>
      <c r="V100" s="16"/>
      <c r="W100" s="16">
        <f t="shared" ca="1" si="7"/>
        <v>207</v>
      </c>
      <c r="X100" s="16" t="str">
        <f ca="1"/>
        <v>227-03-5010</v>
      </c>
      <c r="Y100" s="20">
        <f ca="1"/>
        <v>441.75599999999997</v>
      </c>
      <c r="Z100" s="16">
        <f ca="1"/>
        <v>8</v>
      </c>
      <c r="AA100" s="16"/>
      <c r="AB100" s="16"/>
      <c r="AC100" s="16"/>
      <c r="AE100" s="16"/>
    </row>
    <row r="101" spans="19:31" x14ac:dyDescent="0.3">
      <c r="S101" s="15" t="s">
        <v>347</v>
      </c>
      <c r="T101" s="13">
        <v>820.36500000000001</v>
      </c>
      <c r="U101" s="16">
        <v>10</v>
      </c>
      <c r="V101" s="16"/>
      <c r="W101" s="16">
        <f t="shared" ca="1" si="7"/>
        <v>40</v>
      </c>
      <c r="X101" s="16" t="str">
        <f ca="1"/>
        <v>227-07-4446</v>
      </c>
      <c r="Y101" s="20">
        <f ca="1"/>
        <v>820.36500000000001</v>
      </c>
      <c r="Z101" s="16">
        <f ca="1"/>
        <v>10</v>
      </c>
      <c r="AA101" s="16"/>
      <c r="AB101" s="16"/>
      <c r="AC101" s="16"/>
      <c r="AE101" s="16"/>
    </row>
    <row r="102" spans="19:31" x14ac:dyDescent="0.3">
      <c r="S102" s="15" t="s">
        <v>622</v>
      </c>
      <c r="T102" s="13">
        <v>76.754999999999995</v>
      </c>
      <c r="U102" s="16">
        <v>5</v>
      </c>
      <c r="V102" s="16"/>
      <c r="W102" s="16">
        <f t="shared" ca="1" si="7"/>
        <v>646</v>
      </c>
      <c r="X102" s="16" t="str">
        <f ca="1"/>
        <v>227-50-3718</v>
      </c>
      <c r="Y102" s="20">
        <f ca="1"/>
        <v>76.754999999999995</v>
      </c>
      <c r="Z102" s="16">
        <f ca="1"/>
        <v>5</v>
      </c>
      <c r="AA102" s="16"/>
      <c r="AB102" s="16"/>
      <c r="AC102" s="16"/>
      <c r="AE102" s="16"/>
    </row>
    <row r="103" spans="19:31" x14ac:dyDescent="0.3">
      <c r="S103" s="15" t="s">
        <v>144</v>
      </c>
      <c r="T103" s="13">
        <v>535.37400000000002</v>
      </c>
      <c r="U103" s="16">
        <v>7</v>
      </c>
      <c r="V103" s="16"/>
      <c r="W103" s="16">
        <f t="shared" ca="1" si="7"/>
        <v>147</v>
      </c>
      <c r="X103" s="16" t="str">
        <f ca="1"/>
        <v>227-78-1148</v>
      </c>
      <c r="Y103" s="20">
        <f ca="1"/>
        <v>535.37400000000002</v>
      </c>
      <c r="Z103" s="16">
        <f ca="1"/>
        <v>7</v>
      </c>
      <c r="AA103" s="16"/>
      <c r="AB103" s="16"/>
      <c r="AC103" s="16"/>
      <c r="AE103" s="16"/>
    </row>
    <row r="104" spans="19:31" x14ac:dyDescent="0.3">
      <c r="S104" s="15" t="s">
        <v>75</v>
      </c>
      <c r="T104" s="13">
        <v>829.08</v>
      </c>
      <c r="U104" s="16">
        <v>8</v>
      </c>
      <c r="V104" s="16"/>
      <c r="W104" s="16">
        <f t="shared" ca="1" si="7"/>
        <v>37</v>
      </c>
      <c r="X104" s="16" t="str">
        <f ca="1"/>
        <v>228-96-1411</v>
      </c>
      <c r="Y104" s="20">
        <f ca="1"/>
        <v>829.08</v>
      </c>
      <c r="Z104" s="16">
        <f ca="1"/>
        <v>8</v>
      </c>
      <c r="AA104" s="16"/>
      <c r="AB104" s="16"/>
      <c r="AC104" s="16"/>
      <c r="AE104" s="16"/>
    </row>
    <row r="105" spans="19:31" x14ac:dyDescent="0.3">
      <c r="S105" s="15" t="s">
        <v>100</v>
      </c>
      <c r="T105" s="13">
        <v>827.08500000000004</v>
      </c>
      <c r="U105" s="16">
        <v>10</v>
      </c>
      <c r="V105" s="16"/>
      <c r="W105" s="16">
        <f t="shared" ca="1" si="7"/>
        <v>38</v>
      </c>
      <c r="X105" s="16" t="str">
        <f ca="1"/>
        <v>232-11-3025</v>
      </c>
      <c r="Y105" s="20">
        <f ca="1"/>
        <v>827.08500000000004</v>
      </c>
      <c r="Z105" s="16">
        <f ca="1"/>
        <v>10</v>
      </c>
      <c r="AA105" s="16"/>
      <c r="AB105" s="16"/>
      <c r="AC105" s="16"/>
      <c r="AE105" s="16"/>
    </row>
    <row r="106" spans="19:31" x14ac:dyDescent="0.3">
      <c r="S106" s="15" t="s">
        <v>67</v>
      </c>
      <c r="T106" s="13">
        <v>71.525999999999996</v>
      </c>
      <c r="U106" s="16">
        <v>1</v>
      </c>
      <c r="V106" s="16"/>
      <c r="W106" s="16">
        <f t="shared" ca="1" si="7"/>
        <v>661</v>
      </c>
      <c r="X106" s="16" t="str">
        <f ca="1"/>
        <v>232-16-2483</v>
      </c>
      <c r="Y106" s="20">
        <f ca="1"/>
        <v>71.525999999999996</v>
      </c>
      <c r="Z106" s="16">
        <f ca="1"/>
        <v>1</v>
      </c>
      <c r="AA106" s="16"/>
      <c r="AB106" s="16"/>
      <c r="AC106" s="16"/>
      <c r="AE106" s="16"/>
    </row>
    <row r="107" spans="19:31" x14ac:dyDescent="0.3">
      <c r="S107" s="15" t="s">
        <v>502</v>
      </c>
      <c r="T107" s="13">
        <v>103.782</v>
      </c>
      <c r="U107" s="16">
        <v>1</v>
      </c>
      <c r="V107" s="16"/>
      <c r="W107" s="16">
        <f t="shared" ca="1" si="7"/>
        <v>586</v>
      </c>
      <c r="X107" s="16" t="str">
        <f ca="1"/>
        <v>233-34-0817</v>
      </c>
      <c r="Y107" s="20">
        <f ca="1"/>
        <v>103.782</v>
      </c>
      <c r="Z107" s="16">
        <f ca="1"/>
        <v>1</v>
      </c>
      <c r="AA107" s="16"/>
      <c r="AB107" s="16"/>
      <c r="AC107" s="16"/>
      <c r="AE107" s="16"/>
    </row>
    <row r="108" spans="19:31" x14ac:dyDescent="0.3">
      <c r="S108" s="15" t="s">
        <v>494</v>
      </c>
      <c r="T108" s="13">
        <v>767.02499999999998</v>
      </c>
      <c r="U108" s="16">
        <v>10</v>
      </c>
      <c r="V108" s="16"/>
      <c r="W108" s="16">
        <f t="shared" ca="1" si="7"/>
        <v>55</v>
      </c>
      <c r="X108" s="16" t="str">
        <f ca="1"/>
        <v>234-03-4040</v>
      </c>
      <c r="Y108" s="20">
        <f ca="1"/>
        <v>767.02499999999998</v>
      </c>
      <c r="Z108" s="16">
        <f ca="1"/>
        <v>10</v>
      </c>
      <c r="AA108" s="16"/>
      <c r="AB108" s="16"/>
      <c r="AC108" s="16"/>
      <c r="AE108" s="16"/>
    </row>
    <row r="109" spans="19:31" x14ac:dyDescent="0.3">
      <c r="S109" s="15" t="s">
        <v>199</v>
      </c>
      <c r="T109" s="13">
        <v>1003.59</v>
      </c>
      <c r="U109" s="16">
        <v>10</v>
      </c>
      <c r="V109" s="16"/>
      <c r="W109" s="16">
        <f t="shared" ca="1" si="7"/>
        <v>7</v>
      </c>
      <c r="X109" s="16" t="str">
        <f ca="1"/>
        <v>234-65-2137</v>
      </c>
      <c r="Y109" s="20">
        <f ca="1"/>
        <v>1003.59</v>
      </c>
      <c r="Z109" s="16">
        <f ca="1"/>
        <v>10</v>
      </c>
      <c r="AA109" s="16"/>
      <c r="AB109" s="16"/>
      <c r="AC109" s="16"/>
      <c r="AE109" s="16"/>
    </row>
    <row r="110" spans="19:31" x14ac:dyDescent="0.3">
      <c r="S110" s="15" t="s">
        <v>479</v>
      </c>
      <c r="T110" s="13">
        <v>290.43</v>
      </c>
      <c r="U110" s="16">
        <v>10</v>
      </c>
      <c r="V110" s="16"/>
      <c r="W110" s="16">
        <f t="shared" ca="1" si="7"/>
        <v>333</v>
      </c>
      <c r="X110" s="16" t="str">
        <f ca="1"/>
        <v>235-46-8343</v>
      </c>
      <c r="Y110" s="20">
        <f ca="1"/>
        <v>290.43</v>
      </c>
      <c r="Z110" s="16">
        <f ca="1"/>
        <v>10</v>
      </c>
      <c r="AA110" s="16"/>
      <c r="AB110" s="16"/>
      <c r="AC110" s="16"/>
      <c r="AE110" s="16"/>
    </row>
    <row r="111" spans="19:31" x14ac:dyDescent="0.3">
      <c r="S111" s="15" t="s">
        <v>566</v>
      </c>
      <c r="T111" s="13">
        <v>154.12950000000001</v>
      </c>
      <c r="U111" s="16">
        <v>9</v>
      </c>
      <c r="V111" s="16"/>
      <c r="W111" s="16">
        <f t="shared" ca="1" si="7"/>
        <v>512</v>
      </c>
      <c r="X111" s="16" t="str">
        <f ca="1"/>
        <v>236-27-1144</v>
      </c>
      <c r="Y111" s="20">
        <f ca="1"/>
        <v>154.12950000000001</v>
      </c>
      <c r="Z111" s="16">
        <f ca="1"/>
        <v>9</v>
      </c>
      <c r="AA111" s="16"/>
      <c r="AB111" s="16"/>
      <c r="AC111" s="16"/>
      <c r="AE111" s="16"/>
    </row>
    <row r="112" spans="19:31" x14ac:dyDescent="0.3">
      <c r="S112" s="15" t="s">
        <v>435</v>
      </c>
      <c r="T112" s="13">
        <v>14.679</v>
      </c>
      <c r="U112" s="16">
        <v>1</v>
      </c>
      <c r="V112" s="16"/>
      <c r="W112" s="16">
        <f t="shared" ca="1" si="7"/>
        <v>733</v>
      </c>
      <c r="X112" s="16" t="str">
        <f ca="1"/>
        <v>236-86-3015</v>
      </c>
      <c r="Y112" s="20">
        <f ca="1"/>
        <v>14.679</v>
      </c>
      <c r="Z112" s="16">
        <f ca="1"/>
        <v>1</v>
      </c>
      <c r="AA112" s="16"/>
      <c r="AB112" s="16"/>
      <c r="AC112" s="16"/>
      <c r="AE112" s="16"/>
    </row>
    <row r="113" spans="19:31" x14ac:dyDescent="0.3">
      <c r="S113" s="15" t="s">
        <v>146</v>
      </c>
      <c r="T113" s="13">
        <v>763.46550000000002</v>
      </c>
      <c r="U113" s="16">
        <v>9</v>
      </c>
      <c r="V113" s="16"/>
      <c r="W113" s="16">
        <f t="shared" ca="1" si="7"/>
        <v>57</v>
      </c>
      <c r="X113" s="16" t="str">
        <f ca="1"/>
        <v>237-01-6122</v>
      </c>
      <c r="Y113" s="20">
        <f ca="1"/>
        <v>763.46550000000002</v>
      </c>
      <c r="Z113" s="16">
        <f ca="1"/>
        <v>9</v>
      </c>
      <c r="AA113" s="16"/>
      <c r="AB113" s="16"/>
      <c r="AC113" s="16"/>
      <c r="AE113" s="16"/>
    </row>
    <row r="114" spans="19:31" x14ac:dyDescent="0.3">
      <c r="S114" s="15" t="s">
        <v>672</v>
      </c>
      <c r="T114" s="13">
        <v>56.405999999999999</v>
      </c>
      <c r="U114" s="16">
        <v>1</v>
      </c>
      <c r="V114" s="16"/>
      <c r="W114" s="16">
        <f t="shared" ca="1" si="7"/>
        <v>679</v>
      </c>
      <c r="X114" s="16" t="str">
        <f ca="1"/>
        <v>238-45-6950</v>
      </c>
      <c r="Y114" s="20">
        <f ca="1"/>
        <v>56.405999999999999</v>
      </c>
      <c r="Z114" s="16">
        <f ca="1"/>
        <v>1</v>
      </c>
      <c r="AA114" s="16"/>
      <c r="AB114" s="16"/>
      <c r="AC114" s="16"/>
      <c r="AE114" s="16"/>
    </row>
    <row r="115" spans="19:31" x14ac:dyDescent="0.3">
      <c r="S115" s="15" t="s">
        <v>182</v>
      </c>
      <c r="T115" s="13">
        <v>272.66399999999999</v>
      </c>
      <c r="U115" s="16">
        <v>8</v>
      </c>
      <c r="V115" s="16"/>
      <c r="W115" s="16">
        <f t="shared" ca="1" si="7"/>
        <v>353</v>
      </c>
      <c r="X115" s="16" t="str">
        <f ca="1"/>
        <v>238-49-0436</v>
      </c>
      <c r="Y115" s="20">
        <f ca="1"/>
        <v>272.66399999999999</v>
      </c>
      <c r="Z115" s="16">
        <f ca="1"/>
        <v>8</v>
      </c>
      <c r="AA115" s="16"/>
      <c r="AB115" s="16"/>
      <c r="AC115" s="16"/>
      <c r="AE115" s="16"/>
    </row>
    <row r="116" spans="19:31" x14ac:dyDescent="0.3">
      <c r="S116" s="15" t="s">
        <v>177</v>
      </c>
      <c r="T116" s="13">
        <v>491.08499999999998</v>
      </c>
      <c r="U116" s="16">
        <v>6</v>
      </c>
      <c r="V116" s="16"/>
      <c r="W116" s="16">
        <f t="shared" ca="1" si="7"/>
        <v>173</v>
      </c>
      <c r="X116" s="16" t="str">
        <f ca="1"/>
        <v>239-10-7476</v>
      </c>
      <c r="Y116" s="20">
        <f ca="1"/>
        <v>491.08499999999998</v>
      </c>
      <c r="Z116" s="16">
        <f ca="1"/>
        <v>6</v>
      </c>
      <c r="AA116" s="16"/>
      <c r="AB116" s="16"/>
      <c r="AC116" s="16"/>
      <c r="AE116" s="16"/>
    </row>
    <row r="117" spans="19:31" x14ac:dyDescent="0.3">
      <c r="S117" s="15" t="s">
        <v>253</v>
      </c>
      <c r="T117" s="13">
        <v>285.70499999999998</v>
      </c>
      <c r="U117" s="16">
        <v>6</v>
      </c>
      <c r="V117" s="16"/>
      <c r="W117" s="16">
        <f t="shared" ca="1" si="7"/>
        <v>338</v>
      </c>
      <c r="X117" s="16" t="str">
        <f ca="1"/>
        <v>239-36-3640</v>
      </c>
      <c r="Y117" s="20">
        <f ca="1"/>
        <v>285.70499999999998</v>
      </c>
      <c r="Z117" s="16">
        <f ca="1"/>
        <v>6</v>
      </c>
      <c r="AA117" s="16"/>
      <c r="AB117" s="16"/>
      <c r="AC117" s="16"/>
      <c r="AE117" s="16"/>
    </row>
    <row r="118" spans="19:31" x14ac:dyDescent="0.3">
      <c r="S118" s="15" t="s">
        <v>605</v>
      </c>
      <c r="T118" s="13">
        <v>74.455500000000001</v>
      </c>
      <c r="U118" s="16">
        <v>7</v>
      </c>
      <c r="V118" s="16"/>
      <c r="W118" s="16">
        <f t="shared" ca="1" si="7"/>
        <v>656</v>
      </c>
      <c r="X118" s="16" t="str">
        <f ca="1"/>
        <v>239-48-4278</v>
      </c>
      <c r="Y118" s="20">
        <f ca="1"/>
        <v>74.455500000000001</v>
      </c>
      <c r="Z118" s="16">
        <f ca="1"/>
        <v>7</v>
      </c>
      <c r="AA118" s="16"/>
      <c r="AB118" s="16"/>
      <c r="AC118" s="16"/>
      <c r="AE118" s="16"/>
    </row>
    <row r="119" spans="19:31" x14ac:dyDescent="0.3">
      <c r="S119" s="15" t="s">
        <v>601</v>
      </c>
      <c r="T119" s="13">
        <v>586.971</v>
      </c>
      <c r="U119" s="16">
        <v>7</v>
      </c>
      <c r="V119" s="16"/>
      <c r="W119" s="16">
        <f t="shared" ca="1" si="7"/>
        <v>121</v>
      </c>
      <c r="X119" s="16" t="str">
        <f ca="1"/>
        <v>241-11-2261</v>
      </c>
      <c r="Y119" s="20">
        <f ca="1"/>
        <v>586.971</v>
      </c>
      <c r="Z119" s="16">
        <f ca="1"/>
        <v>7</v>
      </c>
      <c r="AA119" s="16"/>
      <c r="AB119" s="16"/>
      <c r="AC119" s="16"/>
      <c r="AE119" s="16"/>
    </row>
    <row r="120" spans="19:31" x14ac:dyDescent="0.3">
      <c r="S120" s="15" t="s">
        <v>170</v>
      </c>
      <c r="T120" s="13">
        <v>545.05499999999995</v>
      </c>
      <c r="U120" s="16">
        <v>10</v>
      </c>
      <c r="V120" s="16"/>
      <c r="W120" s="16">
        <f t="shared" ca="1" si="7"/>
        <v>141</v>
      </c>
      <c r="X120" s="16" t="str">
        <f ca="1"/>
        <v>241-72-9525</v>
      </c>
      <c r="Y120" s="20">
        <f ca="1"/>
        <v>545.05499999999995</v>
      </c>
      <c r="Z120" s="16">
        <f ca="1"/>
        <v>10</v>
      </c>
      <c r="AA120" s="16"/>
      <c r="AB120" s="16"/>
      <c r="AC120" s="16"/>
      <c r="AE120" s="16"/>
    </row>
    <row r="121" spans="19:31" x14ac:dyDescent="0.3">
      <c r="S121" s="15" t="s">
        <v>650</v>
      </c>
      <c r="T121" s="13">
        <v>103.11</v>
      </c>
      <c r="U121" s="16">
        <v>2</v>
      </c>
      <c r="V121" s="16"/>
      <c r="W121" s="16">
        <f t="shared" ca="1" si="7"/>
        <v>589</v>
      </c>
      <c r="X121" s="16" t="str">
        <f ca="1"/>
        <v>241-96-5076</v>
      </c>
      <c r="Y121" s="20">
        <f ca="1"/>
        <v>103.11</v>
      </c>
      <c r="Z121" s="16">
        <f ca="1"/>
        <v>2</v>
      </c>
      <c r="AA121" s="16"/>
      <c r="AB121" s="16"/>
      <c r="AC121" s="16"/>
      <c r="AE121" s="16"/>
    </row>
    <row r="122" spans="19:31" x14ac:dyDescent="0.3">
      <c r="S122" s="15" t="s">
        <v>86</v>
      </c>
      <c r="T122" s="13">
        <v>33.936</v>
      </c>
      <c r="U122" s="16">
        <v>2</v>
      </c>
      <c r="V122" s="16"/>
      <c r="W122" s="16">
        <f t="shared" ca="1" si="7"/>
        <v>707</v>
      </c>
      <c r="X122" s="16" t="str">
        <f ca="1"/>
        <v>242-55-6721</v>
      </c>
      <c r="Y122" s="20">
        <f ca="1"/>
        <v>33.936</v>
      </c>
      <c r="Z122" s="16">
        <f ca="1"/>
        <v>2</v>
      </c>
      <c r="AA122" s="16"/>
      <c r="AB122" s="16"/>
      <c r="AC122" s="16"/>
      <c r="AE122" s="16"/>
    </row>
    <row r="123" spans="19:31" x14ac:dyDescent="0.3">
      <c r="S123" s="15" t="s">
        <v>576</v>
      </c>
      <c r="T123" s="13">
        <v>118.251</v>
      </c>
      <c r="U123" s="16">
        <v>6</v>
      </c>
      <c r="V123" s="16"/>
      <c r="W123" s="16">
        <f t="shared" ca="1" si="7"/>
        <v>573</v>
      </c>
      <c r="X123" s="16" t="str">
        <f ca="1"/>
        <v>243-47-2663</v>
      </c>
      <c r="Y123" s="20">
        <f ca="1"/>
        <v>118.251</v>
      </c>
      <c r="Z123" s="16">
        <f ca="1"/>
        <v>6</v>
      </c>
      <c r="AA123" s="16"/>
      <c r="AB123" s="16"/>
      <c r="AC123" s="16"/>
      <c r="AE123" s="16"/>
    </row>
    <row r="124" spans="19:31" x14ac:dyDescent="0.3">
      <c r="S124" s="15" t="s">
        <v>443</v>
      </c>
      <c r="T124" s="13">
        <v>359.20499999999998</v>
      </c>
      <c r="U124" s="16">
        <v>10</v>
      </c>
      <c r="V124" s="16"/>
      <c r="W124" s="16">
        <f t="shared" ca="1" si="7"/>
        <v>267</v>
      </c>
      <c r="X124" s="16" t="str">
        <f ca="1"/>
        <v>244-08-0162</v>
      </c>
      <c r="Y124" s="20">
        <f ca="1"/>
        <v>359.20499999999998</v>
      </c>
      <c r="Z124" s="16">
        <f ca="1"/>
        <v>10</v>
      </c>
      <c r="AA124" s="16"/>
      <c r="AB124" s="16"/>
      <c r="AC124" s="16"/>
      <c r="AE124" s="16"/>
    </row>
    <row r="125" spans="19:31" x14ac:dyDescent="0.3">
      <c r="S125" s="15" t="s">
        <v>514</v>
      </c>
      <c r="T125" s="13">
        <v>344.4</v>
      </c>
      <c r="U125" s="16">
        <v>10</v>
      </c>
      <c r="V125" s="16"/>
      <c r="W125" s="16">
        <f t="shared" ca="1" si="7"/>
        <v>282</v>
      </c>
      <c r="X125" s="16" t="str">
        <f ca="1"/>
        <v>246-11-3901</v>
      </c>
      <c r="Y125" s="20">
        <f ca="1"/>
        <v>344.4</v>
      </c>
      <c r="Z125" s="16">
        <f ca="1"/>
        <v>10</v>
      </c>
      <c r="AA125" s="16"/>
      <c r="AB125" s="16"/>
      <c r="AC125" s="16"/>
      <c r="AE125" s="16"/>
    </row>
    <row r="126" spans="19:31" x14ac:dyDescent="0.3">
      <c r="S126" s="15" t="s">
        <v>733</v>
      </c>
      <c r="T126" s="13">
        <v>338.21550000000002</v>
      </c>
      <c r="U126" s="16">
        <v>9</v>
      </c>
      <c r="V126" s="16"/>
      <c r="W126" s="16">
        <f t="shared" ca="1" si="7"/>
        <v>289</v>
      </c>
      <c r="X126" s="16" t="str">
        <f ca="1"/>
        <v>246-55-6923</v>
      </c>
      <c r="Y126" s="20">
        <f ca="1"/>
        <v>338.21550000000002</v>
      </c>
      <c r="Z126" s="16">
        <f ca="1"/>
        <v>9</v>
      </c>
      <c r="AA126" s="16"/>
      <c r="AB126" s="16"/>
      <c r="AC126" s="16"/>
      <c r="AE126" s="16"/>
    </row>
    <row r="127" spans="19:31" x14ac:dyDescent="0.3">
      <c r="S127" s="15" t="s">
        <v>670</v>
      </c>
      <c r="T127" s="13">
        <v>93.744</v>
      </c>
      <c r="U127" s="16">
        <v>4</v>
      </c>
      <c r="V127" s="16"/>
      <c r="W127" s="16">
        <f t="shared" ca="1" si="7"/>
        <v>606</v>
      </c>
      <c r="X127" s="16" t="str">
        <f ca="1"/>
        <v>247-11-2470</v>
      </c>
      <c r="Y127" s="20">
        <f ca="1"/>
        <v>93.744</v>
      </c>
      <c r="Z127" s="16">
        <f ca="1"/>
        <v>4</v>
      </c>
      <c r="AA127" s="16"/>
      <c r="AB127" s="16"/>
      <c r="AC127" s="16"/>
      <c r="AE127" s="16"/>
    </row>
    <row r="128" spans="19:31" x14ac:dyDescent="0.3">
      <c r="S128" s="15" t="s">
        <v>203</v>
      </c>
      <c r="T128" s="13">
        <v>367.55250000000001</v>
      </c>
      <c r="U128" s="16">
        <v>5</v>
      </c>
      <c r="V128" s="16"/>
      <c r="W128" s="16">
        <f t="shared" ca="1" si="7"/>
        <v>261</v>
      </c>
      <c r="X128" s="16" t="str">
        <f ca="1"/>
        <v>249-42-3782</v>
      </c>
      <c r="Y128" s="20">
        <f ca="1"/>
        <v>367.55250000000001</v>
      </c>
      <c r="Z128" s="16">
        <f ca="1"/>
        <v>5</v>
      </c>
      <c r="AA128" s="16"/>
      <c r="AB128" s="16"/>
      <c r="AC128" s="16"/>
      <c r="AE128" s="16"/>
    </row>
    <row r="129" spans="19:31" x14ac:dyDescent="0.3">
      <c r="S129" s="15" t="s">
        <v>45</v>
      </c>
      <c r="T129" s="13">
        <v>453.495</v>
      </c>
      <c r="U129" s="16">
        <v>10</v>
      </c>
      <c r="V129" s="16"/>
      <c r="W129" s="16">
        <f t="shared" ca="1" si="7"/>
        <v>202</v>
      </c>
      <c r="X129" s="16" t="str">
        <f ca="1"/>
        <v>252-56-2699</v>
      </c>
      <c r="Y129" s="20">
        <f ca="1"/>
        <v>453.495</v>
      </c>
      <c r="Z129" s="16">
        <f ca="1"/>
        <v>10</v>
      </c>
      <c r="AA129" s="16"/>
      <c r="AB129" s="16"/>
      <c r="AC129" s="16"/>
      <c r="AE129" s="16"/>
    </row>
    <row r="130" spans="19:31" x14ac:dyDescent="0.3">
      <c r="S130" s="15" t="s">
        <v>298</v>
      </c>
      <c r="T130" s="13">
        <v>723.24</v>
      </c>
      <c r="U130" s="16">
        <v>7</v>
      </c>
      <c r="V130" s="16"/>
      <c r="W130" s="16">
        <f t="shared" ca="1" si="7"/>
        <v>74</v>
      </c>
      <c r="X130" s="16" t="str">
        <f ca="1"/>
        <v>253-12-6086</v>
      </c>
      <c r="Y130" s="20">
        <f ca="1"/>
        <v>723.24</v>
      </c>
      <c r="Z130" s="16">
        <f ca="1"/>
        <v>7</v>
      </c>
      <c r="AA130" s="16"/>
      <c r="AB130" s="16"/>
      <c r="AC130" s="16"/>
      <c r="AE130" s="16"/>
    </row>
    <row r="131" spans="19:31" x14ac:dyDescent="0.3">
      <c r="S131" s="15" t="s">
        <v>402</v>
      </c>
      <c r="T131" s="13">
        <v>203.17500000000001</v>
      </c>
      <c r="U131" s="16">
        <v>9</v>
      </c>
      <c r="V131" s="16"/>
      <c r="W131" s="16">
        <f t="shared" ref="W131:W194" ca="1" si="8">RANK(Y:Y,Y:Y)</f>
        <v>440</v>
      </c>
      <c r="X131" s="16" t="str">
        <f ca="1"/>
        <v>254-31-0042</v>
      </c>
      <c r="Y131" s="20">
        <f ca="1"/>
        <v>203.17500000000001</v>
      </c>
      <c r="Z131" s="16">
        <f ca="1"/>
        <v>9</v>
      </c>
      <c r="AA131" s="16"/>
      <c r="AB131" s="16"/>
      <c r="AC131" s="16"/>
      <c r="AE131" s="16"/>
    </row>
    <row r="132" spans="19:31" x14ac:dyDescent="0.3">
      <c r="S132" s="15" t="s">
        <v>441</v>
      </c>
      <c r="T132" s="13">
        <v>237.42599999999999</v>
      </c>
      <c r="U132" s="16">
        <v>4</v>
      </c>
      <c r="V132" s="16"/>
      <c r="W132" s="16">
        <f t="shared" ca="1" si="8"/>
        <v>391</v>
      </c>
      <c r="X132" s="16" t="str">
        <f ca="1"/>
        <v>256-08-8343</v>
      </c>
      <c r="Y132" s="20">
        <f ca="1"/>
        <v>237.42599999999999</v>
      </c>
      <c r="Z132" s="16">
        <f ca="1"/>
        <v>4</v>
      </c>
      <c r="AA132" s="16"/>
      <c r="AB132" s="16"/>
      <c r="AC132" s="16"/>
      <c r="AE132" s="16"/>
    </row>
    <row r="133" spans="19:31" x14ac:dyDescent="0.3">
      <c r="S133" s="15" t="s">
        <v>697</v>
      </c>
      <c r="T133" s="13">
        <v>210.96600000000001</v>
      </c>
      <c r="U133" s="16">
        <v>4</v>
      </c>
      <c r="V133" s="16"/>
      <c r="W133" s="16">
        <f t="shared" ca="1" si="8"/>
        <v>424</v>
      </c>
      <c r="X133" s="16" t="str">
        <f ca="1"/>
        <v>257-60-7754</v>
      </c>
      <c r="Y133" s="20">
        <f ca="1"/>
        <v>210.96600000000001</v>
      </c>
      <c r="Z133" s="16">
        <f ca="1"/>
        <v>4</v>
      </c>
      <c r="AA133" s="16"/>
      <c r="AB133" s="16"/>
      <c r="AC133" s="16"/>
      <c r="AE133" s="16"/>
    </row>
    <row r="134" spans="19:31" x14ac:dyDescent="0.3">
      <c r="S134" s="15" t="s">
        <v>469</v>
      </c>
      <c r="T134" s="13">
        <v>348.30599999999998</v>
      </c>
      <c r="U134" s="16">
        <v>4</v>
      </c>
      <c r="V134" s="16"/>
      <c r="W134" s="16">
        <f t="shared" ca="1" si="8"/>
        <v>280</v>
      </c>
      <c r="X134" s="16" t="str">
        <f ca="1"/>
        <v>257-73-1380</v>
      </c>
      <c r="Y134" s="20">
        <f ca="1"/>
        <v>348.30599999999998</v>
      </c>
      <c r="Z134" s="16">
        <f ca="1"/>
        <v>4</v>
      </c>
      <c r="AA134" s="16"/>
      <c r="AB134" s="16"/>
      <c r="AC134" s="16"/>
      <c r="AE134" s="16"/>
    </row>
    <row r="135" spans="19:31" x14ac:dyDescent="0.3">
      <c r="S135" s="15" t="s">
        <v>662</v>
      </c>
      <c r="T135" s="13">
        <v>187.32</v>
      </c>
      <c r="U135" s="16">
        <v>5</v>
      </c>
      <c r="V135" s="16"/>
      <c r="W135" s="16">
        <f t="shared" ca="1" si="8"/>
        <v>464</v>
      </c>
      <c r="X135" s="16" t="str">
        <f ca="1"/>
        <v>258-92-7466</v>
      </c>
      <c r="Y135" s="20">
        <f ca="1"/>
        <v>187.32</v>
      </c>
      <c r="Z135" s="16">
        <f ca="1"/>
        <v>5</v>
      </c>
      <c r="AA135" s="16"/>
      <c r="AB135" s="16"/>
      <c r="AC135" s="16"/>
      <c r="AE135" s="16"/>
    </row>
    <row r="136" spans="19:31" x14ac:dyDescent="0.3">
      <c r="S136" s="15" t="s">
        <v>404</v>
      </c>
      <c r="T136" s="13">
        <v>128.01599999999999</v>
      </c>
      <c r="U136" s="16">
        <v>2</v>
      </c>
      <c r="V136" s="16"/>
      <c r="W136" s="16">
        <f t="shared" ca="1" si="8"/>
        <v>558</v>
      </c>
      <c r="X136" s="16" t="str">
        <f ca="1"/>
        <v>261-12-8671</v>
      </c>
      <c r="Y136" s="20">
        <f ca="1"/>
        <v>128.01599999999999</v>
      </c>
      <c r="Z136" s="16">
        <f ca="1"/>
        <v>2</v>
      </c>
      <c r="AA136" s="16"/>
      <c r="AB136" s="16"/>
      <c r="AC136" s="16"/>
      <c r="AE136" s="16"/>
    </row>
    <row r="137" spans="19:31" x14ac:dyDescent="0.3">
      <c r="S137" s="15" t="s">
        <v>181</v>
      </c>
      <c r="T137" s="13">
        <v>603.62400000000002</v>
      </c>
      <c r="U137" s="16">
        <v>8</v>
      </c>
      <c r="V137" s="16"/>
      <c r="W137" s="16">
        <f t="shared" ca="1" si="8"/>
        <v>116</v>
      </c>
      <c r="X137" s="16" t="str">
        <f ca="1"/>
        <v>262-47-2794</v>
      </c>
      <c r="Y137" s="20">
        <f ca="1"/>
        <v>603.62400000000002</v>
      </c>
      <c r="Z137" s="16">
        <f ca="1"/>
        <v>8</v>
      </c>
      <c r="AA137" s="16"/>
      <c r="AB137" s="16"/>
      <c r="AC137" s="16"/>
      <c r="AE137" s="16"/>
    </row>
    <row r="138" spans="19:31" x14ac:dyDescent="0.3">
      <c r="S138" s="15" t="s">
        <v>108</v>
      </c>
      <c r="T138" s="13">
        <v>463.428</v>
      </c>
      <c r="U138" s="16">
        <v>9</v>
      </c>
      <c r="V138" s="16"/>
      <c r="W138" s="16">
        <f t="shared" ca="1" si="8"/>
        <v>194</v>
      </c>
      <c r="X138" s="16" t="str">
        <f ca="1"/>
        <v>263-10-3913</v>
      </c>
      <c r="Y138" s="20">
        <f ca="1"/>
        <v>463.428</v>
      </c>
      <c r="Z138" s="16">
        <f ca="1"/>
        <v>9</v>
      </c>
      <c r="AA138" s="16"/>
      <c r="AB138" s="16"/>
      <c r="AC138" s="16"/>
      <c r="AE138" s="16"/>
    </row>
    <row r="139" spans="19:31" x14ac:dyDescent="0.3">
      <c r="S139" s="15" t="s">
        <v>240</v>
      </c>
      <c r="T139" s="13">
        <v>299.565</v>
      </c>
      <c r="U139" s="16">
        <v>10</v>
      </c>
      <c r="V139" s="16"/>
      <c r="W139" s="16">
        <f t="shared" ca="1" si="8"/>
        <v>322</v>
      </c>
      <c r="X139" s="16" t="str">
        <f ca="1"/>
        <v>263-87-5680</v>
      </c>
      <c r="Y139" s="20">
        <f ca="1"/>
        <v>299.565</v>
      </c>
      <c r="Z139" s="16">
        <f ca="1"/>
        <v>10</v>
      </c>
      <c r="AA139" s="16"/>
      <c r="AB139" s="16"/>
      <c r="AC139" s="16"/>
      <c r="AE139" s="16"/>
    </row>
    <row r="140" spans="19:31" x14ac:dyDescent="0.3">
      <c r="S140" s="15" t="s">
        <v>652</v>
      </c>
      <c r="T140" s="13">
        <v>404.54399999999998</v>
      </c>
      <c r="U140" s="16">
        <v>7</v>
      </c>
      <c r="V140" s="16"/>
      <c r="W140" s="16">
        <f t="shared" ca="1" si="8"/>
        <v>230</v>
      </c>
      <c r="X140" s="16" t="str">
        <f ca="1"/>
        <v>266-20-6657</v>
      </c>
      <c r="Y140" s="20">
        <f ca="1"/>
        <v>404.54399999999998</v>
      </c>
      <c r="Z140" s="16">
        <f ca="1"/>
        <v>7</v>
      </c>
      <c r="AA140" s="16"/>
      <c r="AB140" s="16"/>
      <c r="AC140" s="16"/>
      <c r="AE140" s="16"/>
    </row>
    <row r="141" spans="19:31" x14ac:dyDescent="0.3">
      <c r="S141" s="15" t="s">
        <v>453</v>
      </c>
      <c r="T141" s="13">
        <v>121.59</v>
      </c>
      <c r="U141" s="16">
        <v>3</v>
      </c>
      <c r="V141" s="16"/>
      <c r="W141" s="16">
        <f t="shared" ca="1" si="8"/>
        <v>567</v>
      </c>
      <c r="X141" s="16" t="str">
        <f ca="1"/>
        <v>266-76-6436</v>
      </c>
      <c r="Y141" s="20">
        <f ca="1"/>
        <v>121.59</v>
      </c>
      <c r="Z141" s="16">
        <f ca="1"/>
        <v>3</v>
      </c>
      <c r="AA141" s="16"/>
      <c r="AB141" s="16"/>
      <c r="AC141" s="16"/>
      <c r="AE141" s="16"/>
    </row>
    <row r="142" spans="19:31" x14ac:dyDescent="0.3">
      <c r="S142" s="15" t="s">
        <v>448</v>
      </c>
      <c r="T142" s="13">
        <v>100.91549999999999</v>
      </c>
      <c r="U142" s="16">
        <v>1</v>
      </c>
      <c r="V142" s="16"/>
      <c r="W142" s="16">
        <f t="shared" ca="1" si="8"/>
        <v>593</v>
      </c>
      <c r="X142" s="16" t="str">
        <f ca="1"/>
        <v>268-03-6164</v>
      </c>
      <c r="Y142" s="20">
        <f ca="1"/>
        <v>100.91549999999999</v>
      </c>
      <c r="Z142" s="16">
        <f ca="1"/>
        <v>1</v>
      </c>
      <c r="AA142" s="16"/>
      <c r="AB142" s="16"/>
      <c r="AC142" s="16"/>
      <c r="AE142" s="16"/>
    </row>
    <row r="143" spans="19:31" x14ac:dyDescent="0.3">
      <c r="S143" s="15" t="s">
        <v>661</v>
      </c>
      <c r="T143" s="13">
        <v>130.88249999999999</v>
      </c>
      <c r="U143" s="16">
        <v>9</v>
      </c>
      <c r="V143" s="16"/>
      <c r="W143" s="16">
        <f t="shared" ca="1" si="8"/>
        <v>555</v>
      </c>
      <c r="X143" s="16" t="str">
        <f ca="1"/>
        <v>268-20-3585</v>
      </c>
      <c r="Y143" s="20">
        <f ca="1"/>
        <v>130.88249999999999</v>
      </c>
      <c r="Z143" s="16">
        <f ca="1"/>
        <v>9</v>
      </c>
      <c r="AA143" s="16"/>
      <c r="AB143" s="16"/>
      <c r="AC143" s="16"/>
      <c r="AE143" s="16"/>
    </row>
    <row r="144" spans="19:31" x14ac:dyDescent="0.3">
      <c r="S144" s="15" t="s">
        <v>156</v>
      </c>
      <c r="T144" s="13">
        <v>474.34800000000001</v>
      </c>
      <c r="U144" s="16">
        <v>8</v>
      </c>
      <c r="V144" s="16"/>
      <c r="W144" s="16">
        <f t="shared" ca="1" si="8"/>
        <v>187</v>
      </c>
      <c r="X144" s="16" t="str">
        <f ca="1"/>
        <v>268-27-6179</v>
      </c>
      <c r="Y144" s="20">
        <f ca="1"/>
        <v>474.34800000000001</v>
      </c>
      <c r="Z144" s="16">
        <f ca="1"/>
        <v>8</v>
      </c>
      <c r="AA144" s="16"/>
      <c r="AB144" s="16"/>
      <c r="AC144" s="16"/>
      <c r="AE144" s="16"/>
    </row>
    <row r="145" spans="19:31" x14ac:dyDescent="0.3">
      <c r="S145" s="15" t="s">
        <v>266</v>
      </c>
      <c r="T145" s="13">
        <v>310.04399999999998</v>
      </c>
      <c r="U145" s="16">
        <v>4</v>
      </c>
      <c r="V145" s="16"/>
      <c r="W145" s="16">
        <f t="shared" ca="1" si="8"/>
        <v>315</v>
      </c>
      <c r="X145" s="16" t="str">
        <f ca="1"/>
        <v>269-04-5750</v>
      </c>
      <c r="Y145" s="20">
        <f ca="1"/>
        <v>310.04399999999998</v>
      </c>
      <c r="Z145" s="16">
        <f ca="1"/>
        <v>4</v>
      </c>
      <c r="AA145" s="16"/>
      <c r="AB145" s="16"/>
      <c r="AC145" s="16"/>
      <c r="AE145" s="16"/>
    </row>
    <row r="146" spans="19:31" x14ac:dyDescent="0.3">
      <c r="S146" s="15" t="s">
        <v>459</v>
      </c>
      <c r="T146" s="13">
        <v>390.79950000000002</v>
      </c>
      <c r="U146" s="16">
        <v>7</v>
      </c>
      <c r="V146" s="16"/>
      <c r="W146" s="16">
        <f t="shared" ca="1" si="8"/>
        <v>247</v>
      </c>
      <c r="X146" s="16" t="str">
        <f ca="1"/>
        <v>269-10-8440</v>
      </c>
      <c r="Y146" s="20">
        <f ca="1"/>
        <v>390.79950000000002</v>
      </c>
      <c r="Z146" s="16">
        <f ca="1"/>
        <v>7</v>
      </c>
      <c r="AA146" s="16"/>
      <c r="AB146" s="16"/>
      <c r="AC146" s="16"/>
      <c r="AE146" s="16"/>
    </row>
    <row r="147" spans="19:31" x14ac:dyDescent="0.3">
      <c r="S147" s="15" t="s">
        <v>707</v>
      </c>
      <c r="T147" s="13">
        <v>184.08600000000001</v>
      </c>
      <c r="U147" s="16">
        <v>6</v>
      </c>
      <c r="V147" s="16"/>
      <c r="W147" s="16">
        <f t="shared" ca="1" si="8"/>
        <v>469</v>
      </c>
      <c r="X147" s="16" t="str">
        <f ca="1"/>
        <v>271-77-8740</v>
      </c>
      <c r="Y147" s="20">
        <f ca="1"/>
        <v>184.08600000000001</v>
      </c>
      <c r="Z147" s="16">
        <f ca="1"/>
        <v>6</v>
      </c>
      <c r="AA147" s="16"/>
      <c r="AB147" s="16"/>
      <c r="AC147" s="16"/>
      <c r="AE147" s="16"/>
    </row>
    <row r="148" spans="19:31" x14ac:dyDescent="0.3">
      <c r="S148" s="15" t="s">
        <v>455</v>
      </c>
      <c r="T148" s="13">
        <v>1020.705</v>
      </c>
      <c r="U148" s="16">
        <v>10</v>
      </c>
      <c r="V148" s="16"/>
      <c r="W148" s="16">
        <f t="shared" ca="1" si="8"/>
        <v>6</v>
      </c>
      <c r="X148" s="16" t="str">
        <f ca="1"/>
        <v>271-88-8734</v>
      </c>
      <c r="Y148" s="20">
        <f ca="1"/>
        <v>1020.705</v>
      </c>
      <c r="Z148" s="16">
        <f ca="1"/>
        <v>10</v>
      </c>
      <c r="AA148" s="16"/>
      <c r="AB148" s="16"/>
      <c r="AC148" s="16"/>
      <c r="AE148" s="16"/>
    </row>
    <row r="149" spans="19:31" x14ac:dyDescent="0.3">
      <c r="S149" s="15" t="s">
        <v>397</v>
      </c>
      <c r="T149" s="13">
        <v>173.208</v>
      </c>
      <c r="U149" s="16">
        <v>4</v>
      </c>
      <c r="V149" s="16"/>
      <c r="W149" s="16">
        <f t="shared" ca="1" si="8"/>
        <v>483</v>
      </c>
      <c r="X149" s="16" t="str">
        <f ca="1"/>
        <v>272-27-9238</v>
      </c>
      <c r="Y149" s="20">
        <f ca="1"/>
        <v>173.208</v>
      </c>
      <c r="Z149" s="16">
        <f ca="1"/>
        <v>4</v>
      </c>
      <c r="AA149" s="16"/>
      <c r="AB149" s="16"/>
      <c r="AC149" s="16"/>
      <c r="AE149" s="16"/>
    </row>
    <row r="150" spans="19:31" x14ac:dyDescent="0.3">
      <c r="S150" s="15" t="s">
        <v>69</v>
      </c>
      <c r="T150" s="13">
        <v>575.31600000000003</v>
      </c>
      <c r="U150" s="16">
        <v>9</v>
      </c>
      <c r="V150" s="16"/>
      <c r="W150" s="16">
        <f t="shared" ca="1" si="8"/>
        <v>126</v>
      </c>
      <c r="X150" s="16" t="str">
        <f ca="1"/>
        <v>272-65-1806</v>
      </c>
      <c r="Y150" s="20">
        <f ca="1"/>
        <v>575.31600000000003</v>
      </c>
      <c r="Z150" s="16">
        <f ca="1"/>
        <v>9</v>
      </c>
      <c r="AA150" s="16"/>
      <c r="AB150" s="16"/>
      <c r="AC150" s="16"/>
      <c r="AE150" s="16"/>
    </row>
    <row r="151" spans="19:31" x14ac:dyDescent="0.3">
      <c r="S151" s="15" t="s">
        <v>54</v>
      </c>
      <c r="T151" s="13">
        <v>69.72</v>
      </c>
      <c r="U151" s="16">
        <v>2</v>
      </c>
      <c r="V151" s="16"/>
      <c r="W151" s="16">
        <f t="shared" ca="1" si="8"/>
        <v>664</v>
      </c>
      <c r="X151" s="16" t="str">
        <f ca="1"/>
        <v>273-16-6619</v>
      </c>
      <c r="Y151" s="20">
        <f ca="1"/>
        <v>69.72</v>
      </c>
      <c r="Z151" s="16">
        <f ca="1"/>
        <v>2</v>
      </c>
      <c r="AA151" s="16"/>
      <c r="AB151" s="16"/>
      <c r="AC151" s="16"/>
      <c r="AE151" s="16"/>
    </row>
    <row r="152" spans="19:31" x14ac:dyDescent="0.3">
      <c r="S152" s="15" t="s">
        <v>194</v>
      </c>
      <c r="T152" s="13">
        <v>66.874499999999998</v>
      </c>
      <c r="U152" s="16">
        <v>1</v>
      </c>
      <c r="V152" s="16"/>
      <c r="W152" s="16">
        <f t="shared" ca="1" si="8"/>
        <v>669</v>
      </c>
      <c r="X152" s="16" t="str">
        <f ca="1"/>
        <v>275-28-0149</v>
      </c>
      <c r="Y152" s="20">
        <f ca="1"/>
        <v>66.874499999999998</v>
      </c>
      <c r="Z152" s="16">
        <f ca="1"/>
        <v>1</v>
      </c>
      <c r="AA152" s="16"/>
      <c r="AB152" s="16"/>
      <c r="AC152" s="16"/>
      <c r="AE152" s="16"/>
    </row>
    <row r="153" spans="19:31" x14ac:dyDescent="0.3">
      <c r="S153" s="15" t="s">
        <v>358</v>
      </c>
      <c r="T153" s="13">
        <v>410.50799999999998</v>
      </c>
      <c r="U153" s="16">
        <v>4</v>
      </c>
      <c r="V153" s="16"/>
      <c r="W153" s="16">
        <f t="shared" ca="1" si="8"/>
        <v>226</v>
      </c>
      <c r="X153" s="16" t="str">
        <f ca="1"/>
        <v>276-54-0879</v>
      </c>
      <c r="Y153" s="20">
        <f ca="1"/>
        <v>410.50799999999998</v>
      </c>
      <c r="Z153" s="16">
        <f ca="1"/>
        <v>4</v>
      </c>
      <c r="AA153" s="16"/>
      <c r="AB153" s="16"/>
      <c r="AC153" s="16"/>
      <c r="AE153" s="16"/>
    </row>
    <row r="154" spans="19:31" x14ac:dyDescent="0.3">
      <c r="S154" s="15" t="s">
        <v>701</v>
      </c>
      <c r="T154" s="13">
        <v>216.4365</v>
      </c>
      <c r="U154" s="16">
        <v>3</v>
      </c>
      <c r="V154" s="16"/>
      <c r="W154" s="16">
        <f t="shared" ca="1" si="8"/>
        <v>415</v>
      </c>
      <c r="X154" s="16" t="str">
        <f ca="1"/>
        <v>276-75-6884</v>
      </c>
      <c r="Y154" s="20">
        <f ca="1"/>
        <v>216.4365</v>
      </c>
      <c r="Z154" s="16">
        <f ca="1"/>
        <v>3</v>
      </c>
      <c r="AA154" s="16"/>
      <c r="AB154" s="16"/>
      <c r="AC154" s="16"/>
      <c r="AE154" s="16"/>
    </row>
    <row r="155" spans="19:31" x14ac:dyDescent="0.3">
      <c r="S155" s="15" t="s">
        <v>631</v>
      </c>
      <c r="T155" s="13">
        <v>935.26649999999995</v>
      </c>
      <c r="U155" s="16">
        <v>9</v>
      </c>
      <c r="V155" s="16"/>
      <c r="W155" s="16">
        <f t="shared" ca="1" si="8"/>
        <v>17</v>
      </c>
      <c r="X155" s="16" t="str">
        <f ca="1"/>
        <v>277-35-5865</v>
      </c>
      <c r="Y155" s="20">
        <f ca="1"/>
        <v>935.26649999999995</v>
      </c>
      <c r="Z155" s="16">
        <f ca="1"/>
        <v>9</v>
      </c>
      <c r="AA155" s="16"/>
      <c r="AB155" s="16"/>
      <c r="AC155" s="16"/>
      <c r="AE155" s="16"/>
    </row>
    <row r="156" spans="19:31" x14ac:dyDescent="0.3">
      <c r="S156" s="15" t="s">
        <v>533</v>
      </c>
      <c r="T156" s="13">
        <v>77.668499999999995</v>
      </c>
      <c r="U156" s="16">
        <v>1</v>
      </c>
      <c r="V156" s="16"/>
      <c r="W156" s="16">
        <f t="shared" ca="1" si="8"/>
        <v>643</v>
      </c>
      <c r="X156" s="16" t="str">
        <f ca="1"/>
        <v>277-63-2961</v>
      </c>
      <c r="Y156" s="20">
        <f ca="1"/>
        <v>77.668499999999995</v>
      </c>
      <c r="Z156" s="16">
        <f ca="1"/>
        <v>1</v>
      </c>
      <c r="AA156" s="16"/>
      <c r="AB156" s="16"/>
      <c r="AC156" s="16"/>
      <c r="AE156" s="16"/>
    </row>
    <row r="157" spans="19:31" x14ac:dyDescent="0.3">
      <c r="S157" s="15" t="s">
        <v>619</v>
      </c>
      <c r="T157" s="13">
        <v>164.87100000000001</v>
      </c>
      <c r="U157" s="16">
        <v>3</v>
      </c>
      <c r="V157" s="16"/>
      <c r="W157" s="16">
        <f t="shared" ca="1" si="8"/>
        <v>498</v>
      </c>
      <c r="X157" s="16" t="str">
        <f ca="1"/>
        <v>278-86-2735</v>
      </c>
      <c r="Y157" s="20">
        <f ca="1"/>
        <v>164.87100000000001</v>
      </c>
      <c r="Z157" s="16">
        <f ca="1"/>
        <v>3</v>
      </c>
      <c r="AA157" s="16"/>
      <c r="AB157" s="16"/>
      <c r="AC157" s="16"/>
      <c r="AE157" s="16"/>
    </row>
    <row r="158" spans="19:31" x14ac:dyDescent="0.3">
      <c r="S158" s="15" t="s">
        <v>325</v>
      </c>
      <c r="T158" s="13">
        <v>65.603999999999999</v>
      </c>
      <c r="U158" s="16">
        <v>1</v>
      </c>
      <c r="V158" s="16"/>
      <c r="W158" s="16">
        <f t="shared" ca="1" si="8"/>
        <v>672</v>
      </c>
      <c r="X158" s="16" t="str">
        <f ca="1"/>
        <v>278-97-7759</v>
      </c>
      <c r="Y158" s="20">
        <f ca="1"/>
        <v>65.603999999999999</v>
      </c>
      <c r="Z158" s="16">
        <f ca="1"/>
        <v>1</v>
      </c>
      <c r="AA158" s="16"/>
      <c r="AB158" s="16"/>
      <c r="AC158" s="16"/>
      <c r="AE158" s="16"/>
    </row>
    <row r="159" spans="19:31" x14ac:dyDescent="0.3">
      <c r="S159" s="15" t="s">
        <v>256</v>
      </c>
      <c r="T159" s="13">
        <v>13.167</v>
      </c>
      <c r="U159" s="16">
        <v>1</v>
      </c>
      <c r="V159" s="16"/>
      <c r="W159" s="16">
        <f t="shared" ca="1" si="8"/>
        <v>735</v>
      </c>
      <c r="X159" s="16" t="str">
        <f ca="1"/>
        <v>279-62-1445</v>
      </c>
      <c r="Y159" s="20">
        <f ca="1"/>
        <v>13.167</v>
      </c>
      <c r="Z159" s="16">
        <f ca="1"/>
        <v>1</v>
      </c>
      <c r="AA159" s="16"/>
      <c r="AB159" s="16"/>
      <c r="AC159" s="16"/>
      <c r="AE159" s="16"/>
    </row>
    <row r="160" spans="19:31" x14ac:dyDescent="0.3">
      <c r="S160" s="15" t="s">
        <v>189</v>
      </c>
      <c r="T160" s="13">
        <v>75.778499999999994</v>
      </c>
      <c r="U160" s="16">
        <v>1</v>
      </c>
      <c r="V160" s="16"/>
      <c r="W160" s="16">
        <f t="shared" ca="1" si="8"/>
        <v>651</v>
      </c>
      <c r="X160" s="16" t="str">
        <f ca="1"/>
        <v>279-74-2924</v>
      </c>
      <c r="Y160" s="20">
        <f ca="1"/>
        <v>75.778499999999994</v>
      </c>
      <c r="Z160" s="16">
        <f ca="1"/>
        <v>1</v>
      </c>
      <c r="AA160" s="16"/>
      <c r="AB160" s="16"/>
      <c r="AC160" s="16"/>
      <c r="AE160" s="16"/>
    </row>
    <row r="161" spans="19:31" x14ac:dyDescent="0.3">
      <c r="S161" s="15" t="s">
        <v>173</v>
      </c>
      <c r="T161" s="13">
        <v>950.25</v>
      </c>
      <c r="U161" s="16">
        <v>10</v>
      </c>
      <c r="V161" s="16"/>
      <c r="W161" s="16">
        <f t="shared" ca="1" si="8"/>
        <v>10</v>
      </c>
      <c r="X161" s="16" t="str">
        <f ca="1"/>
        <v>280-17-4359</v>
      </c>
      <c r="Y161" s="20">
        <f ca="1"/>
        <v>950.25</v>
      </c>
      <c r="Z161" s="16">
        <f ca="1"/>
        <v>10</v>
      </c>
      <c r="AA161" s="16"/>
      <c r="AB161" s="16"/>
      <c r="AC161" s="16"/>
      <c r="AE161" s="16"/>
    </row>
    <row r="162" spans="19:31" x14ac:dyDescent="0.3">
      <c r="S162" s="15" t="s">
        <v>72</v>
      </c>
      <c r="T162" s="13">
        <v>91.055999999999997</v>
      </c>
      <c r="U162" s="16">
        <v>1</v>
      </c>
      <c r="V162" s="16"/>
      <c r="W162" s="16">
        <f t="shared" ca="1" si="8"/>
        <v>616</v>
      </c>
      <c r="X162" s="16" t="str">
        <f ca="1"/>
        <v>280-35-5823</v>
      </c>
      <c r="Y162" s="20">
        <f ca="1"/>
        <v>91.055999999999997</v>
      </c>
      <c r="Z162" s="16">
        <f ca="1"/>
        <v>1</v>
      </c>
      <c r="AA162" s="16"/>
      <c r="AB162" s="16"/>
      <c r="AC162" s="16"/>
      <c r="AE162" s="16"/>
    </row>
    <row r="163" spans="19:31" x14ac:dyDescent="0.3">
      <c r="S163" s="15" t="s">
        <v>536</v>
      </c>
      <c r="T163" s="13">
        <v>195.95099999999999</v>
      </c>
      <c r="U163" s="16">
        <v>2</v>
      </c>
      <c r="V163" s="16"/>
      <c r="W163" s="16">
        <f t="shared" ca="1" si="8"/>
        <v>447</v>
      </c>
      <c r="X163" s="16" t="str">
        <f ca="1"/>
        <v>282-35-2475</v>
      </c>
      <c r="Y163" s="20">
        <f ca="1"/>
        <v>195.95099999999999</v>
      </c>
      <c r="Z163" s="16">
        <f ca="1"/>
        <v>2</v>
      </c>
      <c r="AA163" s="16"/>
      <c r="AB163" s="16"/>
      <c r="AC163" s="16"/>
      <c r="AE163" s="16"/>
    </row>
    <row r="164" spans="19:31" x14ac:dyDescent="0.3">
      <c r="S164" s="15" t="s">
        <v>590</v>
      </c>
      <c r="T164" s="13">
        <v>1034.46</v>
      </c>
      <c r="U164" s="16">
        <v>10</v>
      </c>
      <c r="V164" s="16"/>
      <c r="W164" s="16">
        <f t="shared" ca="1" si="8"/>
        <v>3</v>
      </c>
      <c r="X164" s="16" t="str">
        <f ca="1"/>
        <v>283-26-5248</v>
      </c>
      <c r="Y164" s="20">
        <f ca="1"/>
        <v>1034.46</v>
      </c>
      <c r="Z164" s="16">
        <f ca="1"/>
        <v>10</v>
      </c>
      <c r="AA164" s="16"/>
      <c r="AB164" s="16"/>
      <c r="AC164" s="16"/>
      <c r="AE164" s="16"/>
    </row>
    <row r="165" spans="19:31" x14ac:dyDescent="0.3">
      <c r="S165" s="15" t="s">
        <v>321</v>
      </c>
      <c r="T165" s="13">
        <v>356.54849999999999</v>
      </c>
      <c r="U165" s="16">
        <v>7</v>
      </c>
      <c r="V165" s="16"/>
      <c r="W165" s="16">
        <f t="shared" ca="1" si="8"/>
        <v>269</v>
      </c>
      <c r="X165" s="16" t="str">
        <f ca="1"/>
        <v>283-79-9594</v>
      </c>
      <c r="Y165" s="20">
        <f ca="1"/>
        <v>356.54849999999999</v>
      </c>
      <c r="Z165" s="16">
        <f ca="1"/>
        <v>7</v>
      </c>
      <c r="AA165" s="16"/>
      <c r="AB165" s="16"/>
      <c r="AC165" s="16"/>
      <c r="AE165" s="16"/>
    </row>
    <row r="166" spans="19:31" x14ac:dyDescent="0.3">
      <c r="S166" s="15" t="s">
        <v>223</v>
      </c>
      <c r="T166" s="13">
        <v>242.67599999999999</v>
      </c>
      <c r="U166" s="16">
        <v>3</v>
      </c>
      <c r="V166" s="16"/>
      <c r="W166" s="16">
        <f t="shared" ca="1" si="8"/>
        <v>386</v>
      </c>
      <c r="X166" s="16" t="str">
        <f ca="1"/>
        <v>284-34-9626</v>
      </c>
      <c r="Y166" s="20">
        <f ca="1"/>
        <v>242.67599999999999</v>
      </c>
      <c r="Z166" s="16">
        <f ca="1"/>
        <v>3</v>
      </c>
      <c r="AA166" s="16"/>
      <c r="AB166" s="16"/>
      <c r="AC166" s="16"/>
      <c r="AE166" s="16"/>
    </row>
    <row r="167" spans="19:31" x14ac:dyDescent="0.3">
      <c r="S167" s="15" t="s">
        <v>92</v>
      </c>
      <c r="T167" s="13">
        <v>77.930999999999997</v>
      </c>
      <c r="U167" s="16">
        <v>3</v>
      </c>
      <c r="V167" s="16"/>
      <c r="W167" s="16">
        <f t="shared" ca="1" si="8"/>
        <v>641</v>
      </c>
      <c r="X167" s="16" t="str">
        <f ca="1"/>
        <v>285-68-5083</v>
      </c>
      <c r="Y167" s="20">
        <f ca="1"/>
        <v>77.930999999999997</v>
      </c>
      <c r="Z167" s="16">
        <f ca="1"/>
        <v>3</v>
      </c>
      <c r="AA167" s="16"/>
      <c r="AB167" s="16"/>
      <c r="AC167" s="16"/>
      <c r="AE167" s="16"/>
    </row>
    <row r="168" spans="19:31" x14ac:dyDescent="0.3">
      <c r="S168" s="15" t="s">
        <v>339</v>
      </c>
      <c r="T168" s="13">
        <v>295.69049999999999</v>
      </c>
      <c r="U168" s="16">
        <v>7</v>
      </c>
      <c r="V168" s="16"/>
      <c r="W168" s="16">
        <f t="shared" ca="1" si="8"/>
        <v>327</v>
      </c>
      <c r="X168" s="16" t="str">
        <f ca="1"/>
        <v>286-01-5402</v>
      </c>
      <c r="Y168" s="20">
        <f ca="1"/>
        <v>295.69049999999999</v>
      </c>
      <c r="Z168" s="16">
        <f ca="1"/>
        <v>7</v>
      </c>
      <c r="AA168" s="16"/>
      <c r="AB168" s="16"/>
      <c r="AC168" s="16"/>
      <c r="AE168" s="16"/>
    </row>
    <row r="169" spans="19:31" x14ac:dyDescent="0.3">
      <c r="S169" s="15" t="s">
        <v>225</v>
      </c>
      <c r="T169" s="13">
        <v>829.71</v>
      </c>
      <c r="U169" s="16">
        <v>9</v>
      </c>
      <c r="V169" s="16"/>
      <c r="W169" s="16">
        <f t="shared" ca="1" si="8"/>
        <v>36</v>
      </c>
      <c r="X169" s="16" t="str">
        <f ca="1"/>
        <v>286-43-6208</v>
      </c>
      <c r="Y169" s="20">
        <f ca="1"/>
        <v>829.71</v>
      </c>
      <c r="Z169" s="16">
        <f ca="1"/>
        <v>9</v>
      </c>
      <c r="AA169" s="16"/>
      <c r="AB169" s="16"/>
      <c r="AC169" s="16"/>
      <c r="AE169" s="16"/>
    </row>
    <row r="170" spans="19:31" x14ac:dyDescent="0.3">
      <c r="S170" s="15" t="s">
        <v>559</v>
      </c>
      <c r="T170" s="13">
        <v>164.68199999999999</v>
      </c>
      <c r="U170" s="16">
        <v>4</v>
      </c>
      <c r="V170" s="16"/>
      <c r="W170" s="16">
        <f t="shared" ca="1" si="8"/>
        <v>499</v>
      </c>
      <c r="X170" s="16" t="str">
        <f ca="1"/>
        <v>286-62-6248</v>
      </c>
      <c r="Y170" s="20">
        <f ca="1"/>
        <v>164.68199999999999</v>
      </c>
      <c r="Z170" s="16">
        <f ca="1"/>
        <v>4</v>
      </c>
      <c r="AA170" s="16"/>
      <c r="AB170" s="16"/>
      <c r="AC170" s="16"/>
      <c r="AE170" s="16"/>
    </row>
    <row r="171" spans="19:31" x14ac:dyDescent="0.3">
      <c r="S171" s="15" t="s">
        <v>463</v>
      </c>
      <c r="T171" s="13">
        <v>145.06800000000001</v>
      </c>
      <c r="U171" s="16">
        <v>2</v>
      </c>
      <c r="V171" s="16"/>
      <c r="W171" s="16">
        <f t="shared" ca="1" si="8"/>
        <v>533</v>
      </c>
      <c r="X171" s="16" t="str">
        <f ca="1"/>
        <v>286-75-7818</v>
      </c>
      <c r="Y171" s="20">
        <f ca="1"/>
        <v>145.06800000000001</v>
      </c>
      <c r="Z171" s="16">
        <f ca="1"/>
        <v>2</v>
      </c>
      <c r="AA171" s="16"/>
      <c r="AB171" s="16"/>
      <c r="AC171" s="16"/>
      <c r="AE171" s="16"/>
    </row>
    <row r="172" spans="19:31" x14ac:dyDescent="0.3">
      <c r="S172" s="15" t="s">
        <v>106</v>
      </c>
      <c r="T172" s="13">
        <v>705.63149999999996</v>
      </c>
      <c r="U172" s="16">
        <v>9</v>
      </c>
      <c r="V172" s="16"/>
      <c r="W172" s="16">
        <f t="shared" ca="1" si="8"/>
        <v>82</v>
      </c>
      <c r="X172" s="16" t="str">
        <f ca="1"/>
        <v>287-21-9091</v>
      </c>
      <c r="Y172" s="20">
        <f ca="1"/>
        <v>705.63149999999996</v>
      </c>
      <c r="Z172" s="16">
        <f ca="1"/>
        <v>9</v>
      </c>
      <c r="AA172" s="16"/>
      <c r="AB172" s="16"/>
      <c r="AC172" s="16"/>
      <c r="AE172" s="16"/>
    </row>
    <row r="173" spans="19:31" x14ac:dyDescent="0.3">
      <c r="S173" s="15" t="s">
        <v>563</v>
      </c>
      <c r="T173" s="13">
        <v>160.209</v>
      </c>
      <c r="U173" s="16">
        <v>6</v>
      </c>
      <c r="V173" s="16"/>
      <c r="W173" s="16">
        <f t="shared" ca="1" si="8"/>
        <v>507</v>
      </c>
      <c r="X173" s="16" t="str">
        <f ca="1"/>
        <v>287-83-1405</v>
      </c>
      <c r="Y173" s="20">
        <f ca="1"/>
        <v>160.209</v>
      </c>
      <c r="Z173" s="16">
        <f ca="1"/>
        <v>6</v>
      </c>
      <c r="AA173" s="16"/>
      <c r="AB173" s="16"/>
      <c r="AC173" s="16"/>
      <c r="AE173" s="16"/>
    </row>
    <row r="174" spans="19:31" x14ac:dyDescent="0.3">
      <c r="S174" s="15" t="s">
        <v>705</v>
      </c>
      <c r="T174" s="13">
        <v>202.33500000000001</v>
      </c>
      <c r="U174" s="16">
        <v>5</v>
      </c>
      <c r="V174" s="16"/>
      <c r="W174" s="16">
        <f t="shared" ca="1" si="8"/>
        <v>443</v>
      </c>
      <c r="X174" s="16" t="str">
        <f ca="1"/>
        <v>288-62-1085</v>
      </c>
      <c r="Y174" s="20">
        <f ca="1"/>
        <v>202.33500000000001</v>
      </c>
      <c r="Z174" s="16">
        <f ca="1"/>
        <v>5</v>
      </c>
      <c r="AA174" s="16"/>
      <c r="AB174" s="16"/>
      <c r="AC174" s="16"/>
      <c r="AE174" s="16"/>
    </row>
    <row r="175" spans="19:31" x14ac:dyDescent="0.3">
      <c r="S175" s="15" t="s">
        <v>413</v>
      </c>
      <c r="T175" s="13">
        <v>345.786</v>
      </c>
      <c r="U175" s="16">
        <v>4</v>
      </c>
      <c r="V175" s="16"/>
      <c r="W175" s="16">
        <f t="shared" ca="1" si="8"/>
        <v>281</v>
      </c>
      <c r="X175" s="16" t="str">
        <f ca="1"/>
        <v>289-15-7034</v>
      </c>
      <c r="Y175" s="20">
        <f ca="1"/>
        <v>345.786</v>
      </c>
      <c r="Z175" s="16">
        <f ca="1"/>
        <v>4</v>
      </c>
      <c r="AA175" s="16"/>
      <c r="AB175" s="16"/>
      <c r="AC175" s="16"/>
      <c r="AE175" s="16"/>
    </row>
    <row r="176" spans="19:31" x14ac:dyDescent="0.3">
      <c r="S176" s="15" t="s">
        <v>263</v>
      </c>
      <c r="T176" s="13">
        <v>170.87700000000001</v>
      </c>
      <c r="U176" s="16">
        <v>2</v>
      </c>
      <c r="V176" s="16"/>
      <c r="W176" s="16">
        <f t="shared" ca="1" si="8"/>
        <v>489</v>
      </c>
      <c r="X176" s="16" t="str">
        <f ca="1"/>
        <v>289-65-5721</v>
      </c>
      <c r="Y176" s="20">
        <f ca="1"/>
        <v>170.87700000000001</v>
      </c>
      <c r="Z176" s="16">
        <f ca="1"/>
        <v>2</v>
      </c>
      <c r="AA176" s="16"/>
      <c r="AB176" s="16"/>
      <c r="AC176" s="16"/>
      <c r="AE176" s="16"/>
    </row>
    <row r="177" spans="19:31" x14ac:dyDescent="0.3">
      <c r="S177" s="15" t="s">
        <v>286</v>
      </c>
      <c r="T177" s="13">
        <v>99.75</v>
      </c>
      <c r="U177" s="16">
        <v>4</v>
      </c>
      <c r="V177" s="16"/>
      <c r="W177" s="16">
        <f t="shared" ca="1" si="8"/>
        <v>595</v>
      </c>
      <c r="X177" s="16" t="str">
        <f ca="1"/>
        <v>290-68-2984</v>
      </c>
      <c r="Y177" s="20">
        <f ca="1"/>
        <v>99.75</v>
      </c>
      <c r="Z177" s="16">
        <f ca="1"/>
        <v>4</v>
      </c>
      <c r="AA177" s="16"/>
      <c r="AB177" s="16"/>
      <c r="AC177" s="16"/>
      <c r="AE177" s="16"/>
    </row>
    <row r="178" spans="19:31" x14ac:dyDescent="0.3">
      <c r="S178" s="15" t="s">
        <v>541</v>
      </c>
      <c r="T178" s="13">
        <v>321.77249999999998</v>
      </c>
      <c r="U178" s="16">
        <v>5</v>
      </c>
      <c r="V178" s="16"/>
      <c r="W178" s="16">
        <f t="shared" ca="1" si="8"/>
        <v>303</v>
      </c>
      <c r="X178" s="16" t="str">
        <f ca="1"/>
        <v>291-21-5991</v>
      </c>
      <c r="Y178" s="20">
        <f ca="1"/>
        <v>321.77249999999998</v>
      </c>
      <c r="Z178" s="16">
        <f ca="1"/>
        <v>5</v>
      </c>
      <c r="AA178" s="16"/>
      <c r="AB178" s="16"/>
      <c r="AC178" s="16"/>
      <c r="AE178" s="16"/>
    </row>
    <row r="179" spans="19:31" x14ac:dyDescent="0.3">
      <c r="S179" s="15" t="s">
        <v>148</v>
      </c>
      <c r="T179" s="13">
        <v>115.185</v>
      </c>
      <c r="U179" s="16">
        <v>5</v>
      </c>
      <c r="V179" s="16"/>
      <c r="W179" s="16">
        <f t="shared" ca="1" si="8"/>
        <v>576</v>
      </c>
      <c r="X179" s="16" t="str">
        <f ca="1"/>
        <v>291-32-1427</v>
      </c>
      <c r="Y179" s="20">
        <f ca="1"/>
        <v>115.185</v>
      </c>
      <c r="Z179" s="16">
        <f ca="1"/>
        <v>5</v>
      </c>
      <c r="AA179" s="16"/>
      <c r="AB179" s="16"/>
      <c r="AC179" s="16"/>
      <c r="AE179" s="16"/>
    </row>
    <row r="180" spans="19:31" x14ac:dyDescent="0.3">
      <c r="S180" s="15" t="s">
        <v>481</v>
      </c>
      <c r="T180" s="13">
        <v>28.423500000000001</v>
      </c>
      <c r="U180" s="16">
        <v>1</v>
      </c>
      <c r="V180" s="16"/>
      <c r="W180" s="16">
        <f t="shared" ca="1" si="8"/>
        <v>717</v>
      </c>
      <c r="X180" s="16" t="str">
        <f ca="1"/>
        <v>296-11-7041</v>
      </c>
      <c r="Y180" s="20">
        <f ca="1"/>
        <v>28.423500000000001</v>
      </c>
      <c r="Z180" s="16">
        <f ca="1"/>
        <v>1</v>
      </c>
      <c r="AA180" s="16"/>
      <c r="AB180" s="16"/>
      <c r="AC180" s="16"/>
      <c r="AE180" s="16"/>
    </row>
    <row r="181" spans="19:31" x14ac:dyDescent="0.3">
      <c r="S181" s="15" t="s">
        <v>669</v>
      </c>
      <c r="T181" s="13">
        <v>383.52300000000002</v>
      </c>
      <c r="U181" s="16">
        <v>7</v>
      </c>
      <c r="V181" s="16"/>
      <c r="W181" s="16">
        <f t="shared" ca="1" si="8"/>
        <v>251</v>
      </c>
      <c r="X181" s="16" t="str">
        <f ca="1"/>
        <v>299-29-0180</v>
      </c>
      <c r="Y181" s="20">
        <f ca="1"/>
        <v>383.52300000000002</v>
      </c>
      <c r="Z181" s="16">
        <f ca="1"/>
        <v>7</v>
      </c>
      <c r="AA181" s="16"/>
      <c r="AB181" s="16"/>
      <c r="AC181" s="16"/>
      <c r="AE181" s="16"/>
    </row>
    <row r="182" spans="19:31" x14ac:dyDescent="0.3">
      <c r="S182" s="15" t="s">
        <v>47</v>
      </c>
      <c r="T182" s="13">
        <v>590.43600000000004</v>
      </c>
      <c r="U182" s="16">
        <v>6</v>
      </c>
      <c r="V182" s="16"/>
      <c r="W182" s="16">
        <f t="shared" ca="1" si="8"/>
        <v>118</v>
      </c>
      <c r="X182" s="16" t="str">
        <f ca="1"/>
        <v>299-46-1805</v>
      </c>
      <c r="Y182" s="20">
        <f ca="1"/>
        <v>590.43600000000004</v>
      </c>
      <c r="Z182" s="16">
        <f ca="1"/>
        <v>6</v>
      </c>
      <c r="AA182" s="16"/>
      <c r="AB182" s="16"/>
      <c r="AC182" s="16"/>
      <c r="AE182" s="16"/>
    </row>
    <row r="183" spans="19:31" x14ac:dyDescent="0.3">
      <c r="S183" s="15" t="s">
        <v>52</v>
      </c>
      <c r="T183" s="13">
        <v>451.71</v>
      </c>
      <c r="U183" s="16">
        <v>5</v>
      </c>
      <c r="V183" s="16"/>
      <c r="W183" s="16">
        <f t="shared" ca="1" si="8"/>
        <v>204</v>
      </c>
      <c r="X183" s="16" t="str">
        <f ca="1"/>
        <v>300-71-4605</v>
      </c>
      <c r="Y183" s="20">
        <f ca="1"/>
        <v>451.71</v>
      </c>
      <c r="Z183" s="16">
        <f ca="1"/>
        <v>5</v>
      </c>
      <c r="AA183" s="16"/>
      <c r="AB183" s="16"/>
      <c r="AC183" s="16"/>
      <c r="AE183" s="16"/>
    </row>
    <row r="184" spans="19:31" x14ac:dyDescent="0.3">
      <c r="S184" s="15" t="s">
        <v>477</v>
      </c>
      <c r="T184" s="13">
        <v>140.38499999999999</v>
      </c>
      <c r="U184" s="16">
        <v>7</v>
      </c>
      <c r="V184" s="16"/>
      <c r="W184" s="16">
        <f t="shared" ca="1" si="8"/>
        <v>541</v>
      </c>
      <c r="X184" s="16" t="str">
        <f ca="1"/>
        <v>301-11-9629</v>
      </c>
      <c r="Y184" s="20">
        <f ca="1"/>
        <v>140.38499999999999</v>
      </c>
      <c r="Z184" s="16">
        <f ca="1"/>
        <v>7</v>
      </c>
      <c r="AA184" s="16"/>
      <c r="AB184" s="16"/>
      <c r="AC184" s="16"/>
      <c r="AE184" s="16"/>
    </row>
    <row r="185" spans="19:31" x14ac:dyDescent="0.3">
      <c r="S185" s="15" t="s">
        <v>456</v>
      </c>
      <c r="T185" s="13">
        <v>213.52799999999999</v>
      </c>
      <c r="U185" s="16">
        <v>8</v>
      </c>
      <c r="V185" s="16"/>
      <c r="W185" s="16">
        <f t="shared" ca="1" si="8"/>
        <v>420</v>
      </c>
      <c r="X185" s="16" t="str">
        <f ca="1"/>
        <v>301-81-8610</v>
      </c>
      <c r="Y185" s="20">
        <f ca="1"/>
        <v>213.52799999999999</v>
      </c>
      <c r="Z185" s="16">
        <f ca="1"/>
        <v>8</v>
      </c>
      <c r="AA185" s="16"/>
      <c r="AB185" s="16"/>
      <c r="AC185" s="16"/>
      <c r="AE185" s="16"/>
    </row>
    <row r="186" spans="19:31" x14ac:dyDescent="0.3">
      <c r="S186" s="15" t="s">
        <v>623</v>
      </c>
      <c r="T186" s="13">
        <v>293.13900000000001</v>
      </c>
      <c r="U186" s="16">
        <v>6</v>
      </c>
      <c r="V186" s="16"/>
      <c r="W186" s="16">
        <f t="shared" ca="1" si="8"/>
        <v>330</v>
      </c>
      <c r="X186" s="16" t="str">
        <f ca="1"/>
        <v>302-15-2162</v>
      </c>
      <c r="Y186" s="20">
        <f ca="1"/>
        <v>293.13900000000001</v>
      </c>
      <c r="Z186" s="16">
        <f ca="1"/>
        <v>6</v>
      </c>
      <c r="AA186" s="16"/>
      <c r="AB186" s="16"/>
      <c r="AC186" s="16"/>
      <c r="AE186" s="16"/>
    </row>
    <row r="187" spans="19:31" x14ac:dyDescent="0.3">
      <c r="S187" s="15" t="s">
        <v>767</v>
      </c>
      <c r="T187" s="13">
        <v>1022.49</v>
      </c>
      <c r="U187" s="16">
        <v>10</v>
      </c>
      <c r="V187" s="16"/>
      <c r="W187" s="16">
        <f t="shared" ca="1" si="8"/>
        <v>5</v>
      </c>
      <c r="X187" s="16" t="str">
        <f ca="1"/>
        <v>303-96-2227</v>
      </c>
      <c r="Y187" s="20">
        <f ca="1"/>
        <v>1022.49</v>
      </c>
      <c r="Z187" s="16">
        <f ca="1"/>
        <v>10</v>
      </c>
      <c r="AA187" s="16"/>
      <c r="AB187" s="16"/>
      <c r="AC187" s="16"/>
      <c r="AE187" s="16"/>
    </row>
    <row r="188" spans="19:31" x14ac:dyDescent="0.3">
      <c r="S188" s="15" t="s">
        <v>219</v>
      </c>
      <c r="T188" s="13">
        <v>793.71600000000001</v>
      </c>
      <c r="U188" s="16">
        <v>8</v>
      </c>
      <c r="V188" s="16"/>
      <c r="W188" s="16">
        <f t="shared" ca="1" si="8"/>
        <v>46</v>
      </c>
      <c r="X188" s="16" t="str">
        <f ca="1"/>
        <v>305-14-0245</v>
      </c>
      <c r="Y188" s="20">
        <f ca="1"/>
        <v>793.71600000000001</v>
      </c>
      <c r="Z188" s="16">
        <f ca="1"/>
        <v>8</v>
      </c>
      <c r="AA188" s="16"/>
      <c r="AB188" s="16"/>
      <c r="AC188" s="16"/>
      <c r="AE188" s="16"/>
    </row>
    <row r="189" spans="19:31" x14ac:dyDescent="0.3">
      <c r="S189" s="15" t="s">
        <v>516</v>
      </c>
      <c r="T189" s="13">
        <v>633.99</v>
      </c>
      <c r="U189" s="16">
        <v>10</v>
      </c>
      <c r="V189" s="16"/>
      <c r="W189" s="16">
        <f t="shared" ca="1" si="8"/>
        <v>99</v>
      </c>
      <c r="X189" s="16" t="str">
        <f ca="1"/>
        <v>305-18-3552</v>
      </c>
      <c r="Y189" s="20">
        <f ca="1"/>
        <v>633.99</v>
      </c>
      <c r="Z189" s="16">
        <f ca="1"/>
        <v>10</v>
      </c>
      <c r="AA189" s="16"/>
      <c r="AB189" s="16"/>
      <c r="AC189" s="16"/>
      <c r="AE189" s="16"/>
    </row>
    <row r="190" spans="19:31" x14ac:dyDescent="0.3">
      <c r="S190" s="15" t="s">
        <v>745</v>
      </c>
      <c r="T190" s="13">
        <v>68.984999999999999</v>
      </c>
      <c r="U190" s="16">
        <v>3</v>
      </c>
      <c r="V190" s="16"/>
      <c r="W190" s="16">
        <f t="shared" ca="1" si="8"/>
        <v>668</v>
      </c>
      <c r="X190" s="16" t="str">
        <f ca="1"/>
        <v>305-89-2768</v>
      </c>
      <c r="Y190" s="20">
        <f ca="1"/>
        <v>68.984999999999999</v>
      </c>
      <c r="Z190" s="16">
        <f ca="1"/>
        <v>3</v>
      </c>
      <c r="AA190" s="16"/>
      <c r="AB190" s="16"/>
      <c r="AC190" s="16"/>
      <c r="AE190" s="16"/>
    </row>
    <row r="191" spans="19:31" x14ac:dyDescent="0.3">
      <c r="S191" s="15" t="s">
        <v>689</v>
      </c>
      <c r="T191" s="13">
        <v>32.151000000000003</v>
      </c>
      <c r="U191" s="16">
        <v>1</v>
      </c>
      <c r="V191" s="16"/>
      <c r="W191" s="16">
        <f t="shared" ca="1" si="8"/>
        <v>712</v>
      </c>
      <c r="X191" s="16" t="str">
        <f ca="1"/>
        <v>307-04-2070</v>
      </c>
      <c r="Y191" s="20">
        <f ca="1"/>
        <v>32.151000000000003</v>
      </c>
      <c r="Z191" s="16">
        <f ca="1"/>
        <v>1</v>
      </c>
      <c r="AA191" s="16"/>
      <c r="AB191" s="16"/>
      <c r="AC191" s="16"/>
      <c r="AE191" s="16"/>
    </row>
    <row r="192" spans="19:31" x14ac:dyDescent="0.3">
      <c r="S192" s="15" t="s">
        <v>331</v>
      </c>
      <c r="T192" s="13">
        <v>252.042</v>
      </c>
      <c r="U192" s="16">
        <v>4</v>
      </c>
      <c r="V192" s="16"/>
      <c r="W192" s="16">
        <f t="shared" ca="1" si="8"/>
        <v>379</v>
      </c>
      <c r="X192" s="16" t="str">
        <f ca="1"/>
        <v>307-83-9164</v>
      </c>
      <c r="Y192" s="20">
        <f ca="1"/>
        <v>252.042</v>
      </c>
      <c r="Z192" s="16">
        <f ca="1"/>
        <v>4</v>
      </c>
      <c r="AA192" s="16"/>
      <c r="AB192" s="16"/>
      <c r="AC192" s="16"/>
      <c r="AE192" s="16"/>
    </row>
    <row r="193" spans="19:31" x14ac:dyDescent="0.3">
      <c r="S193" s="15" t="s">
        <v>190</v>
      </c>
      <c r="T193" s="13">
        <v>263.97000000000003</v>
      </c>
      <c r="U193" s="16">
        <v>5</v>
      </c>
      <c r="V193" s="16"/>
      <c r="W193" s="16">
        <f t="shared" ca="1" si="8"/>
        <v>365</v>
      </c>
      <c r="X193" s="16" t="str">
        <f ca="1"/>
        <v>307-85-2293</v>
      </c>
      <c r="Y193" s="20">
        <f ca="1"/>
        <v>263.97000000000003</v>
      </c>
      <c r="Z193" s="16">
        <f ca="1"/>
        <v>5</v>
      </c>
      <c r="AA193" s="16"/>
      <c r="AB193" s="16"/>
      <c r="AC193" s="16"/>
      <c r="AE193" s="16"/>
    </row>
    <row r="194" spans="19:31" x14ac:dyDescent="0.3">
      <c r="S194" s="15" t="s">
        <v>426</v>
      </c>
      <c r="T194" s="13">
        <v>548.73</v>
      </c>
      <c r="U194" s="16">
        <v>10</v>
      </c>
      <c r="V194" s="16"/>
      <c r="W194" s="16">
        <f t="shared" ca="1" si="8"/>
        <v>138</v>
      </c>
      <c r="X194" s="16" t="str">
        <f ca="1"/>
        <v>308-47-4913</v>
      </c>
      <c r="Y194" s="20">
        <f ca="1"/>
        <v>548.73</v>
      </c>
      <c r="Z194" s="16">
        <f ca="1"/>
        <v>10</v>
      </c>
      <c r="AA194" s="16"/>
      <c r="AB194" s="16"/>
      <c r="AC194" s="16"/>
      <c r="AE194" s="16"/>
    </row>
    <row r="195" spans="19:31" x14ac:dyDescent="0.3">
      <c r="S195" s="15" t="s">
        <v>571</v>
      </c>
      <c r="T195" s="13">
        <v>306.81</v>
      </c>
      <c r="U195" s="16">
        <v>4</v>
      </c>
      <c r="V195" s="16"/>
      <c r="W195" s="16">
        <f t="shared" ref="W195:W258" ca="1" si="9">RANK(Y:Y,Y:Y)</f>
        <v>318</v>
      </c>
      <c r="X195" s="16" t="str">
        <f ca="1"/>
        <v>308-81-0538</v>
      </c>
      <c r="Y195" s="20">
        <f ca="1"/>
        <v>306.81</v>
      </c>
      <c r="Z195" s="16">
        <f ca="1"/>
        <v>4</v>
      </c>
      <c r="AA195" s="16"/>
      <c r="AB195" s="16"/>
      <c r="AC195" s="16"/>
      <c r="AE195" s="16"/>
    </row>
    <row r="196" spans="19:31" x14ac:dyDescent="0.3">
      <c r="S196" s="15" t="s">
        <v>35</v>
      </c>
      <c r="T196" s="13">
        <v>772.38</v>
      </c>
      <c r="U196" s="16">
        <v>10</v>
      </c>
      <c r="V196" s="16"/>
      <c r="W196" s="16">
        <f t="shared" ca="1" si="9"/>
        <v>53</v>
      </c>
      <c r="X196" s="16" t="str">
        <f ca="1"/>
        <v>315-22-5665</v>
      </c>
      <c r="Y196" s="20">
        <f ca="1"/>
        <v>772.38</v>
      </c>
      <c r="Z196" s="16">
        <f ca="1"/>
        <v>10</v>
      </c>
      <c r="AA196" s="16"/>
      <c r="AB196" s="16"/>
      <c r="AC196" s="16"/>
      <c r="AE196" s="16"/>
    </row>
    <row r="197" spans="19:31" x14ac:dyDescent="0.3">
      <c r="S197" s="15" t="s">
        <v>429</v>
      </c>
      <c r="T197" s="13">
        <v>284.91750000000002</v>
      </c>
      <c r="U197" s="16">
        <v>5</v>
      </c>
      <c r="V197" s="16"/>
      <c r="W197" s="16">
        <f t="shared" ca="1" si="9"/>
        <v>339</v>
      </c>
      <c r="X197" s="16" t="str">
        <f ca="1"/>
        <v>316-01-3952</v>
      </c>
      <c r="Y197" s="20">
        <f ca="1"/>
        <v>284.91750000000002</v>
      </c>
      <c r="Z197" s="16">
        <f ca="1"/>
        <v>5</v>
      </c>
      <c r="AA197" s="16"/>
      <c r="AB197" s="16"/>
      <c r="AC197" s="16"/>
      <c r="AE197" s="16"/>
    </row>
    <row r="198" spans="19:31" x14ac:dyDescent="0.3">
      <c r="S198" s="15" t="s">
        <v>204</v>
      </c>
      <c r="T198" s="13">
        <v>420.26249999999999</v>
      </c>
      <c r="U198" s="16">
        <v>5</v>
      </c>
      <c r="V198" s="16"/>
      <c r="W198" s="16">
        <f t="shared" ca="1" si="9"/>
        <v>219</v>
      </c>
      <c r="X198" s="16" t="str">
        <f ca="1"/>
        <v>316-55-4634</v>
      </c>
      <c r="Y198" s="20">
        <f ca="1"/>
        <v>420.26249999999999</v>
      </c>
      <c r="Z198" s="16">
        <f ca="1"/>
        <v>5</v>
      </c>
      <c r="AA198" s="16"/>
      <c r="AB198" s="16"/>
      <c r="AC198" s="16"/>
      <c r="AE198" s="16"/>
    </row>
    <row r="199" spans="19:31" x14ac:dyDescent="0.3">
      <c r="S199" s="15" t="s">
        <v>326</v>
      </c>
      <c r="T199" s="13">
        <v>76.355999999999995</v>
      </c>
      <c r="U199" s="16">
        <v>2</v>
      </c>
      <c r="V199" s="16"/>
      <c r="W199" s="16">
        <f t="shared" ca="1" si="9"/>
        <v>648</v>
      </c>
      <c r="X199" s="16" t="str">
        <f ca="1"/>
        <v>316-68-6352</v>
      </c>
      <c r="Y199" s="20">
        <f ca="1"/>
        <v>76.355999999999995</v>
      </c>
      <c r="Z199" s="16">
        <f ca="1"/>
        <v>2</v>
      </c>
      <c r="AA199" s="16"/>
      <c r="AB199" s="16"/>
      <c r="AC199" s="16"/>
      <c r="AE199" s="16"/>
    </row>
    <row r="200" spans="19:31" x14ac:dyDescent="0.3">
      <c r="S200" s="15" t="s">
        <v>121</v>
      </c>
      <c r="T200" s="13">
        <v>485.03699999999998</v>
      </c>
      <c r="U200" s="16">
        <v>6</v>
      </c>
      <c r="V200" s="16"/>
      <c r="W200" s="16">
        <f t="shared" ca="1" si="9"/>
        <v>178</v>
      </c>
      <c r="X200" s="16" t="str">
        <f ca="1"/>
        <v>318-68-5053</v>
      </c>
      <c r="Y200" s="20">
        <f ca="1"/>
        <v>485.03699999999998</v>
      </c>
      <c r="Z200" s="16">
        <f ca="1"/>
        <v>6</v>
      </c>
      <c r="AA200" s="16"/>
      <c r="AB200" s="16"/>
      <c r="AC200" s="16"/>
      <c r="AE200" s="16"/>
    </row>
    <row r="201" spans="19:31" x14ac:dyDescent="0.3">
      <c r="S201" s="15" t="s">
        <v>51</v>
      </c>
      <c r="T201" s="13">
        <v>84.63</v>
      </c>
      <c r="U201" s="16">
        <v>2</v>
      </c>
      <c r="V201" s="16"/>
      <c r="W201" s="16">
        <f t="shared" ca="1" si="9"/>
        <v>626</v>
      </c>
      <c r="X201" s="16" t="str">
        <f ca="1"/>
        <v>319-50-3348</v>
      </c>
      <c r="Y201" s="20">
        <f ca="1"/>
        <v>84.63</v>
      </c>
      <c r="Z201" s="16">
        <f ca="1"/>
        <v>2</v>
      </c>
      <c r="AA201" s="16"/>
      <c r="AB201" s="16"/>
      <c r="AC201" s="16"/>
      <c r="AE201" s="16"/>
    </row>
    <row r="202" spans="19:31" x14ac:dyDescent="0.3">
      <c r="S202" s="15" t="s">
        <v>250</v>
      </c>
      <c r="T202" s="13">
        <v>298.11599999999999</v>
      </c>
      <c r="U202" s="16">
        <v>3</v>
      </c>
      <c r="V202" s="16"/>
      <c r="W202" s="16">
        <f t="shared" ca="1" si="9"/>
        <v>324</v>
      </c>
      <c r="X202" s="16" t="str">
        <f ca="1"/>
        <v>319-74-2561</v>
      </c>
      <c r="Y202" s="20">
        <f ca="1"/>
        <v>298.11599999999999</v>
      </c>
      <c r="Z202" s="16">
        <f ca="1"/>
        <v>3</v>
      </c>
      <c r="AA202" s="16"/>
      <c r="AB202" s="16"/>
      <c r="AC202" s="16"/>
      <c r="AE202" s="16"/>
    </row>
    <row r="203" spans="19:31" x14ac:dyDescent="0.3">
      <c r="S203" s="15" t="s">
        <v>496</v>
      </c>
      <c r="T203" s="13">
        <v>23.751000000000001</v>
      </c>
      <c r="U203" s="16">
        <v>1</v>
      </c>
      <c r="V203" s="16"/>
      <c r="W203" s="16">
        <f t="shared" ca="1" si="9"/>
        <v>724</v>
      </c>
      <c r="X203" s="16" t="str">
        <f ca="1"/>
        <v>320-32-8842</v>
      </c>
      <c r="Y203" s="20">
        <f ca="1"/>
        <v>23.751000000000001</v>
      </c>
      <c r="Z203" s="16">
        <f ca="1"/>
        <v>1</v>
      </c>
      <c r="AA203" s="16"/>
      <c r="AB203" s="16"/>
      <c r="AC203" s="16"/>
      <c r="AE203" s="16"/>
    </row>
    <row r="204" spans="19:31" x14ac:dyDescent="0.3">
      <c r="S204" s="15" t="s">
        <v>387</v>
      </c>
      <c r="T204" s="13">
        <v>31.751999999999999</v>
      </c>
      <c r="U204" s="16">
        <v>1</v>
      </c>
      <c r="V204" s="16"/>
      <c r="W204" s="16">
        <f t="shared" ca="1" si="9"/>
        <v>714</v>
      </c>
      <c r="X204" s="16" t="str">
        <f ca="1"/>
        <v>320-49-6392</v>
      </c>
      <c r="Y204" s="20">
        <f ca="1"/>
        <v>31.751999999999999</v>
      </c>
      <c r="Z204" s="16">
        <f ca="1"/>
        <v>1</v>
      </c>
      <c r="AA204" s="16"/>
      <c r="AB204" s="16"/>
      <c r="AC204" s="16"/>
      <c r="AE204" s="16"/>
    </row>
    <row r="205" spans="19:31" x14ac:dyDescent="0.3">
      <c r="S205" s="15" t="s">
        <v>641</v>
      </c>
      <c r="T205" s="13">
        <v>135.35550000000001</v>
      </c>
      <c r="U205" s="16">
        <v>3</v>
      </c>
      <c r="V205" s="16"/>
      <c r="W205" s="16">
        <f t="shared" ca="1" si="9"/>
        <v>549</v>
      </c>
      <c r="X205" s="16" t="str">
        <f ca="1"/>
        <v>322-02-2271</v>
      </c>
      <c r="Y205" s="20">
        <f ca="1"/>
        <v>135.35550000000001</v>
      </c>
      <c r="Z205" s="16">
        <f ca="1"/>
        <v>3</v>
      </c>
      <c r="AA205" s="16"/>
      <c r="AB205" s="16"/>
      <c r="AC205" s="16"/>
      <c r="AE205" s="16"/>
    </row>
    <row r="206" spans="19:31" x14ac:dyDescent="0.3">
      <c r="S206" s="15" t="s">
        <v>695</v>
      </c>
      <c r="T206" s="13">
        <v>253.68</v>
      </c>
      <c r="U206" s="16">
        <v>8</v>
      </c>
      <c r="V206" s="16"/>
      <c r="W206" s="16">
        <f t="shared" ca="1" si="9"/>
        <v>374</v>
      </c>
      <c r="X206" s="16" t="str">
        <f ca="1"/>
        <v>324-41-6833</v>
      </c>
      <c r="Y206" s="20">
        <f ca="1"/>
        <v>253.68</v>
      </c>
      <c r="Z206" s="16">
        <f ca="1"/>
        <v>8</v>
      </c>
      <c r="AA206" s="16"/>
      <c r="AB206" s="16"/>
      <c r="AC206" s="16"/>
      <c r="AE206" s="16"/>
    </row>
    <row r="207" spans="19:31" x14ac:dyDescent="0.3">
      <c r="S207" s="15" t="s">
        <v>751</v>
      </c>
      <c r="T207" s="13">
        <v>43.869</v>
      </c>
      <c r="U207" s="16">
        <v>2</v>
      </c>
      <c r="V207" s="16"/>
      <c r="W207" s="16">
        <f t="shared" ca="1" si="9"/>
        <v>696</v>
      </c>
      <c r="X207" s="16" t="str">
        <f ca="1"/>
        <v>324-92-3863</v>
      </c>
      <c r="Y207" s="20">
        <f ca="1"/>
        <v>43.869</v>
      </c>
      <c r="Z207" s="16">
        <f ca="1"/>
        <v>2</v>
      </c>
      <c r="AA207" s="16"/>
      <c r="AB207" s="16"/>
      <c r="AC207" s="16"/>
      <c r="AE207" s="16"/>
    </row>
    <row r="208" spans="19:31" x14ac:dyDescent="0.3">
      <c r="S208" s="15" t="s">
        <v>462</v>
      </c>
      <c r="T208" s="13">
        <v>951.82500000000005</v>
      </c>
      <c r="U208" s="16">
        <v>10</v>
      </c>
      <c r="V208" s="16"/>
      <c r="W208" s="16">
        <f t="shared" ca="1" si="9"/>
        <v>9</v>
      </c>
      <c r="X208" s="16" t="str">
        <f ca="1"/>
        <v>325-77-6186</v>
      </c>
      <c r="Y208" s="20">
        <f ca="1"/>
        <v>951.82500000000005</v>
      </c>
      <c r="Z208" s="16">
        <f ca="1"/>
        <v>10</v>
      </c>
      <c r="AA208" s="16"/>
      <c r="AB208" s="16"/>
      <c r="AC208" s="16"/>
      <c r="AE208" s="16"/>
    </row>
    <row r="209" spans="19:31" x14ac:dyDescent="0.3">
      <c r="S209" s="15" t="s">
        <v>719</v>
      </c>
      <c r="T209" s="13">
        <v>92.295000000000002</v>
      </c>
      <c r="U209" s="16">
        <v>1</v>
      </c>
      <c r="V209" s="16"/>
      <c r="W209" s="16">
        <f t="shared" ca="1" si="9"/>
        <v>612</v>
      </c>
      <c r="X209" s="16" t="str">
        <f ca="1"/>
        <v>325-89-4209</v>
      </c>
      <c r="Y209" s="20">
        <f ca="1"/>
        <v>92.295000000000002</v>
      </c>
      <c r="Z209" s="16">
        <f ca="1"/>
        <v>1</v>
      </c>
      <c r="AA209" s="16"/>
      <c r="AB209" s="16"/>
      <c r="AC209" s="16"/>
      <c r="AE209" s="16"/>
    </row>
    <row r="210" spans="19:31" x14ac:dyDescent="0.3">
      <c r="S210" s="15" t="s">
        <v>491</v>
      </c>
      <c r="T210" s="13">
        <v>488.98500000000001</v>
      </c>
      <c r="U210" s="16">
        <v>10</v>
      </c>
      <c r="V210" s="16"/>
      <c r="W210" s="16">
        <f t="shared" ca="1" si="9"/>
        <v>175</v>
      </c>
      <c r="X210" s="16" t="str">
        <f ca="1"/>
        <v>325-90-8763</v>
      </c>
      <c r="Y210" s="20">
        <f ca="1"/>
        <v>488.98500000000001</v>
      </c>
      <c r="Z210" s="16">
        <f ca="1"/>
        <v>10</v>
      </c>
      <c r="AA210" s="16"/>
      <c r="AB210" s="16"/>
      <c r="AC210" s="16"/>
      <c r="AE210" s="16"/>
    </row>
    <row r="211" spans="19:31" x14ac:dyDescent="0.3">
      <c r="S211" s="15" t="s">
        <v>495</v>
      </c>
      <c r="T211" s="13">
        <v>310.58999999999997</v>
      </c>
      <c r="U211" s="16">
        <v>4</v>
      </c>
      <c r="V211" s="16"/>
      <c r="W211" s="16">
        <f t="shared" ca="1" si="9"/>
        <v>314</v>
      </c>
      <c r="X211" s="16" t="str">
        <f ca="1"/>
        <v>326-71-2155</v>
      </c>
      <c r="Y211" s="20">
        <f ca="1"/>
        <v>310.58999999999997</v>
      </c>
      <c r="Z211" s="16">
        <f ca="1"/>
        <v>4</v>
      </c>
      <c r="AA211" s="16"/>
      <c r="AB211" s="16"/>
      <c r="AC211" s="16"/>
      <c r="AE211" s="16"/>
    </row>
    <row r="212" spans="19:31" x14ac:dyDescent="0.3">
      <c r="S212" s="15" t="s">
        <v>82</v>
      </c>
      <c r="T212" s="13">
        <v>671.79</v>
      </c>
      <c r="U212" s="16">
        <v>7</v>
      </c>
      <c r="V212" s="16"/>
      <c r="W212" s="16">
        <f t="shared" ca="1" si="9"/>
        <v>93</v>
      </c>
      <c r="X212" s="16" t="str">
        <f ca="1"/>
        <v>326-78-5178</v>
      </c>
      <c r="Y212" s="20">
        <f ca="1"/>
        <v>671.79</v>
      </c>
      <c r="Z212" s="16">
        <f ca="1"/>
        <v>7</v>
      </c>
      <c r="AA212" s="16"/>
      <c r="AB212" s="16"/>
      <c r="AC212" s="16"/>
      <c r="AE212" s="16"/>
    </row>
    <row r="213" spans="19:31" x14ac:dyDescent="0.3">
      <c r="S213" s="15" t="s">
        <v>50</v>
      </c>
      <c r="T213" s="13">
        <v>172.2105</v>
      </c>
      <c r="U213" s="16">
        <v>3</v>
      </c>
      <c r="V213" s="16"/>
      <c r="W213" s="16">
        <f t="shared" ca="1" si="9"/>
        <v>486</v>
      </c>
      <c r="X213" s="16" t="str">
        <f ca="1"/>
        <v>329-62-1586</v>
      </c>
      <c r="Y213" s="20">
        <f ca="1"/>
        <v>172.2105</v>
      </c>
      <c r="Z213" s="16">
        <f ca="1"/>
        <v>3</v>
      </c>
      <c r="AA213" s="16"/>
      <c r="AB213" s="16"/>
      <c r="AC213" s="16"/>
      <c r="AE213" s="16"/>
    </row>
    <row r="214" spans="19:31" x14ac:dyDescent="0.3">
      <c r="S214" s="15" t="s">
        <v>70</v>
      </c>
      <c r="T214" s="13">
        <v>461.32799999999997</v>
      </c>
      <c r="U214" s="16">
        <v>8</v>
      </c>
      <c r="V214" s="16"/>
      <c r="W214" s="16">
        <f t="shared" ca="1" si="9"/>
        <v>197</v>
      </c>
      <c r="X214" s="16" t="str">
        <f ca="1"/>
        <v>333-73-7901</v>
      </c>
      <c r="Y214" s="20">
        <f ca="1"/>
        <v>461.32799999999997</v>
      </c>
      <c r="Z214" s="16">
        <f ca="1"/>
        <v>8</v>
      </c>
      <c r="AA214" s="16"/>
      <c r="AB214" s="16"/>
      <c r="AC214" s="16"/>
      <c r="AE214" s="16"/>
    </row>
    <row r="215" spans="19:31" x14ac:dyDescent="0.3">
      <c r="S215" s="15" t="s">
        <v>155</v>
      </c>
      <c r="T215" s="13">
        <v>536.84400000000005</v>
      </c>
      <c r="U215" s="16">
        <v>8</v>
      </c>
      <c r="V215" s="16"/>
      <c r="W215" s="16">
        <f t="shared" ca="1" si="9"/>
        <v>145</v>
      </c>
      <c r="X215" s="16" t="str">
        <f ca="1"/>
        <v>336-78-2147</v>
      </c>
      <c r="Y215" s="20">
        <f ca="1"/>
        <v>536.84400000000005</v>
      </c>
      <c r="Z215" s="16">
        <f ca="1"/>
        <v>8</v>
      </c>
      <c r="AA215" s="16"/>
      <c r="AB215" s="16"/>
      <c r="AC215" s="16"/>
      <c r="AE215" s="16"/>
    </row>
    <row r="216" spans="19:31" x14ac:dyDescent="0.3">
      <c r="S216" s="15" t="s">
        <v>175</v>
      </c>
      <c r="T216" s="13">
        <v>720.3</v>
      </c>
      <c r="U216" s="16">
        <v>10</v>
      </c>
      <c r="V216" s="16"/>
      <c r="W216" s="16">
        <f t="shared" ca="1" si="9"/>
        <v>77</v>
      </c>
      <c r="X216" s="16" t="str">
        <f ca="1"/>
        <v>338-65-2210</v>
      </c>
      <c r="Y216" s="20">
        <f ca="1"/>
        <v>720.3</v>
      </c>
      <c r="Z216" s="16">
        <f ca="1"/>
        <v>10</v>
      </c>
      <c r="AA216" s="16"/>
      <c r="AB216" s="16"/>
      <c r="AC216" s="16"/>
      <c r="AE216" s="16"/>
    </row>
    <row r="217" spans="19:31" x14ac:dyDescent="0.3">
      <c r="S217" s="15" t="s">
        <v>569</v>
      </c>
      <c r="T217" s="13">
        <v>77.658000000000001</v>
      </c>
      <c r="U217" s="16">
        <v>1</v>
      </c>
      <c r="V217" s="16"/>
      <c r="W217" s="16">
        <f t="shared" ca="1" si="9"/>
        <v>644</v>
      </c>
      <c r="X217" s="16" t="str">
        <f ca="1"/>
        <v>339-12-4827</v>
      </c>
      <c r="Y217" s="20">
        <f ca="1"/>
        <v>77.658000000000001</v>
      </c>
      <c r="Z217" s="16">
        <f ca="1"/>
        <v>1</v>
      </c>
      <c r="AA217" s="16"/>
      <c r="AB217" s="16"/>
      <c r="AC217" s="16"/>
      <c r="AE217" s="16"/>
    </row>
    <row r="218" spans="19:31" x14ac:dyDescent="0.3">
      <c r="S218" s="15" t="s">
        <v>615</v>
      </c>
      <c r="T218" s="13">
        <v>195.25800000000001</v>
      </c>
      <c r="U218" s="16">
        <v>2</v>
      </c>
      <c r="V218" s="16"/>
      <c r="W218" s="16">
        <f t="shared" ca="1" si="9"/>
        <v>450</v>
      </c>
      <c r="X218" s="16" t="str">
        <f ca="1"/>
        <v>339-18-7061</v>
      </c>
      <c r="Y218" s="20">
        <f ca="1"/>
        <v>195.25800000000001</v>
      </c>
      <c r="Z218" s="16">
        <f ca="1"/>
        <v>2</v>
      </c>
      <c r="AA218" s="16"/>
      <c r="AB218" s="16"/>
      <c r="AC218" s="16"/>
      <c r="AE218" s="16"/>
    </row>
    <row r="219" spans="19:31" x14ac:dyDescent="0.3">
      <c r="S219" s="15" t="s">
        <v>560</v>
      </c>
      <c r="T219" s="13">
        <v>125.706</v>
      </c>
      <c r="U219" s="16">
        <v>2</v>
      </c>
      <c r="V219" s="16"/>
      <c r="W219" s="16">
        <f t="shared" ca="1" si="9"/>
        <v>561</v>
      </c>
      <c r="X219" s="16" t="str">
        <f ca="1"/>
        <v>339-38-9982</v>
      </c>
      <c r="Y219" s="20">
        <f ca="1"/>
        <v>125.706</v>
      </c>
      <c r="Z219" s="16">
        <f ca="1"/>
        <v>2</v>
      </c>
      <c r="AA219" s="16"/>
      <c r="AB219" s="16"/>
      <c r="AC219" s="16"/>
      <c r="AE219" s="16"/>
    </row>
    <row r="220" spans="19:31" x14ac:dyDescent="0.3">
      <c r="S220" s="15" t="s">
        <v>608</v>
      </c>
      <c r="T220" s="13">
        <v>597.62850000000003</v>
      </c>
      <c r="U220" s="16">
        <v>7</v>
      </c>
      <c r="V220" s="16"/>
      <c r="W220" s="16">
        <f t="shared" ca="1" si="9"/>
        <v>117</v>
      </c>
      <c r="X220" s="16" t="str">
        <f ca="1"/>
        <v>339-96-8318</v>
      </c>
      <c r="Y220" s="20">
        <f ca="1"/>
        <v>597.62850000000003</v>
      </c>
      <c r="Z220" s="16">
        <f ca="1"/>
        <v>7</v>
      </c>
      <c r="AA220" s="16"/>
      <c r="AB220" s="16"/>
      <c r="AC220" s="16"/>
      <c r="AE220" s="16"/>
    </row>
    <row r="221" spans="19:31" x14ac:dyDescent="0.3">
      <c r="S221" s="15" t="s">
        <v>504</v>
      </c>
      <c r="T221" s="13">
        <v>168.21</v>
      </c>
      <c r="U221" s="16">
        <v>4</v>
      </c>
      <c r="V221" s="16"/>
      <c r="W221" s="16">
        <f t="shared" ca="1" si="9"/>
        <v>491</v>
      </c>
      <c r="X221" s="16" t="str">
        <f ca="1"/>
        <v>340-21-9136</v>
      </c>
      <c r="Y221" s="20">
        <f ca="1"/>
        <v>168.21</v>
      </c>
      <c r="Z221" s="16">
        <f ca="1"/>
        <v>4</v>
      </c>
      <c r="AA221" s="16"/>
      <c r="AB221" s="16"/>
      <c r="AC221" s="16"/>
      <c r="AE221" s="16"/>
    </row>
    <row r="222" spans="19:31" x14ac:dyDescent="0.3">
      <c r="S222" s="15" t="s">
        <v>362</v>
      </c>
      <c r="T222" s="13">
        <v>152.71199999999999</v>
      </c>
      <c r="U222" s="16">
        <v>4</v>
      </c>
      <c r="V222" s="16"/>
      <c r="W222" s="16">
        <f t="shared" ca="1" si="9"/>
        <v>515</v>
      </c>
      <c r="X222" s="16" t="str">
        <f ca="1"/>
        <v>340-66-0321</v>
      </c>
      <c r="Y222" s="20">
        <f ca="1"/>
        <v>152.71199999999999</v>
      </c>
      <c r="Z222" s="16">
        <f ca="1"/>
        <v>4</v>
      </c>
      <c r="AA222" s="16"/>
      <c r="AB222" s="16"/>
      <c r="AC222" s="16"/>
      <c r="AE222" s="16"/>
    </row>
    <row r="223" spans="19:31" x14ac:dyDescent="0.3">
      <c r="S223" s="15" t="s">
        <v>212</v>
      </c>
      <c r="T223" s="13">
        <v>273.42</v>
      </c>
      <c r="U223" s="16">
        <v>3</v>
      </c>
      <c r="V223" s="16"/>
      <c r="W223" s="16">
        <f t="shared" ca="1" si="9"/>
        <v>351</v>
      </c>
      <c r="X223" s="16" t="str">
        <f ca="1"/>
        <v>342-65-4817</v>
      </c>
      <c r="Y223" s="20">
        <f ca="1"/>
        <v>273.42</v>
      </c>
      <c r="Z223" s="16">
        <f ca="1"/>
        <v>3</v>
      </c>
      <c r="AA223" s="16"/>
      <c r="AB223" s="16"/>
      <c r="AC223" s="16"/>
      <c r="AE223" s="16"/>
    </row>
    <row r="224" spans="19:31" x14ac:dyDescent="0.3">
      <c r="S224" s="15" t="s">
        <v>604</v>
      </c>
      <c r="T224" s="13">
        <v>280.03500000000003</v>
      </c>
      <c r="U224" s="16">
        <v>10</v>
      </c>
      <c r="V224" s="16"/>
      <c r="W224" s="16">
        <f t="shared" ca="1" si="9"/>
        <v>343</v>
      </c>
      <c r="X224" s="16" t="str">
        <f ca="1"/>
        <v>343-61-3544</v>
      </c>
      <c r="Y224" s="20">
        <f ca="1"/>
        <v>280.03500000000003</v>
      </c>
      <c r="Z224" s="16">
        <f ca="1"/>
        <v>10</v>
      </c>
      <c r="AA224" s="16"/>
      <c r="AB224" s="16"/>
      <c r="AC224" s="16"/>
      <c r="AE224" s="16"/>
    </row>
    <row r="225" spans="19:31" x14ac:dyDescent="0.3">
      <c r="S225" s="15" t="s">
        <v>703</v>
      </c>
      <c r="T225" s="13">
        <v>99.54</v>
      </c>
      <c r="U225" s="16">
        <v>8</v>
      </c>
      <c r="V225" s="16"/>
      <c r="W225" s="16">
        <f t="shared" ca="1" si="9"/>
        <v>596</v>
      </c>
      <c r="X225" s="16" t="str">
        <f ca="1"/>
        <v>343-75-9322</v>
      </c>
      <c r="Y225" s="20">
        <f ca="1"/>
        <v>99.54</v>
      </c>
      <c r="Z225" s="16">
        <f ca="1"/>
        <v>8</v>
      </c>
      <c r="AA225" s="16"/>
      <c r="AB225" s="16"/>
      <c r="AC225" s="16"/>
      <c r="AE225" s="16"/>
    </row>
    <row r="226" spans="19:31" x14ac:dyDescent="0.3">
      <c r="S226" s="15" t="s">
        <v>574</v>
      </c>
      <c r="T226" s="13">
        <v>79.674000000000007</v>
      </c>
      <c r="U226" s="16">
        <v>1</v>
      </c>
      <c r="V226" s="16"/>
      <c r="W226" s="16">
        <f t="shared" ca="1" si="9"/>
        <v>635</v>
      </c>
      <c r="X226" s="16" t="str">
        <f ca="1"/>
        <v>343-87-0864</v>
      </c>
      <c r="Y226" s="20">
        <f ca="1"/>
        <v>79.674000000000007</v>
      </c>
      <c r="Z226" s="16">
        <f ca="1"/>
        <v>1</v>
      </c>
      <c r="AA226" s="16"/>
      <c r="AB226" s="16"/>
      <c r="AC226" s="16"/>
      <c r="AE226" s="16"/>
    </row>
    <row r="227" spans="19:31" x14ac:dyDescent="0.3">
      <c r="S227" s="15" t="s">
        <v>470</v>
      </c>
      <c r="T227" s="13">
        <v>214.137</v>
      </c>
      <c r="U227" s="16">
        <v>6</v>
      </c>
      <c r="V227" s="16"/>
      <c r="W227" s="16">
        <f t="shared" ca="1" si="9"/>
        <v>419</v>
      </c>
      <c r="X227" s="16" t="str">
        <f ca="1"/>
        <v>345-08-4992</v>
      </c>
      <c r="Y227" s="20">
        <f ca="1"/>
        <v>214.137</v>
      </c>
      <c r="Z227" s="16">
        <f ca="1"/>
        <v>6</v>
      </c>
      <c r="AA227" s="16"/>
      <c r="AB227" s="16"/>
      <c r="AC227" s="16"/>
      <c r="AE227" s="16"/>
    </row>
    <row r="228" spans="19:31" x14ac:dyDescent="0.3">
      <c r="S228" s="15" t="s">
        <v>676</v>
      </c>
      <c r="T228" s="13">
        <v>266.02800000000002</v>
      </c>
      <c r="U228" s="16">
        <v>8</v>
      </c>
      <c r="V228" s="16"/>
      <c r="W228" s="16">
        <f t="shared" ca="1" si="9"/>
        <v>362</v>
      </c>
      <c r="X228" s="16" t="str">
        <f ca="1"/>
        <v>345-68-9016</v>
      </c>
      <c r="Y228" s="20">
        <f ca="1"/>
        <v>266.02800000000002</v>
      </c>
      <c r="Z228" s="16">
        <f ca="1"/>
        <v>8</v>
      </c>
      <c r="AA228" s="16"/>
      <c r="AB228" s="16"/>
      <c r="AC228" s="16"/>
      <c r="AE228" s="16"/>
    </row>
    <row r="229" spans="19:31" x14ac:dyDescent="0.3">
      <c r="S229" s="15" t="s">
        <v>432</v>
      </c>
      <c r="T229" s="13">
        <v>181.81800000000001</v>
      </c>
      <c r="U229" s="16">
        <v>9</v>
      </c>
      <c r="V229" s="16"/>
      <c r="W229" s="16">
        <f t="shared" ca="1" si="9"/>
        <v>471</v>
      </c>
      <c r="X229" s="16" t="str">
        <f ca="1"/>
        <v>346-12-3257</v>
      </c>
      <c r="Y229" s="20">
        <f ca="1"/>
        <v>181.81800000000001</v>
      </c>
      <c r="Z229" s="16">
        <f ca="1"/>
        <v>9</v>
      </c>
      <c r="AA229" s="16"/>
      <c r="AB229" s="16"/>
      <c r="AC229" s="16"/>
      <c r="AE229" s="16"/>
    </row>
    <row r="230" spans="19:31" x14ac:dyDescent="0.3">
      <c r="S230" s="15" t="s">
        <v>271</v>
      </c>
      <c r="T230" s="13">
        <v>69.405000000000001</v>
      </c>
      <c r="U230" s="16">
        <v>5</v>
      </c>
      <c r="V230" s="16"/>
      <c r="W230" s="16">
        <f t="shared" ca="1" si="9"/>
        <v>666</v>
      </c>
      <c r="X230" s="16" t="str">
        <f ca="1"/>
        <v>346-84-3103</v>
      </c>
      <c r="Y230" s="20">
        <f ca="1"/>
        <v>69.405000000000001</v>
      </c>
      <c r="Z230" s="16">
        <f ca="1"/>
        <v>5</v>
      </c>
      <c r="AA230" s="16"/>
      <c r="AB230" s="16"/>
      <c r="AC230" s="16"/>
      <c r="AE230" s="16"/>
    </row>
    <row r="231" spans="19:31" x14ac:dyDescent="0.3">
      <c r="S231" s="15" t="s">
        <v>94</v>
      </c>
      <c r="T231" s="13">
        <v>520.41150000000005</v>
      </c>
      <c r="U231" s="16">
        <v>9</v>
      </c>
      <c r="V231" s="16"/>
      <c r="W231" s="16">
        <f t="shared" ca="1" si="9"/>
        <v>157</v>
      </c>
      <c r="X231" s="16" t="str">
        <f ca="1"/>
        <v>347-34-2234</v>
      </c>
      <c r="Y231" s="20">
        <f ca="1"/>
        <v>520.41150000000005</v>
      </c>
      <c r="Z231" s="16">
        <f ca="1"/>
        <v>9</v>
      </c>
      <c r="AA231" s="16"/>
      <c r="AB231" s="16"/>
      <c r="AC231" s="16"/>
      <c r="AE231" s="16"/>
    </row>
    <row r="232" spans="19:31" x14ac:dyDescent="0.3">
      <c r="S232" s="15" t="s">
        <v>543</v>
      </c>
      <c r="T232" s="13">
        <v>666.93899999999996</v>
      </c>
      <c r="U232" s="16">
        <v>7</v>
      </c>
      <c r="V232" s="16"/>
      <c r="W232" s="16">
        <f t="shared" ca="1" si="9"/>
        <v>94</v>
      </c>
      <c r="X232" s="16" t="str">
        <f ca="1"/>
        <v>347-72-6115</v>
      </c>
      <c r="Y232" s="20">
        <f ca="1"/>
        <v>666.93899999999996</v>
      </c>
      <c r="Z232" s="16">
        <f ca="1"/>
        <v>7</v>
      </c>
      <c r="AA232" s="16"/>
      <c r="AB232" s="16"/>
      <c r="AC232" s="16"/>
      <c r="AE232" s="16"/>
    </row>
    <row r="233" spans="19:31" x14ac:dyDescent="0.3">
      <c r="S233" s="15" t="s">
        <v>41</v>
      </c>
      <c r="T233" s="13">
        <v>60.816000000000003</v>
      </c>
      <c r="U233" s="16">
        <v>4</v>
      </c>
      <c r="V233" s="16"/>
      <c r="W233" s="16">
        <f t="shared" ca="1" si="9"/>
        <v>674</v>
      </c>
      <c r="X233" s="16" t="str">
        <f ca="1"/>
        <v>351-62-0822</v>
      </c>
      <c r="Y233" s="20">
        <f ca="1"/>
        <v>60.816000000000003</v>
      </c>
      <c r="Z233" s="16">
        <f ca="1"/>
        <v>4</v>
      </c>
      <c r="AA233" s="16"/>
      <c r="AB233" s="16"/>
      <c r="AC233" s="16"/>
      <c r="AE233" s="16"/>
    </row>
    <row r="234" spans="19:31" x14ac:dyDescent="0.3">
      <c r="S234" s="15" t="s">
        <v>74</v>
      </c>
      <c r="T234" s="13">
        <v>435.45600000000002</v>
      </c>
      <c r="U234" s="16">
        <v>6</v>
      </c>
      <c r="V234" s="16"/>
      <c r="W234" s="16">
        <f t="shared" ca="1" si="9"/>
        <v>211</v>
      </c>
      <c r="X234" s="16" t="str">
        <f ca="1"/>
        <v>354-25-5821</v>
      </c>
      <c r="Y234" s="20">
        <f ca="1"/>
        <v>435.45600000000002</v>
      </c>
      <c r="Z234" s="16">
        <f ca="1"/>
        <v>6</v>
      </c>
      <c r="AA234" s="16"/>
      <c r="AB234" s="16"/>
      <c r="AC234" s="16"/>
      <c r="AE234" s="16"/>
    </row>
    <row r="235" spans="19:31" x14ac:dyDescent="0.3">
      <c r="S235" s="15" t="s">
        <v>169</v>
      </c>
      <c r="T235" s="13">
        <v>216.846</v>
      </c>
      <c r="U235" s="16">
        <v>6</v>
      </c>
      <c r="V235" s="16"/>
      <c r="W235" s="16">
        <f t="shared" ca="1" si="9"/>
        <v>413</v>
      </c>
      <c r="X235" s="16" t="str">
        <f ca="1"/>
        <v>354-39-5160</v>
      </c>
      <c r="Y235" s="20">
        <f ca="1"/>
        <v>216.846</v>
      </c>
      <c r="Z235" s="16">
        <f ca="1"/>
        <v>6</v>
      </c>
      <c r="AA235" s="16"/>
      <c r="AB235" s="16"/>
      <c r="AC235" s="16"/>
      <c r="AE235" s="16"/>
    </row>
    <row r="236" spans="19:31" x14ac:dyDescent="0.3">
      <c r="S236" s="15" t="s">
        <v>606</v>
      </c>
      <c r="T236" s="13">
        <v>152.01900000000001</v>
      </c>
      <c r="U236" s="16">
        <v>2</v>
      </c>
      <c r="V236" s="16"/>
      <c r="W236" s="16">
        <f t="shared" ca="1" si="9"/>
        <v>516</v>
      </c>
      <c r="X236" s="16" t="str">
        <f ca="1"/>
        <v>355-34-6244</v>
      </c>
      <c r="Y236" s="20">
        <f ca="1"/>
        <v>152.01900000000001</v>
      </c>
      <c r="Z236" s="16">
        <f ca="1"/>
        <v>2</v>
      </c>
      <c r="AA236" s="16"/>
      <c r="AB236" s="16"/>
      <c r="AC236" s="16"/>
      <c r="AE236" s="16"/>
    </row>
    <row r="237" spans="19:31" x14ac:dyDescent="0.3">
      <c r="S237" s="15" t="s">
        <v>34</v>
      </c>
      <c r="T237" s="13">
        <v>433.69200000000001</v>
      </c>
      <c r="U237" s="16">
        <v>6</v>
      </c>
      <c r="V237" s="16"/>
      <c r="W237" s="16">
        <f t="shared" ca="1" si="9"/>
        <v>212</v>
      </c>
      <c r="X237" s="16" t="str">
        <f ca="1"/>
        <v>355-53-5943</v>
      </c>
      <c r="Y237" s="20">
        <f ca="1"/>
        <v>433.69200000000001</v>
      </c>
      <c r="Z237" s="16">
        <f ca="1"/>
        <v>6</v>
      </c>
      <c r="AA237" s="16"/>
      <c r="AB237" s="16"/>
      <c r="AC237" s="16"/>
      <c r="AE237" s="16"/>
    </row>
    <row r="238" spans="19:31" x14ac:dyDescent="0.3">
      <c r="S238" s="15" t="s">
        <v>588</v>
      </c>
      <c r="T238" s="13">
        <v>118.062</v>
      </c>
      <c r="U238" s="16">
        <v>3</v>
      </c>
      <c r="V238" s="16"/>
      <c r="W238" s="16">
        <f t="shared" ca="1" si="9"/>
        <v>574</v>
      </c>
      <c r="X238" s="16" t="str">
        <f ca="1"/>
        <v>356-44-8813</v>
      </c>
      <c r="Y238" s="20">
        <f ca="1"/>
        <v>118.062</v>
      </c>
      <c r="Z238" s="16">
        <f ca="1"/>
        <v>3</v>
      </c>
      <c r="AA238" s="16"/>
      <c r="AB238" s="16"/>
      <c r="AC238" s="16"/>
      <c r="AE238" s="16"/>
    </row>
    <row r="239" spans="19:31" x14ac:dyDescent="0.3">
      <c r="S239" s="15" t="s">
        <v>572</v>
      </c>
      <c r="T239" s="13">
        <v>551.12400000000002</v>
      </c>
      <c r="U239" s="16">
        <v>6</v>
      </c>
      <c r="V239" s="16"/>
      <c r="W239" s="16">
        <f t="shared" ca="1" si="9"/>
        <v>133</v>
      </c>
      <c r="X239" s="16" t="str">
        <f ca="1"/>
        <v>358-88-9262</v>
      </c>
      <c r="Y239" s="20">
        <f ca="1"/>
        <v>551.12400000000002</v>
      </c>
      <c r="Z239" s="16">
        <f ca="1"/>
        <v>6</v>
      </c>
      <c r="AA239" s="16"/>
      <c r="AB239" s="16"/>
      <c r="AC239" s="16"/>
      <c r="AE239" s="16"/>
    </row>
    <row r="240" spans="19:31" x14ac:dyDescent="0.3">
      <c r="S240" s="15" t="s">
        <v>616</v>
      </c>
      <c r="T240" s="13">
        <v>75.936000000000007</v>
      </c>
      <c r="U240" s="16">
        <v>4</v>
      </c>
      <c r="V240" s="16"/>
      <c r="W240" s="16">
        <f t="shared" ca="1" si="9"/>
        <v>650</v>
      </c>
      <c r="X240" s="16" t="str">
        <f ca="1"/>
        <v>359-90-3665</v>
      </c>
      <c r="Y240" s="20">
        <f ca="1"/>
        <v>75.936000000000007</v>
      </c>
      <c r="Z240" s="16">
        <f ca="1"/>
        <v>4</v>
      </c>
      <c r="AA240" s="16"/>
      <c r="AB240" s="16"/>
      <c r="AC240" s="16"/>
      <c r="AE240" s="16"/>
    </row>
    <row r="241" spans="19:31" x14ac:dyDescent="0.3">
      <c r="S241" s="15" t="s">
        <v>116</v>
      </c>
      <c r="T241" s="13">
        <v>256.77749999999997</v>
      </c>
      <c r="U241" s="16">
        <v>5</v>
      </c>
      <c r="V241" s="16"/>
      <c r="W241" s="16">
        <f t="shared" ca="1" si="9"/>
        <v>370</v>
      </c>
      <c r="X241" s="16" t="str">
        <f ca="1"/>
        <v>360-39-5055</v>
      </c>
      <c r="Y241" s="20">
        <f ca="1"/>
        <v>256.77749999999997</v>
      </c>
      <c r="Z241" s="16">
        <f ca="1"/>
        <v>5</v>
      </c>
      <c r="AA241" s="16"/>
      <c r="AB241" s="16"/>
      <c r="AC241" s="16"/>
      <c r="AE241" s="16"/>
    </row>
    <row r="242" spans="19:31" x14ac:dyDescent="0.3">
      <c r="S242" s="15" t="s">
        <v>118</v>
      </c>
      <c r="T242" s="13">
        <v>401.73</v>
      </c>
      <c r="U242" s="16">
        <v>5</v>
      </c>
      <c r="V242" s="16"/>
      <c r="W242" s="16">
        <f t="shared" ca="1" si="9"/>
        <v>233</v>
      </c>
      <c r="X242" s="16" t="str">
        <f ca="1"/>
        <v>362-58-8315</v>
      </c>
      <c r="Y242" s="20">
        <f ca="1"/>
        <v>401.73</v>
      </c>
      <c r="Z242" s="16">
        <f ca="1"/>
        <v>5</v>
      </c>
      <c r="AA242" s="16"/>
      <c r="AB242" s="16"/>
      <c r="AC242" s="16"/>
      <c r="AE242" s="16"/>
    </row>
    <row r="243" spans="19:31" x14ac:dyDescent="0.3">
      <c r="S243" s="15" t="s">
        <v>638</v>
      </c>
      <c r="T243" s="13">
        <v>92.557500000000005</v>
      </c>
      <c r="U243" s="16">
        <v>5</v>
      </c>
      <c r="V243" s="16"/>
      <c r="W243" s="16">
        <f t="shared" ca="1" si="9"/>
        <v>611</v>
      </c>
      <c r="X243" s="16" t="str">
        <f ca="1"/>
        <v>364-33-8584</v>
      </c>
      <c r="Y243" s="20">
        <f ca="1"/>
        <v>92.557500000000005</v>
      </c>
      <c r="Z243" s="16">
        <f ca="1"/>
        <v>5</v>
      </c>
      <c r="AA243" s="16"/>
      <c r="AB243" s="16"/>
      <c r="AC243" s="16"/>
      <c r="AE243" s="16"/>
    </row>
    <row r="244" spans="19:31" x14ac:dyDescent="0.3">
      <c r="S244" s="15" t="s">
        <v>44</v>
      </c>
      <c r="T244" s="13">
        <v>246.48750000000001</v>
      </c>
      <c r="U244" s="16">
        <v>5</v>
      </c>
      <c r="V244" s="16"/>
      <c r="W244" s="16">
        <f t="shared" ca="1" si="9"/>
        <v>385</v>
      </c>
      <c r="X244" s="16" t="str">
        <f ca="1"/>
        <v>365-64-0515</v>
      </c>
      <c r="Y244" s="20">
        <f ca="1"/>
        <v>246.48750000000001</v>
      </c>
      <c r="Z244" s="16">
        <f ca="1"/>
        <v>5</v>
      </c>
      <c r="AA244" s="16"/>
      <c r="AB244" s="16"/>
      <c r="AC244" s="16"/>
      <c r="AE244" s="16"/>
    </row>
    <row r="245" spans="19:31" x14ac:dyDescent="0.3">
      <c r="S245" s="15" t="s">
        <v>289</v>
      </c>
      <c r="T245" s="13">
        <v>69.667500000000004</v>
      </c>
      <c r="U245" s="16">
        <v>1</v>
      </c>
      <c r="V245" s="16"/>
      <c r="W245" s="16">
        <f t="shared" ca="1" si="9"/>
        <v>665</v>
      </c>
      <c r="X245" s="16" t="str">
        <f ca="1"/>
        <v>366-93-0948</v>
      </c>
      <c r="Y245" s="20">
        <f ca="1"/>
        <v>69.667500000000004</v>
      </c>
      <c r="Z245" s="16">
        <f ca="1"/>
        <v>1</v>
      </c>
      <c r="AA245" s="16"/>
      <c r="AB245" s="16"/>
      <c r="AC245" s="16"/>
      <c r="AE245" s="16"/>
    </row>
    <row r="246" spans="19:31" x14ac:dyDescent="0.3">
      <c r="S246" s="15" t="s">
        <v>78</v>
      </c>
      <c r="T246" s="13">
        <v>535.72050000000002</v>
      </c>
      <c r="U246" s="16">
        <v>9</v>
      </c>
      <c r="V246" s="16"/>
      <c r="W246" s="16">
        <f t="shared" ca="1" si="9"/>
        <v>146</v>
      </c>
      <c r="X246" s="16" t="str">
        <f ca="1"/>
        <v>370-41-7321</v>
      </c>
      <c r="Y246" s="20">
        <f ca="1"/>
        <v>535.72050000000002</v>
      </c>
      <c r="Z246" s="16">
        <f ca="1"/>
        <v>9</v>
      </c>
      <c r="AA246" s="16"/>
      <c r="AB246" s="16"/>
      <c r="AC246" s="16"/>
      <c r="AE246" s="16"/>
    </row>
    <row r="247" spans="19:31" x14ac:dyDescent="0.3">
      <c r="S247" s="15" t="s">
        <v>649</v>
      </c>
      <c r="T247" s="13">
        <v>310.71600000000001</v>
      </c>
      <c r="U247" s="16">
        <v>6</v>
      </c>
      <c r="V247" s="16"/>
      <c r="W247" s="16">
        <f t="shared" ca="1" si="9"/>
        <v>313</v>
      </c>
      <c r="X247" s="16" t="str">
        <f ca="1"/>
        <v>370-96-0655</v>
      </c>
      <c r="Y247" s="20">
        <f ca="1"/>
        <v>310.71600000000001</v>
      </c>
      <c r="Z247" s="16">
        <f ca="1"/>
        <v>6</v>
      </c>
      <c r="AA247" s="16"/>
      <c r="AB247" s="16"/>
      <c r="AC247" s="16"/>
      <c r="AE247" s="16"/>
    </row>
    <row r="248" spans="19:31" x14ac:dyDescent="0.3">
      <c r="S248" s="15" t="s">
        <v>53</v>
      </c>
      <c r="T248" s="13">
        <v>277.137</v>
      </c>
      <c r="U248" s="16">
        <v>3</v>
      </c>
      <c r="V248" s="16"/>
      <c r="W248" s="16">
        <f t="shared" ca="1" si="9"/>
        <v>347</v>
      </c>
      <c r="X248" s="16" t="str">
        <f ca="1"/>
        <v>371-85-5789</v>
      </c>
      <c r="Y248" s="20">
        <f ca="1"/>
        <v>277.137</v>
      </c>
      <c r="Z248" s="16">
        <f ca="1"/>
        <v>3</v>
      </c>
      <c r="AA248" s="16"/>
      <c r="AB248" s="16"/>
      <c r="AC248" s="16"/>
      <c r="AE248" s="16"/>
    </row>
    <row r="249" spans="19:31" x14ac:dyDescent="0.3">
      <c r="S249" s="15" t="s">
        <v>442</v>
      </c>
      <c r="T249" s="13">
        <v>125.05500000000001</v>
      </c>
      <c r="U249" s="16">
        <v>5</v>
      </c>
      <c r="V249" s="16"/>
      <c r="W249" s="16">
        <f t="shared" ca="1" si="9"/>
        <v>564</v>
      </c>
      <c r="X249" s="16" t="str">
        <f ca="1"/>
        <v>372-26-1506</v>
      </c>
      <c r="Y249" s="20">
        <f ca="1"/>
        <v>125.05500000000001</v>
      </c>
      <c r="Z249" s="16">
        <f ca="1"/>
        <v>5</v>
      </c>
      <c r="AA249" s="16"/>
      <c r="AB249" s="16"/>
      <c r="AC249" s="16"/>
      <c r="AE249" s="16"/>
    </row>
    <row r="250" spans="19:31" x14ac:dyDescent="0.3">
      <c r="S250" s="15" t="s">
        <v>355</v>
      </c>
      <c r="T250" s="13">
        <v>96.138000000000005</v>
      </c>
      <c r="U250" s="16">
        <v>6</v>
      </c>
      <c r="V250" s="16"/>
      <c r="W250" s="16">
        <f t="shared" ca="1" si="9"/>
        <v>601</v>
      </c>
      <c r="X250" s="16" t="str">
        <f ca="1"/>
        <v>372-94-8041</v>
      </c>
      <c r="Y250" s="20">
        <f ca="1"/>
        <v>96.138000000000005</v>
      </c>
      <c r="Z250" s="16">
        <f ca="1"/>
        <v>6</v>
      </c>
      <c r="AA250" s="16"/>
      <c r="AB250" s="16"/>
      <c r="AC250" s="16"/>
      <c r="AE250" s="16"/>
    </row>
    <row r="251" spans="19:31" x14ac:dyDescent="0.3">
      <c r="S251" s="15" t="s">
        <v>675</v>
      </c>
      <c r="T251" s="13">
        <v>150.423</v>
      </c>
      <c r="U251" s="16">
        <v>2</v>
      </c>
      <c r="V251" s="16"/>
      <c r="W251" s="16">
        <f t="shared" ca="1" si="9"/>
        <v>520</v>
      </c>
      <c r="X251" s="16" t="str">
        <f ca="1"/>
        <v>373-14-0504</v>
      </c>
      <c r="Y251" s="20">
        <f ca="1"/>
        <v>150.423</v>
      </c>
      <c r="Z251" s="16">
        <f ca="1"/>
        <v>2</v>
      </c>
      <c r="AA251" s="16"/>
      <c r="AB251" s="16"/>
      <c r="AC251" s="16"/>
      <c r="AE251" s="16"/>
    </row>
    <row r="252" spans="19:31" x14ac:dyDescent="0.3">
      <c r="S252" s="15" t="s">
        <v>31</v>
      </c>
      <c r="T252" s="13">
        <v>634.37850000000003</v>
      </c>
      <c r="U252" s="16">
        <v>7</v>
      </c>
      <c r="V252" s="16"/>
      <c r="W252" s="16">
        <f t="shared" ca="1" si="9"/>
        <v>98</v>
      </c>
      <c r="X252" s="16" t="str">
        <f ca="1"/>
        <v>373-73-7910</v>
      </c>
      <c r="Y252" s="20">
        <f ca="1"/>
        <v>634.37850000000003</v>
      </c>
      <c r="Z252" s="16">
        <f ca="1"/>
        <v>7</v>
      </c>
      <c r="AA252" s="16"/>
      <c r="AB252" s="16"/>
      <c r="AC252" s="16"/>
      <c r="AE252" s="16"/>
    </row>
    <row r="253" spans="19:31" x14ac:dyDescent="0.3">
      <c r="S253" s="15" t="s">
        <v>744</v>
      </c>
      <c r="T253" s="13">
        <v>188.0025</v>
      </c>
      <c r="U253" s="16">
        <v>5</v>
      </c>
      <c r="V253" s="16"/>
      <c r="W253" s="16">
        <f t="shared" ca="1" si="9"/>
        <v>462</v>
      </c>
      <c r="X253" s="16" t="str">
        <f ca="1"/>
        <v>373-88-1424</v>
      </c>
      <c r="Y253" s="20">
        <f ca="1"/>
        <v>188.0025</v>
      </c>
      <c r="Z253" s="16">
        <f ca="1"/>
        <v>5</v>
      </c>
      <c r="AA253" s="16"/>
      <c r="AB253" s="16"/>
      <c r="AC253" s="16"/>
      <c r="AE253" s="16"/>
    </row>
    <row r="254" spans="19:31" x14ac:dyDescent="0.3">
      <c r="S254" s="15" t="s">
        <v>372</v>
      </c>
      <c r="T254" s="13">
        <v>404.649</v>
      </c>
      <c r="U254" s="16">
        <v>9</v>
      </c>
      <c r="V254" s="16"/>
      <c r="W254" s="16">
        <f t="shared" ca="1" si="9"/>
        <v>229</v>
      </c>
      <c r="X254" s="16" t="str">
        <f ca="1"/>
        <v>374-17-3652</v>
      </c>
      <c r="Y254" s="20">
        <f ca="1"/>
        <v>404.649</v>
      </c>
      <c r="Z254" s="16">
        <f ca="1"/>
        <v>9</v>
      </c>
      <c r="AA254" s="16"/>
      <c r="AB254" s="16"/>
      <c r="AC254" s="16"/>
      <c r="AE254" s="16"/>
    </row>
    <row r="255" spans="19:31" x14ac:dyDescent="0.3">
      <c r="S255" s="15" t="s">
        <v>764</v>
      </c>
      <c r="T255" s="13">
        <v>334.47750000000002</v>
      </c>
      <c r="U255" s="16">
        <v>5</v>
      </c>
      <c r="V255" s="16"/>
      <c r="W255" s="16">
        <f t="shared" ca="1" si="9"/>
        <v>292</v>
      </c>
      <c r="X255" s="16" t="str">
        <f ca="1"/>
        <v>374-38-5555</v>
      </c>
      <c r="Y255" s="20">
        <f ca="1"/>
        <v>334.47750000000002</v>
      </c>
      <c r="Z255" s="16">
        <f ca="1"/>
        <v>5</v>
      </c>
      <c r="AA255" s="16"/>
      <c r="AB255" s="16"/>
      <c r="AC255" s="16"/>
      <c r="AE255" s="16"/>
    </row>
    <row r="256" spans="19:31" x14ac:dyDescent="0.3">
      <c r="S256" s="15" t="s">
        <v>617</v>
      </c>
      <c r="T256" s="13">
        <v>198.63900000000001</v>
      </c>
      <c r="U256" s="16">
        <v>3</v>
      </c>
      <c r="V256" s="16"/>
      <c r="W256" s="16">
        <f t="shared" ca="1" si="9"/>
        <v>446</v>
      </c>
      <c r="X256" s="16" t="str">
        <f ca="1"/>
        <v>375-72-3056</v>
      </c>
      <c r="Y256" s="20">
        <f ca="1"/>
        <v>198.63900000000001</v>
      </c>
      <c r="Z256" s="16">
        <f ca="1"/>
        <v>3</v>
      </c>
      <c r="AA256" s="16"/>
      <c r="AB256" s="16"/>
      <c r="AC256" s="16"/>
      <c r="AE256" s="16"/>
    </row>
    <row r="257" spans="19:31" x14ac:dyDescent="0.3">
      <c r="S257" s="15" t="s">
        <v>277</v>
      </c>
      <c r="T257" s="13">
        <v>788.50800000000004</v>
      </c>
      <c r="U257" s="16">
        <v>8</v>
      </c>
      <c r="V257" s="16"/>
      <c r="W257" s="16">
        <f t="shared" ca="1" si="9"/>
        <v>48</v>
      </c>
      <c r="X257" s="16" t="str">
        <f ca="1"/>
        <v>376-02-8238</v>
      </c>
      <c r="Y257" s="20">
        <f ca="1"/>
        <v>788.50800000000004</v>
      </c>
      <c r="Z257" s="16">
        <f ca="1"/>
        <v>8</v>
      </c>
      <c r="AA257" s="16"/>
      <c r="AB257" s="16"/>
      <c r="AC257" s="16"/>
      <c r="AE257" s="16"/>
    </row>
    <row r="258" spans="19:31" x14ac:dyDescent="0.3">
      <c r="S258" s="15" t="s">
        <v>310</v>
      </c>
      <c r="T258" s="13">
        <v>400.76400000000001</v>
      </c>
      <c r="U258" s="16">
        <v>4</v>
      </c>
      <c r="V258" s="16"/>
      <c r="W258" s="16">
        <f t="shared" ca="1" si="9"/>
        <v>234</v>
      </c>
      <c r="X258" s="16" t="str">
        <f ca="1"/>
        <v>376-56-3573</v>
      </c>
      <c r="Y258" s="20">
        <f ca="1"/>
        <v>400.76400000000001</v>
      </c>
      <c r="Z258" s="16">
        <f ca="1"/>
        <v>4</v>
      </c>
      <c r="AA258" s="16"/>
      <c r="AB258" s="16"/>
      <c r="AC258" s="16"/>
      <c r="AE258" s="16"/>
    </row>
    <row r="259" spans="19:31" x14ac:dyDescent="0.3">
      <c r="S259" s="15" t="s">
        <v>373</v>
      </c>
      <c r="T259" s="13">
        <v>151.48349999999999</v>
      </c>
      <c r="U259" s="16">
        <v>3</v>
      </c>
      <c r="V259" s="16"/>
      <c r="W259" s="16">
        <f t="shared" ref="W259:W322" ca="1" si="10">RANK(Y:Y,Y:Y)</f>
        <v>517</v>
      </c>
      <c r="X259" s="16" t="str">
        <f ca="1"/>
        <v>378-07-7001</v>
      </c>
      <c r="Y259" s="20">
        <f ca="1"/>
        <v>151.48349999999999</v>
      </c>
      <c r="Z259" s="16">
        <f ca="1"/>
        <v>3</v>
      </c>
      <c r="AA259" s="16"/>
      <c r="AB259" s="16"/>
      <c r="AC259" s="16"/>
      <c r="AE259" s="16"/>
    </row>
    <row r="260" spans="19:31" x14ac:dyDescent="0.3">
      <c r="S260" s="15" t="s">
        <v>151</v>
      </c>
      <c r="T260" s="13">
        <v>112.224</v>
      </c>
      <c r="U260" s="16">
        <v>2</v>
      </c>
      <c r="V260" s="16"/>
      <c r="W260" s="16">
        <f t="shared" ca="1" si="10"/>
        <v>579</v>
      </c>
      <c r="X260" s="16" t="str">
        <f ca="1"/>
        <v>378-24-2715</v>
      </c>
      <c r="Y260" s="20">
        <f ca="1"/>
        <v>112.224</v>
      </c>
      <c r="Z260" s="16">
        <f ca="1"/>
        <v>2</v>
      </c>
      <c r="AA260" s="16"/>
      <c r="AB260" s="16"/>
      <c r="AC260" s="16"/>
      <c r="AE260" s="16"/>
    </row>
    <row r="261" spans="19:31" x14ac:dyDescent="0.3">
      <c r="S261" s="15" t="s">
        <v>621</v>
      </c>
      <c r="T261" s="13">
        <v>625.90499999999997</v>
      </c>
      <c r="U261" s="16">
        <v>10</v>
      </c>
      <c r="V261" s="16"/>
      <c r="W261" s="16">
        <f t="shared" ca="1" si="10"/>
        <v>105</v>
      </c>
      <c r="X261" s="16" t="str">
        <f ca="1"/>
        <v>379-17-6588</v>
      </c>
      <c r="Y261" s="20">
        <f ca="1"/>
        <v>625.90499999999997</v>
      </c>
      <c r="Z261" s="16">
        <f ca="1"/>
        <v>10</v>
      </c>
      <c r="AA261" s="16"/>
      <c r="AB261" s="16"/>
      <c r="AC261" s="16"/>
      <c r="AE261" s="16"/>
    </row>
    <row r="262" spans="19:31" x14ac:dyDescent="0.3">
      <c r="S262" s="15" t="s">
        <v>292</v>
      </c>
      <c r="T262" s="13">
        <v>276.94799999999998</v>
      </c>
      <c r="U262" s="16">
        <v>4</v>
      </c>
      <c r="V262" s="16"/>
      <c r="W262" s="16">
        <f t="shared" ca="1" si="10"/>
        <v>348</v>
      </c>
      <c r="X262" s="16" t="str">
        <f ca="1"/>
        <v>380-94-4661</v>
      </c>
      <c r="Y262" s="20">
        <f ca="1"/>
        <v>276.94799999999998</v>
      </c>
      <c r="Z262" s="16">
        <f ca="1"/>
        <v>4</v>
      </c>
      <c r="AA262" s="16"/>
      <c r="AB262" s="16"/>
      <c r="AC262" s="16"/>
      <c r="AE262" s="16"/>
    </row>
    <row r="263" spans="19:31" x14ac:dyDescent="0.3">
      <c r="S263" s="15" t="s">
        <v>109</v>
      </c>
      <c r="T263" s="13">
        <v>189.09450000000001</v>
      </c>
      <c r="U263" s="16">
        <v>9</v>
      </c>
      <c r="V263" s="16"/>
      <c r="W263" s="16">
        <f t="shared" ca="1" si="10"/>
        <v>460</v>
      </c>
      <c r="X263" s="16" t="str">
        <f ca="1"/>
        <v>381-20-0914</v>
      </c>
      <c r="Y263" s="20">
        <f ca="1"/>
        <v>189.09450000000001</v>
      </c>
      <c r="Z263" s="16">
        <f ca="1"/>
        <v>9</v>
      </c>
      <c r="AA263" s="16"/>
      <c r="AB263" s="16"/>
      <c r="AC263" s="16"/>
      <c r="AE263" s="16"/>
    </row>
    <row r="264" spans="19:31" x14ac:dyDescent="0.3">
      <c r="S264" s="15" t="s">
        <v>101</v>
      </c>
      <c r="T264" s="13">
        <v>19.246500000000001</v>
      </c>
      <c r="U264" s="16">
        <v>1</v>
      </c>
      <c r="V264" s="16"/>
      <c r="W264" s="16">
        <f t="shared" ca="1" si="10"/>
        <v>728</v>
      </c>
      <c r="X264" s="16" t="str">
        <f ca="1"/>
        <v>382-03-4532</v>
      </c>
      <c r="Y264" s="20">
        <f ca="1"/>
        <v>19.246500000000001</v>
      </c>
      <c r="Z264" s="16">
        <f ca="1"/>
        <v>1</v>
      </c>
      <c r="AA264" s="16"/>
      <c r="AB264" s="16"/>
      <c r="AC264" s="16"/>
      <c r="AE264" s="16"/>
    </row>
    <row r="265" spans="19:31" x14ac:dyDescent="0.3">
      <c r="S265" s="15" t="s">
        <v>406</v>
      </c>
      <c r="T265" s="13">
        <v>265.10399999999998</v>
      </c>
      <c r="U265" s="16">
        <v>6</v>
      </c>
      <c r="V265" s="16"/>
      <c r="W265" s="16">
        <f t="shared" ca="1" si="10"/>
        <v>363</v>
      </c>
      <c r="X265" s="16" t="str">
        <f ca="1"/>
        <v>382-25-8917</v>
      </c>
      <c r="Y265" s="20">
        <f ca="1"/>
        <v>265.10399999999998</v>
      </c>
      <c r="Z265" s="16">
        <f ca="1"/>
        <v>6</v>
      </c>
      <c r="AA265" s="16"/>
      <c r="AB265" s="16"/>
      <c r="AC265" s="16"/>
      <c r="AE265" s="16"/>
    </row>
    <row r="266" spans="19:31" x14ac:dyDescent="0.3">
      <c r="S266" s="15" t="s">
        <v>539</v>
      </c>
      <c r="T266" s="13">
        <v>152.77500000000001</v>
      </c>
      <c r="U266" s="16">
        <v>3</v>
      </c>
      <c r="V266" s="16"/>
      <c r="W266" s="16">
        <f t="shared" ca="1" si="10"/>
        <v>514</v>
      </c>
      <c r="X266" s="16" t="str">
        <f ca="1"/>
        <v>387-49-4215</v>
      </c>
      <c r="Y266" s="20">
        <f ca="1"/>
        <v>152.77500000000001</v>
      </c>
      <c r="Z266" s="16">
        <f ca="1"/>
        <v>3</v>
      </c>
      <c r="AA266" s="16"/>
      <c r="AB266" s="16"/>
      <c r="AC266" s="16"/>
      <c r="AE266" s="16"/>
    </row>
    <row r="267" spans="19:31" x14ac:dyDescent="0.3">
      <c r="S267" s="15" t="s">
        <v>255</v>
      </c>
      <c r="T267" s="13">
        <v>62.002499999999998</v>
      </c>
      <c r="U267" s="16">
        <v>5</v>
      </c>
      <c r="V267" s="16"/>
      <c r="W267" s="16">
        <f t="shared" ca="1" si="10"/>
        <v>673</v>
      </c>
      <c r="X267" s="16" t="str">
        <f ca="1"/>
        <v>389-25-3394</v>
      </c>
      <c r="Y267" s="20">
        <f ca="1"/>
        <v>62.002499999999998</v>
      </c>
      <c r="Z267" s="16">
        <f ca="1"/>
        <v>5</v>
      </c>
      <c r="AA267" s="16"/>
      <c r="AB267" s="16"/>
      <c r="AC267" s="16"/>
      <c r="AE267" s="16"/>
    </row>
    <row r="268" spans="19:31" x14ac:dyDescent="0.3">
      <c r="S268" s="15" t="s">
        <v>677</v>
      </c>
      <c r="T268" s="13">
        <v>40.341000000000001</v>
      </c>
      <c r="U268" s="16">
        <v>1</v>
      </c>
      <c r="V268" s="16"/>
      <c r="W268" s="16">
        <f t="shared" ca="1" si="10"/>
        <v>702</v>
      </c>
      <c r="X268" s="16" t="str">
        <f ca="1"/>
        <v>390-17-5806</v>
      </c>
      <c r="Y268" s="20">
        <f ca="1"/>
        <v>40.341000000000001</v>
      </c>
      <c r="Z268" s="16">
        <f ca="1"/>
        <v>1</v>
      </c>
      <c r="AA268" s="16"/>
      <c r="AB268" s="16"/>
      <c r="AC268" s="16"/>
      <c r="AE268" s="16"/>
    </row>
    <row r="269" spans="19:31" x14ac:dyDescent="0.3">
      <c r="S269" s="15" t="s">
        <v>613</v>
      </c>
      <c r="T269" s="13">
        <v>85.742999999999995</v>
      </c>
      <c r="U269" s="16">
        <v>3</v>
      </c>
      <c r="V269" s="16"/>
      <c r="W269" s="16">
        <f t="shared" ca="1" si="10"/>
        <v>622</v>
      </c>
      <c r="X269" s="16" t="str">
        <f ca="1"/>
        <v>390-31-6381</v>
      </c>
      <c r="Y269" s="20">
        <f ca="1"/>
        <v>85.742999999999995</v>
      </c>
      <c r="Z269" s="16">
        <f ca="1"/>
        <v>3</v>
      </c>
      <c r="AA269" s="16"/>
      <c r="AB269" s="16"/>
      <c r="AC269" s="16"/>
      <c r="AE269" s="16"/>
    </row>
    <row r="270" spans="19:31" x14ac:dyDescent="0.3">
      <c r="S270" s="15" t="s">
        <v>478</v>
      </c>
      <c r="T270" s="13">
        <v>20.107500000000002</v>
      </c>
      <c r="U270" s="16">
        <v>1</v>
      </c>
      <c r="V270" s="16"/>
      <c r="W270" s="16">
        <f t="shared" ca="1" si="10"/>
        <v>727</v>
      </c>
      <c r="X270" s="16" t="str">
        <f ca="1"/>
        <v>390-80-5128</v>
      </c>
      <c r="Y270" s="20">
        <f ca="1"/>
        <v>20.107500000000002</v>
      </c>
      <c r="Z270" s="16">
        <f ca="1"/>
        <v>1</v>
      </c>
      <c r="AA270" s="16"/>
      <c r="AB270" s="16"/>
      <c r="AC270" s="16"/>
      <c r="AE270" s="16"/>
    </row>
    <row r="271" spans="19:31" x14ac:dyDescent="0.3">
      <c r="S271" s="15" t="s">
        <v>102</v>
      </c>
      <c r="T271" s="13">
        <v>939.54</v>
      </c>
      <c r="U271" s="16">
        <v>10</v>
      </c>
      <c r="V271" s="16"/>
      <c r="W271" s="16">
        <f t="shared" ca="1" si="10"/>
        <v>14</v>
      </c>
      <c r="X271" s="16" t="str">
        <f ca="1"/>
        <v>393-65-2792</v>
      </c>
      <c r="Y271" s="20">
        <f ca="1"/>
        <v>939.54</v>
      </c>
      <c r="Z271" s="16">
        <f ca="1"/>
        <v>10</v>
      </c>
      <c r="AA271" s="16"/>
      <c r="AB271" s="16"/>
      <c r="AC271" s="16"/>
      <c r="AE271" s="16"/>
    </row>
    <row r="272" spans="19:31" x14ac:dyDescent="0.3">
      <c r="S272" s="15" t="s">
        <v>474</v>
      </c>
      <c r="T272" s="13">
        <v>742.81200000000001</v>
      </c>
      <c r="U272" s="16">
        <v>8</v>
      </c>
      <c r="V272" s="16"/>
      <c r="W272" s="16">
        <f t="shared" ca="1" si="10"/>
        <v>65</v>
      </c>
      <c r="X272" s="16" t="str">
        <f ca="1"/>
        <v>394-30-3170</v>
      </c>
      <c r="Y272" s="20">
        <f ca="1"/>
        <v>742.81200000000001</v>
      </c>
      <c r="Z272" s="16">
        <f ca="1"/>
        <v>8</v>
      </c>
      <c r="AA272" s="16"/>
      <c r="AB272" s="16"/>
      <c r="AC272" s="16"/>
      <c r="AE272" s="16"/>
    </row>
    <row r="273" spans="19:31" x14ac:dyDescent="0.3">
      <c r="S273" s="15" t="s">
        <v>421</v>
      </c>
      <c r="T273" s="13">
        <v>510.9615</v>
      </c>
      <c r="U273" s="16">
        <v>9</v>
      </c>
      <c r="V273" s="16"/>
      <c r="W273" s="16">
        <f t="shared" ca="1" si="10"/>
        <v>163</v>
      </c>
      <c r="X273" s="16" t="str">
        <f ca="1"/>
        <v>394-41-0748</v>
      </c>
      <c r="Y273" s="20">
        <f ca="1"/>
        <v>510.9615</v>
      </c>
      <c r="Z273" s="16">
        <f ca="1"/>
        <v>9</v>
      </c>
      <c r="AA273" s="16"/>
      <c r="AB273" s="16"/>
      <c r="AC273" s="16"/>
      <c r="AE273" s="16"/>
    </row>
    <row r="274" spans="19:31" x14ac:dyDescent="0.3">
      <c r="S274" s="15" t="s">
        <v>237</v>
      </c>
      <c r="T274" s="13">
        <v>93.292500000000004</v>
      </c>
      <c r="U274" s="16">
        <v>5</v>
      </c>
      <c r="V274" s="16"/>
      <c r="W274" s="16">
        <f t="shared" ca="1" si="10"/>
        <v>607</v>
      </c>
      <c r="X274" s="16" t="str">
        <f ca="1"/>
        <v>394-43-4238</v>
      </c>
      <c r="Y274" s="20">
        <f ca="1"/>
        <v>93.292500000000004</v>
      </c>
      <c r="Z274" s="16">
        <f ca="1"/>
        <v>5</v>
      </c>
      <c r="AA274" s="16"/>
      <c r="AB274" s="16"/>
      <c r="AC274" s="16"/>
      <c r="AE274" s="16"/>
    </row>
    <row r="275" spans="19:31" x14ac:dyDescent="0.3">
      <c r="S275" s="15" t="s">
        <v>337</v>
      </c>
      <c r="T275" s="13">
        <v>125.664</v>
      </c>
      <c r="U275" s="16">
        <v>8</v>
      </c>
      <c r="V275" s="16"/>
      <c r="W275" s="16">
        <f t="shared" ca="1" si="10"/>
        <v>562</v>
      </c>
      <c r="X275" s="16" t="str">
        <f ca="1"/>
        <v>396-90-2219</v>
      </c>
      <c r="Y275" s="20">
        <f ca="1"/>
        <v>125.664</v>
      </c>
      <c r="Z275" s="16">
        <f ca="1"/>
        <v>8</v>
      </c>
      <c r="AA275" s="16"/>
      <c r="AB275" s="16"/>
      <c r="AC275" s="16"/>
      <c r="AE275" s="16"/>
    </row>
    <row r="276" spans="19:31" x14ac:dyDescent="0.3">
      <c r="S276" s="15" t="s">
        <v>87</v>
      </c>
      <c r="T276" s="13">
        <v>722.23199999999997</v>
      </c>
      <c r="U276" s="16">
        <v>8</v>
      </c>
      <c r="V276" s="16"/>
      <c r="W276" s="16">
        <f t="shared" ca="1" si="10"/>
        <v>75</v>
      </c>
      <c r="X276" s="16" t="str">
        <f ca="1"/>
        <v>399-46-5918</v>
      </c>
      <c r="Y276" s="20">
        <f ca="1"/>
        <v>722.23199999999997</v>
      </c>
      <c r="Z276" s="16">
        <f ca="1"/>
        <v>8</v>
      </c>
      <c r="AA276" s="16"/>
      <c r="AB276" s="16"/>
      <c r="AC276" s="16"/>
      <c r="AE276" s="16"/>
    </row>
    <row r="277" spans="19:31" x14ac:dyDescent="0.3">
      <c r="S277" s="15" t="s">
        <v>586</v>
      </c>
      <c r="T277" s="13">
        <v>139.923</v>
      </c>
      <c r="U277" s="16">
        <v>6</v>
      </c>
      <c r="V277" s="16"/>
      <c r="W277" s="16">
        <f t="shared" ca="1" si="10"/>
        <v>542</v>
      </c>
      <c r="X277" s="16" t="str">
        <f ca="1"/>
        <v>399-69-4630</v>
      </c>
      <c r="Y277" s="20">
        <f ca="1"/>
        <v>139.923</v>
      </c>
      <c r="Z277" s="16">
        <f ca="1"/>
        <v>6</v>
      </c>
      <c r="AA277" s="16"/>
      <c r="AB277" s="16"/>
      <c r="AC277" s="16"/>
      <c r="AE277" s="16"/>
    </row>
    <row r="278" spans="19:31" x14ac:dyDescent="0.3">
      <c r="S278" s="15" t="s">
        <v>382</v>
      </c>
      <c r="T278" s="13">
        <v>141.75</v>
      </c>
      <c r="U278" s="16">
        <v>10</v>
      </c>
      <c r="V278" s="16"/>
      <c r="W278" s="16">
        <f t="shared" ca="1" si="10"/>
        <v>539</v>
      </c>
      <c r="X278" s="16" t="str">
        <f ca="1"/>
        <v>400-45-1220</v>
      </c>
      <c r="Y278" s="20">
        <f ca="1"/>
        <v>141.75</v>
      </c>
      <c r="Z278" s="16">
        <f ca="1"/>
        <v>10</v>
      </c>
      <c r="AA278" s="16"/>
      <c r="AB278" s="16"/>
      <c r="AC278" s="16"/>
      <c r="AE278" s="16"/>
    </row>
    <row r="279" spans="19:31" x14ac:dyDescent="0.3">
      <c r="S279" s="15" t="s">
        <v>221</v>
      </c>
      <c r="T279" s="13">
        <v>77.773499999999999</v>
      </c>
      <c r="U279" s="16">
        <v>1</v>
      </c>
      <c r="V279" s="16"/>
      <c r="W279" s="16">
        <f t="shared" ca="1" si="10"/>
        <v>642</v>
      </c>
      <c r="X279" s="16" t="str">
        <f ca="1"/>
        <v>400-60-7251</v>
      </c>
      <c r="Y279" s="20">
        <f ca="1"/>
        <v>77.773499999999999</v>
      </c>
      <c r="Z279" s="16">
        <f ca="1"/>
        <v>1</v>
      </c>
      <c r="AA279" s="16"/>
      <c r="AB279" s="16"/>
      <c r="AC279" s="16"/>
      <c r="AE279" s="16"/>
    </row>
    <row r="280" spans="19:31" x14ac:dyDescent="0.3">
      <c r="S280" s="15" t="s">
        <v>187</v>
      </c>
      <c r="T280" s="13">
        <v>680.14800000000002</v>
      </c>
      <c r="U280" s="16">
        <v>8</v>
      </c>
      <c r="V280" s="16"/>
      <c r="W280" s="16">
        <f t="shared" ca="1" si="10"/>
        <v>91</v>
      </c>
      <c r="X280" s="16" t="str">
        <f ca="1"/>
        <v>400-89-4171</v>
      </c>
      <c r="Y280" s="20">
        <f ca="1"/>
        <v>680.14800000000002</v>
      </c>
      <c r="Z280" s="16">
        <f ca="1"/>
        <v>8</v>
      </c>
      <c r="AA280" s="16"/>
      <c r="AB280" s="16"/>
      <c r="AC280" s="16"/>
      <c r="AE280" s="16"/>
    </row>
    <row r="281" spans="19:31" x14ac:dyDescent="0.3">
      <c r="S281" s="15" t="s">
        <v>693</v>
      </c>
      <c r="T281" s="13">
        <v>455.1225</v>
      </c>
      <c r="U281" s="16">
        <v>5</v>
      </c>
      <c r="V281" s="16"/>
      <c r="W281" s="16">
        <f t="shared" ca="1" si="10"/>
        <v>201</v>
      </c>
      <c r="X281" s="16" t="str">
        <f ca="1"/>
        <v>401-09-4232</v>
      </c>
      <c r="Y281" s="20">
        <f ca="1"/>
        <v>455.1225</v>
      </c>
      <c r="Z281" s="16">
        <f ca="1"/>
        <v>5</v>
      </c>
      <c r="AA281" s="16"/>
      <c r="AB281" s="16"/>
      <c r="AC281" s="16"/>
      <c r="AE281" s="16"/>
    </row>
    <row r="282" spans="19:31" x14ac:dyDescent="0.3">
      <c r="S282" s="15" t="s">
        <v>531</v>
      </c>
      <c r="T282" s="13">
        <v>103.0365</v>
      </c>
      <c r="U282" s="16">
        <v>1</v>
      </c>
      <c r="V282" s="16"/>
      <c r="W282" s="16">
        <f t="shared" ca="1" si="10"/>
        <v>590</v>
      </c>
      <c r="X282" s="16" t="str">
        <f ca="1"/>
        <v>401-18-8016</v>
      </c>
      <c r="Y282" s="20">
        <f ca="1"/>
        <v>103.0365</v>
      </c>
      <c r="Z282" s="16">
        <f ca="1"/>
        <v>1</v>
      </c>
      <c r="AA282" s="16"/>
      <c r="AB282" s="16"/>
      <c r="AC282" s="16"/>
      <c r="AE282" s="16"/>
    </row>
    <row r="283" spans="19:31" x14ac:dyDescent="0.3">
      <c r="S283" s="15" t="s">
        <v>691</v>
      </c>
      <c r="T283" s="13">
        <v>548.16300000000001</v>
      </c>
      <c r="U283" s="16">
        <v>7</v>
      </c>
      <c r="V283" s="16"/>
      <c r="W283" s="16">
        <f t="shared" ca="1" si="10"/>
        <v>139</v>
      </c>
      <c r="X283" s="16" t="str">
        <f ca="1"/>
        <v>404-91-5964</v>
      </c>
      <c r="Y283" s="20">
        <f ca="1"/>
        <v>548.16300000000001</v>
      </c>
      <c r="Z283" s="16">
        <f ca="1"/>
        <v>7</v>
      </c>
      <c r="AA283" s="16"/>
      <c r="AB283" s="16"/>
      <c r="AC283" s="16"/>
      <c r="AE283" s="16"/>
    </row>
    <row r="284" spans="19:31" x14ac:dyDescent="0.3">
      <c r="S284" s="15" t="s">
        <v>505</v>
      </c>
      <c r="T284" s="13">
        <v>452.86500000000001</v>
      </c>
      <c r="U284" s="16">
        <v>10</v>
      </c>
      <c r="V284" s="16"/>
      <c r="W284" s="16">
        <f t="shared" ca="1" si="10"/>
        <v>203</v>
      </c>
      <c r="X284" s="16" t="str">
        <f ca="1"/>
        <v>405-31-3305</v>
      </c>
      <c r="Y284" s="20">
        <f ca="1"/>
        <v>452.86500000000001</v>
      </c>
      <c r="Z284" s="16">
        <f ca="1"/>
        <v>10</v>
      </c>
      <c r="AA284" s="16"/>
      <c r="AB284" s="16"/>
      <c r="AC284" s="16"/>
      <c r="AE284" s="16"/>
    </row>
    <row r="285" spans="19:31" x14ac:dyDescent="0.3">
      <c r="S285" s="15" t="s">
        <v>681</v>
      </c>
      <c r="T285" s="13">
        <v>608.07600000000002</v>
      </c>
      <c r="U285" s="16">
        <v>6</v>
      </c>
      <c r="V285" s="16"/>
      <c r="W285" s="16">
        <f t="shared" ca="1" si="10"/>
        <v>115</v>
      </c>
      <c r="X285" s="16" t="str">
        <f ca="1"/>
        <v>406-46-7107</v>
      </c>
      <c r="Y285" s="20">
        <f ca="1"/>
        <v>608.07600000000002</v>
      </c>
      <c r="Z285" s="16">
        <f ca="1"/>
        <v>6</v>
      </c>
      <c r="AA285" s="16"/>
      <c r="AB285" s="16"/>
      <c r="AC285" s="16"/>
      <c r="AE285" s="16"/>
    </row>
    <row r="286" spans="19:31" x14ac:dyDescent="0.3">
      <c r="S286" s="15" t="s">
        <v>211</v>
      </c>
      <c r="T286" s="13">
        <v>465.44400000000002</v>
      </c>
      <c r="U286" s="16">
        <v>6</v>
      </c>
      <c r="V286" s="16"/>
      <c r="W286" s="16">
        <f t="shared" ca="1" si="10"/>
        <v>192</v>
      </c>
      <c r="X286" s="16" t="str">
        <f ca="1"/>
        <v>407-63-8975</v>
      </c>
      <c r="Y286" s="20">
        <f ca="1"/>
        <v>465.44400000000002</v>
      </c>
      <c r="Z286" s="16">
        <f ca="1"/>
        <v>6</v>
      </c>
      <c r="AA286" s="16"/>
      <c r="AB286" s="16"/>
      <c r="AC286" s="16"/>
      <c r="AE286" s="16"/>
    </row>
    <row r="287" spans="19:31" x14ac:dyDescent="0.3">
      <c r="S287" s="15" t="s">
        <v>602</v>
      </c>
      <c r="T287" s="13">
        <v>543.75300000000004</v>
      </c>
      <c r="U287" s="16">
        <v>7</v>
      </c>
      <c r="V287" s="16"/>
      <c r="W287" s="16">
        <f t="shared" ca="1" si="10"/>
        <v>142</v>
      </c>
      <c r="X287" s="16" t="str">
        <f ca="1"/>
        <v>408-26-9866</v>
      </c>
      <c r="Y287" s="20">
        <f ca="1"/>
        <v>543.75300000000004</v>
      </c>
      <c r="Z287" s="16">
        <f ca="1"/>
        <v>7</v>
      </c>
      <c r="AA287" s="16"/>
      <c r="AB287" s="16"/>
      <c r="AC287" s="16"/>
      <c r="AE287" s="16"/>
    </row>
    <row r="288" spans="19:31" x14ac:dyDescent="0.3">
      <c r="S288" s="15" t="s">
        <v>724</v>
      </c>
      <c r="T288" s="13">
        <v>297.80099999999999</v>
      </c>
      <c r="U288" s="16">
        <v>6</v>
      </c>
      <c r="V288" s="16"/>
      <c r="W288" s="16">
        <f t="shared" ca="1" si="10"/>
        <v>325</v>
      </c>
      <c r="X288" s="16" t="str">
        <f ca="1"/>
        <v>409-49-6995</v>
      </c>
      <c r="Y288" s="20">
        <f ca="1"/>
        <v>297.80099999999999</v>
      </c>
      <c r="Z288" s="16">
        <f ca="1"/>
        <v>6</v>
      </c>
      <c r="AA288" s="16"/>
      <c r="AB288" s="16"/>
      <c r="AC288" s="16"/>
      <c r="AE288" s="16"/>
    </row>
    <row r="289" spans="19:31" x14ac:dyDescent="0.3">
      <c r="S289" s="15" t="s">
        <v>338</v>
      </c>
      <c r="T289" s="13">
        <v>530.66999999999996</v>
      </c>
      <c r="U289" s="16">
        <v>7</v>
      </c>
      <c r="V289" s="16"/>
      <c r="W289" s="16">
        <f t="shared" ca="1" si="10"/>
        <v>149</v>
      </c>
      <c r="X289" s="16" t="str">
        <f ca="1"/>
        <v>411-77-0180</v>
      </c>
      <c r="Y289" s="20">
        <f ca="1"/>
        <v>530.66999999999996</v>
      </c>
      <c r="Z289" s="16">
        <f ca="1"/>
        <v>7</v>
      </c>
      <c r="AA289" s="16"/>
      <c r="AB289" s="16"/>
      <c r="AC289" s="16"/>
      <c r="AE289" s="16"/>
    </row>
    <row r="290" spans="19:31" x14ac:dyDescent="0.3">
      <c r="S290" s="15" t="s">
        <v>548</v>
      </c>
      <c r="T290" s="13">
        <v>54.043500000000002</v>
      </c>
      <c r="U290" s="16">
        <v>1</v>
      </c>
      <c r="V290" s="16"/>
      <c r="W290" s="16">
        <f t="shared" ca="1" si="10"/>
        <v>683</v>
      </c>
      <c r="X290" s="16" t="str">
        <f ca="1"/>
        <v>413-20-6708</v>
      </c>
      <c r="Y290" s="20">
        <f ca="1"/>
        <v>54.043500000000002</v>
      </c>
      <c r="Z290" s="16">
        <f ca="1"/>
        <v>1</v>
      </c>
      <c r="AA290" s="16"/>
      <c r="AB290" s="16"/>
      <c r="AC290" s="16"/>
      <c r="AE290" s="16"/>
    </row>
    <row r="291" spans="19:31" x14ac:dyDescent="0.3">
      <c r="S291" s="15" t="s">
        <v>207</v>
      </c>
      <c r="T291" s="13">
        <v>166.23599999999999</v>
      </c>
      <c r="U291" s="16">
        <v>8</v>
      </c>
      <c r="V291" s="16"/>
      <c r="W291" s="16">
        <f t="shared" ca="1" si="10"/>
        <v>493</v>
      </c>
      <c r="X291" s="16" t="str">
        <f ca="1"/>
        <v>414-12-7047</v>
      </c>
      <c r="Y291" s="20">
        <f ca="1"/>
        <v>166.23599999999999</v>
      </c>
      <c r="Z291" s="16">
        <f ca="1"/>
        <v>8</v>
      </c>
      <c r="AA291" s="16"/>
      <c r="AB291" s="16"/>
      <c r="AC291" s="16"/>
      <c r="AE291" s="16"/>
    </row>
    <row r="292" spans="19:31" x14ac:dyDescent="0.3">
      <c r="S292" s="15" t="s">
        <v>376</v>
      </c>
      <c r="T292" s="13">
        <v>509.40750000000003</v>
      </c>
      <c r="U292" s="16">
        <v>5</v>
      </c>
      <c r="V292" s="16"/>
      <c r="W292" s="16">
        <f t="shared" ca="1" si="10"/>
        <v>165</v>
      </c>
      <c r="X292" s="16" t="str">
        <f ca="1"/>
        <v>416-13-5917</v>
      </c>
      <c r="Y292" s="20">
        <f ca="1"/>
        <v>509.40750000000003</v>
      </c>
      <c r="Z292" s="16">
        <f ca="1"/>
        <v>5</v>
      </c>
      <c r="AA292" s="16"/>
      <c r="AB292" s="16"/>
      <c r="AC292" s="16"/>
      <c r="AE292" s="16"/>
    </row>
    <row r="293" spans="19:31" x14ac:dyDescent="0.3">
      <c r="S293" s="15" t="s">
        <v>702</v>
      </c>
      <c r="T293" s="13">
        <v>779.31</v>
      </c>
      <c r="U293" s="16">
        <v>10</v>
      </c>
      <c r="V293" s="16"/>
      <c r="W293" s="16">
        <f t="shared" ca="1" si="10"/>
        <v>52</v>
      </c>
      <c r="X293" s="16" t="str">
        <f ca="1"/>
        <v>416-17-9926</v>
      </c>
      <c r="Y293" s="20">
        <f ca="1"/>
        <v>779.31</v>
      </c>
      <c r="Z293" s="16">
        <f ca="1"/>
        <v>10</v>
      </c>
      <c r="AA293" s="16"/>
      <c r="AB293" s="16"/>
      <c r="AC293" s="16"/>
      <c r="AE293" s="16"/>
    </row>
    <row r="294" spans="19:31" x14ac:dyDescent="0.3">
      <c r="S294" s="15" t="s">
        <v>265</v>
      </c>
      <c r="T294" s="13">
        <v>794.65049999999997</v>
      </c>
      <c r="U294" s="16">
        <v>9</v>
      </c>
      <c r="V294" s="16"/>
      <c r="W294" s="16">
        <f t="shared" ca="1" si="10"/>
        <v>45</v>
      </c>
      <c r="X294" s="16" t="str">
        <f ca="1"/>
        <v>418-02-5978</v>
      </c>
      <c r="Y294" s="20">
        <f ca="1"/>
        <v>794.65049999999997</v>
      </c>
      <c r="Z294" s="16">
        <f ca="1"/>
        <v>9</v>
      </c>
      <c r="AA294" s="16"/>
      <c r="AB294" s="16"/>
      <c r="AC294" s="16"/>
      <c r="AE294" s="16"/>
    </row>
    <row r="295" spans="19:31" x14ac:dyDescent="0.3">
      <c r="S295" s="15" t="s">
        <v>663</v>
      </c>
      <c r="T295" s="13">
        <v>187.86600000000001</v>
      </c>
      <c r="U295" s="16">
        <v>7</v>
      </c>
      <c r="V295" s="16"/>
      <c r="W295" s="16">
        <f t="shared" ca="1" si="10"/>
        <v>463</v>
      </c>
      <c r="X295" s="16" t="str">
        <f ca="1"/>
        <v>418-05-0656</v>
      </c>
      <c r="Y295" s="20">
        <f ca="1"/>
        <v>187.86600000000001</v>
      </c>
      <c r="Z295" s="16">
        <f ca="1"/>
        <v>7</v>
      </c>
      <c r="AA295" s="16"/>
      <c r="AB295" s="16"/>
      <c r="AC295" s="16"/>
      <c r="AE295" s="16"/>
    </row>
    <row r="296" spans="19:31" x14ac:dyDescent="0.3">
      <c r="S296" s="15" t="s">
        <v>232</v>
      </c>
      <c r="T296" s="13">
        <v>374.79750000000001</v>
      </c>
      <c r="U296" s="16">
        <v>5</v>
      </c>
      <c r="V296" s="16"/>
      <c r="W296" s="16">
        <f t="shared" ca="1" si="10"/>
        <v>256</v>
      </c>
      <c r="X296" s="16" t="str">
        <f ca="1"/>
        <v>420-11-4919</v>
      </c>
      <c r="Y296" s="20">
        <f ca="1"/>
        <v>374.79750000000001</v>
      </c>
      <c r="Z296" s="16">
        <f ca="1"/>
        <v>5</v>
      </c>
      <c r="AA296" s="16"/>
      <c r="AB296" s="16"/>
      <c r="AC296" s="16"/>
      <c r="AE296" s="16"/>
    </row>
    <row r="297" spans="19:31" x14ac:dyDescent="0.3">
      <c r="S297" s="15" t="s">
        <v>532</v>
      </c>
      <c r="T297" s="13">
        <v>432.76799999999997</v>
      </c>
      <c r="U297" s="16">
        <v>8</v>
      </c>
      <c r="V297" s="16"/>
      <c r="W297" s="16">
        <f t="shared" ca="1" si="10"/>
        <v>213</v>
      </c>
      <c r="X297" s="16" t="str">
        <f ca="1"/>
        <v>420-18-8989</v>
      </c>
      <c r="Y297" s="20">
        <f ca="1"/>
        <v>432.76799999999997</v>
      </c>
      <c r="Z297" s="16">
        <f ca="1"/>
        <v>8</v>
      </c>
      <c r="AA297" s="16"/>
      <c r="AB297" s="16"/>
      <c r="AC297" s="16"/>
      <c r="AE297" s="16"/>
    </row>
    <row r="298" spans="19:31" x14ac:dyDescent="0.3">
      <c r="S298" s="15" t="s">
        <v>630</v>
      </c>
      <c r="T298" s="13">
        <v>30.408000000000001</v>
      </c>
      <c r="U298" s="16">
        <v>1</v>
      </c>
      <c r="V298" s="16"/>
      <c r="W298" s="16">
        <f t="shared" ca="1" si="10"/>
        <v>715</v>
      </c>
      <c r="X298" s="16" t="str">
        <f ca="1"/>
        <v>421-95-9805</v>
      </c>
      <c r="Y298" s="20">
        <f ca="1"/>
        <v>30.408000000000001</v>
      </c>
      <c r="Z298" s="16">
        <f ca="1"/>
        <v>1</v>
      </c>
      <c r="AA298" s="16"/>
      <c r="AB298" s="16"/>
      <c r="AC298" s="16"/>
      <c r="AE298" s="16"/>
    </row>
    <row r="299" spans="19:31" x14ac:dyDescent="0.3">
      <c r="S299" s="15" t="s">
        <v>407</v>
      </c>
      <c r="T299" s="13">
        <v>352.22250000000003</v>
      </c>
      <c r="U299" s="16">
        <v>5</v>
      </c>
      <c r="V299" s="16"/>
      <c r="W299" s="16">
        <f t="shared" ca="1" si="10"/>
        <v>276</v>
      </c>
      <c r="X299" s="16" t="str">
        <f ca="1"/>
        <v>422-29-8786</v>
      </c>
      <c r="Y299" s="20">
        <f ca="1"/>
        <v>352.22250000000003</v>
      </c>
      <c r="Z299" s="16">
        <f ca="1"/>
        <v>5</v>
      </c>
      <c r="AA299" s="16"/>
      <c r="AB299" s="16"/>
      <c r="AC299" s="16"/>
      <c r="AE299" s="16"/>
    </row>
    <row r="300" spans="19:31" x14ac:dyDescent="0.3">
      <c r="S300" s="15" t="s">
        <v>192</v>
      </c>
      <c r="T300" s="13">
        <v>588.35699999999997</v>
      </c>
      <c r="U300" s="16">
        <v>6</v>
      </c>
      <c r="V300" s="16"/>
      <c r="W300" s="16">
        <f t="shared" ca="1" si="10"/>
        <v>119</v>
      </c>
      <c r="X300" s="16" t="str">
        <f ca="1"/>
        <v>423-57-2993</v>
      </c>
      <c r="Y300" s="20">
        <f ca="1"/>
        <v>588.35699999999997</v>
      </c>
      <c r="Z300" s="16">
        <f ca="1"/>
        <v>6</v>
      </c>
      <c r="AA300" s="16"/>
      <c r="AB300" s="16"/>
      <c r="AC300" s="16"/>
      <c r="AE300" s="16"/>
    </row>
    <row r="301" spans="19:31" x14ac:dyDescent="0.3">
      <c r="S301" s="15" t="s">
        <v>346</v>
      </c>
      <c r="T301" s="13">
        <v>146.94749999999999</v>
      </c>
      <c r="U301" s="16">
        <v>9</v>
      </c>
      <c r="V301" s="16"/>
      <c r="W301" s="16">
        <f t="shared" ca="1" si="10"/>
        <v>527</v>
      </c>
      <c r="X301" s="16" t="str">
        <f ca="1"/>
        <v>423-64-4619</v>
      </c>
      <c r="Y301" s="20">
        <f ca="1"/>
        <v>146.94749999999999</v>
      </c>
      <c r="Z301" s="16">
        <f ca="1"/>
        <v>9</v>
      </c>
      <c r="AA301" s="16"/>
      <c r="AB301" s="16"/>
      <c r="AC301" s="16"/>
      <c r="AE301" s="16"/>
    </row>
    <row r="302" spans="19:31" x14ac:dyDescent="0.3">
      <c r="S302" s="15" t="s">
        <v>196</v>
      </c>
      <c r="T302" s="13">
        <v>160.44</v>
      </c>
      <c r="U302" s="16">
        <v>2</v>
      </c>
      <c r="V302" s="16"/>
      <c r="W302" s="16">
        <f t="shared" ca="1" si="10"/>
        <v>506</v>
      </c>
      <c r="X302" s="16" t="str">
        <f ca="1"/>
        <v>423-80-0988</v>
      </c>
      <c r="Y302" s="20">
        <f ca="1"/>
        <v>160.44</v>
      </c>
      <c r="Z302" s="16">
        <f ca="1"/>
        <v>2</v>
      </c>
      <c r="AA302" s="16"/>
      <c r="AB302" s="16"/>
      <c r="AC302" s="16"/>
      <c r="AE302" s="16"/>
    </row>
    <row r="303" spans="19:31" x14ac:dyDescent="0.3">
      <c r="S303" s="15" t="s">
        <v>549</v>
      </c>
      <c r="T303" s="13">
        <v>288.01499999999999</v>
      </c>
      <c r="U303" s="16">
        <v>5</v>
      </c>
      <c r="V303" s="16"/>
      <c r="W303" s="16">
        <f t="shared" ca="1" si="10"/>
        <v>337</v>
      </c>
      <c r="X303" s="16" t="str">
        <f ca="1"/>
        <v>425-85-2085</v>
      </c>
      <c r="Y303" s="20">
        <f ca="1"/>
        <v>288.01499999999999</v>
      </c>
      <c r="Z303" s="16">
        <f ca="1"/>
        <v>5</v>
      </c>
      <c r="AA303" s="16"/>
      <c r="AB303" s="16"/>
      <c r="AC303" s="16"/>
      <c r="AE303" s="16"/>
    </row>
    <row r="304" spans="19:31" x14ac:dyDescent="0.3">
      <c r="S304" s="15" t="s">
        <v>235</v>
      </c>
      <c r="T304" s="13">
        <v>451.36349999999999</v>
      </c>
      <c r="U304" s="16">
        <v>7</v>
      </c>
      <c r="V304" s="16"/>
      <c r="W304" s="16">
        <f t="shared" ca="1" si="10"/>
        <v>205</v>
      </c>
      <c r="X304" s="16" t="str">
        <f ca="1"/>
        <v>426-39-2418</v>
      </c>
      <c r="Y304" s="20">
        <f ca="1"/>
        <v>451.36349999999999</v>
      </c>
      <c r="Z304" s="16">
        <f ca="1"/>
        <v>7</v>
      </c>
      <c r="AA304" s="16"/>
      <c r="AB304" s="16"/>
      <c r="AC304" s="16"/>
      <c r="AE304" s="16"/>
    </row>
    <row r="305" spans="19:31" x14ac:dyDescent="0.3">
      <c r="S305" s="15" t="s">
        <v>704</v>
      </c>
      <c r="T305" s="13">
        <v>299.3655</v>
      </c>
      <c r="U305" s="16">
        <v>7</v>
      </c>
      <c r="V305" s="16"/>
      <c r="W305" s="16">
        <f t="shared" ca="1" si="10"/>
        <v>323</v>
      </c>
      <c r="X305" s="16" t="str">
        <f ca="1"/>
        <v>427-45-9297</v>
      </c>
      <c r="Y305" s="20">
        <f ca="1"/>
        <v>299.3655</v>
      </c>
      <c r="Z305" s="16">
        <f ca="1"/>
        <v>7</v>
      </c>
      <c r="AA305" s="16"/>
      <c r="AB305" s="16"/>
      <c r="AC305" s="16"/>
      <c r="AE305" s="16"/>
    </row>
    <row r="306" spans="19:31" x14ac:dyDescent="0.3">
      <c r="S306" s="15" t="s">
        <v>349</v>
      </c>
      <c r="T306" s="13">
        <v>66.402000000000001</v>
      </c>
      <c r="U306" s="16">
        <v>3</v>
      </c>
      <c r="V306" s="16"/>
      <c r="W306" s="16">
        <f t="shared" ca="1" si="10"/>
        <v>670</v>
      </c>
      <c r="X306" s="16" t="str">
        <f ca="1"/>
        <v>428-83-5800</v>
      </c>
      <c r="Y306" s="20">
        <f ca="1"/>
        <v>66.402000000000001</v>
      </c>
      <c r="Z306" s="16">
        <f ca="1"/>
        <v>3</v>
      </c>
      <c r="AA306" s="16"/>
      <c r="AB306" s="16"/>
      <c r="AC306" s="16"/>
      <c r="AE306" s="16"/>
    </row>
    <row r="307" spans="19:31" x14ac:dyDescent="0.3">
      <c r="S307" s="15" t="s">
        <v>749</v>
      </c>
      <c r="T307" s="13">
        <v>289.92599999999999</v>
      </c>
      <c r="U307" s="16">
        <v>6</v>
      </c>
      <c r="V307" s="16"/>
      <c r="W307" s="16">
        <f t="shared" ca="1" si="10"/>
        <v>334</v>
      </c>
      <c r="X307" s="16" t="str">
        <f ca="1"/>
        <v>430-02-3888</v>
      </c>
      <c r="Y307" s="20">
        <f ca="1"/>
        <v>289.92599999999999</v>
      </c>
      <c r="Z307" s="16">
        <f ca="1"/>
        <v>6</v>
      </c>
      <c r="AA307" s="16"/>
      <c r="AB307" s="16"/>
      <c r="AC307" s="16"/>
      <c r="AE307" s="16"/>
    </row>
    <row r="308" spans="19:31" x14ac:dyDescent="0.3">
      <c r="S308" s="15" t="s">
        <v>322</v>
      </c>
      <c r="T308" s="13">
        <v>697.36800000000005</v>
      </c>
      <c r="U308" s="16">
        <v>7</v>
      </c>
      <c r="V308" s="16"/>
      <c r="W308" s="16">
        <f t="shared" ca="1" si="10"/>
        <v>86</v>
      </c>
      <c r="X308" s="16" t="str">
        <f ca="1"/>
        <v>430-60-3493</v>
      </c>
      <c r="Y308" s="20">
        <f ca="1"/>
        <v>697.36800000000005</v>
      </c>
      <c r="Z308" s="16">
        <f ca="1"/>
        <v>7</v>
      </c>
      <c r="AA308" s="16"/>
      <c r="AB308" s="16"/>
      <c r="AC308" s="16"/>
      <c r="AE308" s="16"/>
    </row>
    <row r="309" spans="19:31" x14ac:dyDescent="0.3">
      <c r="S309" s="15" t="s">
        <v>740</v>
      </c>
      <c r="T309" s="13">
        <v>579.8415</v>
      </c>
      <c r="U309" s="16">
        <v>7</v>
      </c>
      <c r="V309" s="16"/>
      <c r="W309" s="16">
        <f t="shared" ca="1" si="10"/>
        <v>123</v>
      </c>
      <c r="X309" s="16" t="str">
        <f ca="1"/>
        <v>433-08-7822</v>
      </c>
      <c r="Y309" s="20">
        <f ca="1"/>
        <v>579.8415</v>
      </c>
      <c r="Z309" s="16">
        <f ca="1"/>
        <v>7</v>
      </c>
      <c r="AA309" s="16"/>
      <c r="AB309" s="16"/>
      <c r="AC309" s="16"/>
      <c r="AE309" s="16"/>
    </row>
    <row r="310" spans="19:31" x14ac:dyDescent="0.3">
      <c r="S310" s="15" t="s">
        <v>374</v>
      </c>
      <c r="T310" s="13">
        <v>411.37950000000001</v>
      </c>
      <c r="U310" s="16">
        <v>7</v>
      </c>
      <c r="V310" s="16"/>
      <c r="W310" s="16">
        <f t="shared" ca="1" si="10"/>
        <v>225</v>
      </c>
      <c r="X310" s="16" t="str">
        <f ca="1"/>
        <v>433-75-6987</v>
      </c>
      <c r="Y310" s="20">
        <f ca="1"/>
        <v>411.37950000000001</v>
      </c>
      <c r="Z310" s="16">
        <f ca="1"/>
        <v>7</v>
      </c>
      <c r="AA310" s="16"/>
      <c r="AB310" s="16"/>
      <c r="AC310" s="16"/>
      <c r="AE310" s="16"/>
    </row>
    <row r="311" spans="19:31" x14ac:dyDescent="0.3">
      <c r="S311" s="15" t="s">
        <v>665</v>
      </c>
      <c r="T311" s="13">
        <v>98.028000000000006</v>
      </c>
      <c r="U311" s="16">
        <v>4</v>
      </c>
      <c r="V311" s="16"/>
      <c r="W311" s="16">
        <f t="shared" ca="1" si="10"/>
        <v>599</v>
      </c>
      <c r="X311" s="16" t="str">
        <f ca="1"/>
        <v>434-35-9162</v>
      </c>
      <c r="Y311" s="20">
        <f ca="1"/>
        <v>98.028000000000006</v>
      </c>
      <c r="Z311" s="16">
        <f ca="1"/>
        <v>4</v>
      </c>
      <c r="AA311" s="16"/>
      <c r="AB311" s="16"/>
      <c r="AC311" s="16"/>
      <c r="AE311" s="16"/>
    </row>
    <row r="312" spans="19:31" x14ac:dyDescent="0.3">
      <c r="S312" s="15" t="s">
        <v>214</v>
      </c>
      <c r="T312" s="13">
        <v>323.14800000000002</v>
      </c>
      <c r="U312" s="16">
        <v>8</v>
      </c>
      <c r="V312" s="16"/>
      <c r="W312" s="16">
        <f t="shared" ca="1" si="10"/>
        <v>301</v>
      </c>
      <c r="X312" s="16" t="str">
        <f ca="1"/>
        <v>434-83-9547</v>
      </c>
      <c r="Y312" s="20">
        <f ca="1"/>
        <v>323.14800000000002</v>
      </c>
      <c r="Z312" s="16">
        <f ca="1"/>
        <v>8</v>
      </c>
      <c r="AA312" s="16"/>
      <c r="AB312" s="16"/>
      <c r="AC312" s="16"/>
      <c r="AE312" s="16"/>
    </row>
    <row r="313" spans="19:31" x14ac:dyDescent="0.3">
      <c r="S313" s="15" t="s">
        <v>564</v>
      </c>
      <c r="T313" s="13">
        <v>728.11199999999997</v>
      </c>
      <c r="U313" s="16">
        <v>8</v>
      </c>
      <c r="V313" s="16"/>
      <c r="W313" s="16">
        <f t="shared" ca="1" si="10"/>
        <v>73</v>
      </c>
      <c r="X313" s="16" t="str">
        <f ca="1"/>
        <v>435-13-4908</v>
      </c>
      <c r="Y313" s="20">
        <f ca="1"/>
        <v>728.11199999999997</v>
      </c>
      <c r="Z313" s="16">
        <f ca="1"/>
        <v>8</v>
      </c>
      <c r="AA313" s="16"/>
      <c r="AB313" s="16"/>
      <c r="AC313" s="16"/>
      <c r="AE313" s="16"/>
    </row>
    <row r="314" spans="19:31" x14ac:dyDescent="0.3">
      <c r="S314" s="15" t="s">
        <v>527</v>
      </c>
      <c r="T314" s="13">
        <v>209.76900000000001</v>
      </c>
      <c r="U314" s="16">
        <v>2</v>
      </c>
      <c r="V314" s="16"/>
      <c r="W314" s="16">
        <f t="shared" ca="1" si="10"/>
        <v>425</v>
      </c>
      <c r="X314" s="16" t="str">
        <f ca="1"/>
        <v>437-53-3084</v>
      </c>
      <c r="Y314" s="20">
        <f ca="1"/>
        <v>209.76900000000001</v>
      </c>
      <c r="Z314" s="16">
        <f ca="1"/>
        <v>2</v>
      </c>
      <c r="AA314" s="16"/>
      <c r="AB314" s="16"/>
      <c r="AC314" s="16"/>
      <c r="AE314" s="16"/>
    </row>
    <row r="315" spans="19:31" x14ac:dyDescent="0.3">
      <c r="S315" s="15" t="s">
        <v>224</v>
      </c>
      <c r="T315" s="13">
        <v>154.392</v>
      </c>
      <c r="U315" s="16">
        <v>2</v>
      </c>
      <c r="V315" s="16"/>
      <c r="W315" s="16">
        <f t="shared" ca="1" si="10"/>
        <v>511</v>
      </c>
      <c r="X315" s="16" t="str">
        <f ca="1"/>
        <v>437-58-8131</v>
      </c>
      <c r="Y315" s="20">
        <f ca="1"/>
        <v>154.392</v>
      </c>
      <c r="Z315" s="16">
        <f ca="1"/>
        <v>2</v>
      </c>
      <c r="AA315" s="16"/>
      <c r="AB315" s="16"/>
      <c r="AC315" s="16"/>
      <c r="AE315" s="16"/>
    </row>
    <row r="316" spans="19:31" x14ac:dyDescent="0.3">
      <c r="S316" s="15" t="s">
        <v>518</v>
      </c>
      <c r="T316" s="13">
        <v>207.858</v>
      </c>
      <c r="U316" s="16">
        <v>4</v>
      </c>
      <c r="V316" s="16"/>
      <c r="W316" s="16">
        <f t="shared" ca="1" si="10"/>
        <v>432</v>
      </c>
      <c r="X316" s="16" t="str">
        <f ca="1"/>
        <v>438-01-4015</v>
      </c>
      <c r="Y316" s="20">
        <f ca="1"/>
        <v>207.858</v>
      </c>
      <c r="Z316" s="16">
        <f ca="1"/>
        <v>4</v>
      </c>
      <c r="AA316" s="16"/>
      <c r="AB316" s="16"/>
      <c r="AC316" s="16"/>
      <c r="AE316" s="16"/>
    </row>
    <row r="317" spans="19:31" x14ac:dyDescent="0.3">
      <c r="S317" s="15" t="s">
        <v>336</v>
      </c>
      <c r="T317" s="13">
        <v>214.99799999999999</v>
      </c>
      <c r="U317" s="16">
        <v>4</v>
      </c>
      <c r="V317" s="16"/>
      <c r="W317" s="16">
        <f t="shared" ca="1" si="10"/>
        <v>416</v>
      </c>
      <c r="X317" s="16" t="str">
        <f ca="1"/>
        <v>439-54-7422</v>
      </c>
      <c r="Y317" s="20">
        <f ca="1"/>
        <v>214.99799999999999</v>
      </c>
      <c r="Z317" s="16">
        <f ca="1"/>
        <v>4</v>
      </c>
      <c r="AA317" s="16"/>
      <c r="AB317" s="16"/>
      <c r="AC317" s="16"/>
      <c r="AE317" s="16"/>
    </row>
    <row r="318" spans="19:31" x14ac:dyDescent="0.3">
      <c r="S318" s="15" t="s">
        <v>499</v>
      </c>
      <c r="T318" s="13">
        <v>273.05250000000001</v>
      </c>
      <c r="U318" s="16">
        <v>7</v>
      </c>
      <c r="V318" s="16"/>
      <c r="W318" s="16">
        <f t="shared" ca="1" si="10"/>
        <v>352</v>
      </c>
      <c r="X318" s="16" t="str">
        <f ca="1"/>
        <v>440-59-5691</v>
      </c>
      <c r="Y318" s="20">
        <f ca="1"/>
        <v>273.05250000000001</v>
      </c>
      <c r="Z318" s="16">
        <f ca="1"/>
        <v>7</v>
      </c>
      <c r="AA318" s="16"/>
      <c r="AB318" s="16"/>
      <c r="AC318" s="16"/>
      <c r="AE318" s="16"/>
    </row>
    <row r="319" spans="19:31" x14ac:dyDescent="0.3">
      <c r="S319" s="15" t="s">
        <v>379</v>
      </c>
      <c r="T319" s="13">
        <v>75.547499999999999</v>
      </c>
      <c r="U319" s="16">
        <v>1</v>
      </c>
      <c r="V319" s="16"/>
      <c r="W319" s="16">
        <f t="shared" ca="1" si="10"/>
        <v>652</v>
      </c>
      <c r="X319" s="16" t="str">
        <f ca="1"/>
        <v>441-94-7118</v>
      </c>
      <c r="Y319" s="20">
        <f ca="1"/>
        <v>75.547499999999999</v>
      </c>
      <c r="Z319" s="16">
        <f ca="1"/>
        <v>1</v>
      </c>
      <c r="AA319" s="16"/>
      <c r="AB319" s="16"/>
      <c r="AC319" s="16"/>
      <c r="AE319" s="16"/>
    </row>
    <row r="320" spans="19:31" x14ac:dyDescent="0.3">
      <c r="S320" s="15" t="s">
        <v>667</v>
      </c>
      <c r="T320" s="13">
        <v>175.0455</v>
      </c>
      <c r="U320" s="16">
        <v>3</v>
      </c>
      <c r="V320" s="16"/>
      <c r="W320" s="16">
        <f t="shared" ca="1" si="10"/>
        <v>479</v>
      </c>
      <c r="X320" s="16" t="str">
        <f ca="1"/>
        <v>442-44-6497</v>
      </c>
      <c r="Y320" s="20">
        <f ca="1"/>
        <v>175.0455</v>
      </c>
      <c r="Z320" s="16">
        <f ca="1"/>
        <v>3</v>
      </c>
      <c r="AA320" s="16"/>
      <c r="AB320" s="16"/>
      <c r="AC320" s="16"/>
      <c r="AE320" s="16"/>
    </row>
    <row r="321" spans="19:31" x14ac:dyDescent="0.3">
      <c r="S321" s="15" t="s">
        <v>366</v>
      </c>
      <c r="T321" s="13">
        <v>49.308</v>
      </c>
      <c r="U321" s="16">
        <v>2</v>
      </c>
      <c r="V321" s="16"/>
      <c r="W321" s="16">
        <f t="shared" ca="1" si="10"/>
        <v>689</v>
      </c>
      <c r="X321" s="16" t="str">
        <f ca="1"/>
        <v>442-48-3607</v>
      </c>
      <c r="Y321" s="20">
        <f ca="1"/>
        <v>49.308</v>
      </c>
      <c r="Z321" s="16">
        <f ca="1"/>
        <v>2</v>
      </c>
      <c r="AA321" s="16"/>
      <c r="AB321" s="16"/>
      <c r="AC321" s="16"/>
      <c r="AE321" s="16"/>
    </row>
    <row r="322" spans="19:31" x14ac:dyDescent="0.3">
      <c r="S322" s="15" t="s">
        <v>632</v>
      </c>
      <c r="T322" s="13">
        <v>708.22500000000002</v>
      </c>
      <c r="U322" s="16">
        <v>10</v>
      </c>
      <c r="V322" s="16"/>
      <c r="W322" s="16">
        <f t="shared" ca="1" si="10"/>
        <v>81</v>
      </c>
      <c r="X322" s="16" t="str">
        <f ca="1"/>
        <v>443-59-0061</v>
      </c>
      <c r="Y322" s="20">
        <f ca="1"/>
        <v>708.22500000000002</v>
      </c>
      <c r="Z322" s="16">
        <f ca="1"/>
        <v>10</v>
      </c>
      <c r="AA322" s="16"/>
      <c r="AB322" s="16"/>
      <c r="AC322" s="16"/>
      <c r="AE322" s="16"/>
    </row>
    <row r="323" spans="19:31" x14ac:dyDescent="0.3">
      <c r="S323" s="15" t="s">
        <v>614</v>
      </c>
      <c r="T323" s="13">
        <v>326.25599999999997</v>
      </c>
      <c r="U323" s="16">
        <v>4</v>
      </c>
      <c r="V323" s="16"/>
      <c r="W323" s="16">
        <f t="shared" ref="W323:W386" ca="1" si="11">RANK(Y:Y,Y:Y)</f>
        <v>299</v>
      </c>
      <c r="X323" s="16" t="str">
        <f ca="1"/>
        <v>443-82-0585</v>
      </c>
      <c r="Y323" s="20">
        <f ca="1"/>
        <v>326.25599999999997</v>
      </c>
      <c r="Z323" s="16">
        <f ca="1"/>
        <v>4</v>
      </c>
      <c r="AA323" s="16"/>
      <c r="AB323" s="16"/>
      <c r="AC323" s="16"/>
      <c r="AE323" s="16"/>
    </row>
    <row r="324" spans="19:31" x14ac:dyDescent="0.3">
      <c r="S324" s="15" t="s">
        <v>333</v>
      </c>
      <c r="T324" s="13">
        <v>209.62200000000001</v>
      </c>
      <c r="U324" s="16">
        <v>2</v>
      </c>
      <c r="V324" s="16"/>
      <c r="W324" s="16">
        <f t="shared" ca="1" si="11"/>
        <v>426</v>
      </c>
      <c r="X324" s="16" t="str">
        <f ca="1"/>
        <v>446-47-6729</v>
      </c>
      <c r="Y324" s="20">
        <f ca="1"/>
        <v>209.62200000000001</v>
      </c>
      <c r="Z324" s="16">
        <f ca="1"/>
        <v>2</v>
      </c>
      <c r="AA324" s="16"/>
      <c r="AB324" s="16"/>
      <c r="AC324" s="16"/>
      <c r="AE324" s="16"/>
    </row>
    <row r="325" spans="19:31" x14ac:dyDescent="0.3">
      <c r="S325" s="15" t="s">
        <v>296</v>
      </c>
      <c r="T325" s="13">
        <v>233.52</v>
      </c>
      <c r="U325" s="16">
        <v>10</v>
      </c>
      <c r="V325" s="16"/>
      <c r="W325" s="16">
        <f t="shared" ca="1" si="11"/>
        <v>397</v>
      </c>
      <c r="X325" s="16" t="str">
        <f ca="1"/>
        <v>447-15-7839</v>
      </c>
      <c r="Y325" s="20">
        <f ca="1"/>
        <v>233.52</v>
      </c>
      <c r="Z325" s="16">
        <f ca="1"/>
        <v>10</v>
      </c>
      <c r="AA325" s="16"/>
      <c r="AB325" s="16"/>
      <c r="AC325" s="16"/>
      <c r="AE325" s="16"/>
    </row>
    <row r="326" spans="19:31" x14ac:dyDescent="0.3">
      <c r="S326" s="15" t="s">
        <v>756</v>
      </c>
      <c r="T326" s="13">
        <v>271.2885</v>
      </c>
      <c r="U326" s="16">
        <v>7</v>
      </c>
      <c r="V326" s="16"/>
      <c r="W326" s="16">
        <f t="shared" ca="1" si="11"/>
        <v>356</v>
      </c>
      <c r="X326" s="16" t="str">
        <f ca="1"/>
        <v>448-34-8700</v>
      </c>
      <c r="Y326" s="20">
        <f ca="1"/>
        <v>271.2885</v>
      </c>
      <c r="Z326" s="16">
        <f ca="1"/>
        <v>7</v>
      </c>
      <c r="AA326" s="16"/>
      <c r="AB326" s="16"/>
      <c r="AC326" s="16"/>
      <c r="AE326" s="16"/>
    </row>
    <row r="327" spans="19:31" x14ac:dyDescent="0.3">
      <c r="S327" s="15" t="s">
        <v>274</v>
      </c>
      <c r="T327" s="13">
        <v>125.517</v>
      </c>
      <c r="U327" s="16">
        <v>2</v>
      </c>
      <c r="V327" s="16"/>
      <c r="W327" s="16">
        <f t="shared" ca="1" si="11"/>
        <v>563</v>
      </c>
      <c r="X327" s="16" t="str">
        <f ca="1"/>
        <v>448-81-5016</v>
      </c>
      <c r="Y327" s="20">
        <f ca="1"/>
        <v>125.517</v>
      </c>
      <c r="Z327" s="16">
        <f ca="1"/>
        <v>2</v>
      </c>
      <c r="AA327" s="16"/>
      <c r="AB327" s="16"/>
      <c r="AC327" s="16"/>
      <c r="AE327" s="16"/>
    </row>
    <row r="328" spans="19:31" x14ac:dyDescent="0.3">
      <c r="S328" s="15" t="s">
        <v>482</v>
      </c>
      <c r="T328" s="13">
        <v>41.076000000000001</v>
      </c>
      <c r="U328" s="16">
        <v>1</v>
      </c>
      <c r="V328" s="16"/>
      <c r="W328" s="16">
        <f t="shared" ca="1" si="11"/>
        <v>699</v>
      </c>
      <c r="X328" s="16" t="str">
        <f ca="1"/>
        <v>449-27-2918</v>
      </c>
      <c r="Y328" s="20">
        <f ca="1"/>
        <v>41.076000000000001</v>
      </c>
      <c r="Z328" s="16">
        <f ca="1"/>
        <v>1</v>
      </c>
      <c r="AA328" s="16"/>
      <c r="AB328" s="16"/>
      <c r="AC328" s="16"/>
      <c r="AE328" s="16"/>
    </row>
    <row r="329" spans="19:31" x14ac:dyDescent="0.3">
      <c r="S329" s="15" t="s">
        <v>473</v>
      </c>
      <c r="T329" s="13">
        <v>91.56</v>
      </c>
      <c r="U329" s="16">
        <v>5</v>
      </c>
      <c r="V329" s="16"/>
      <c r="W329" s="16">
        <f t="shared" ca="1" si="11"/>
        <v>614</v>
      </c>
      <c r="X329" s="16" t="str">
        <f ca="1"/>
        <v>450-28-2866</v>
      </c>
      <c r="Y329" s="20">
        <f ca="1"/>
        <v>91.56</v>
      </c>
      <c r="Z329" s="16">
        <f ca="1"/>
        <v>5</v>
      </c>
      <c r="AA329" s="16"/>
      <c r="AB329" s="16"/>
      <c r="AC329" s="16"/>
      <c r="AE329" s="16"/>
    </row>
    <row r="330" spans="19:31" x14ac:dyDescent="0.3">
      <c r="S330" s="15" t="s">
        <v>728</v>
      </c>
      <c r="T330" s="13">
        <v>888.40499999999997</v>
      </c>
      <c r="U330" s="16">
        <v>10</v>
      </c>
      <c r="V330" s="16"/>
      <c r="W330" s="16">
        <f t="shared" ca="1" si="11"/>
        <v>24</v>
      </c>
      <c r="X330" s="16" t="str">
        <f ca="1"/>
        <v>450-42-3339</v>
      </c>
      <c r="Y330" s="20">
        <f ca="1"/>
        <v>888.40499999999997</v>
      </c>
      <c r="Z330" s="16">
        <f ca="1"/>
        <v>10</v>
      </c>
      <c r="AA330" s="16"/>
      <c r="AB330" s="16"/>
      <c r="AC330" s="16"/>
      <c r="AE330" s="16"/>
    </row>
    <row r="331" spans="19:31" x14ac:dyDescent="0.3">
      <c r="S331" s="15" t="s">
        <v>554</v>
      </c>
      <c r="T331" s="13">
        <v>523.971</v>
      </c>
      <c r="U331" s="16">
        <v>6</v>
      </c>
      <c r="V331" s="16"/>
      <c r="W331" s="16">
        <f t="shared" ca="1" si="11"/>
        <v>152</v>
      </c>
      <c r="X331" s="16" t="str">
        <f ca="1"/>
        <v>451-28-5717</v>
      </c>
      <c r="Y331" s="20">
        <f ca="1"/>
        <v>523.971</v>
      </c>
      <c r="Z331" s="16">
        <f ca="1"/>
        <v>6</v>
      </c>
      <c r="AA331" s="16"/>
      <c r="AB331" s="16"/>
      <c r="AC331" s="16"/>
      <c r="AE331" s="16"/>
    </row>
    <row r="332" spans="19:31" x14ac:dyDescent="0.3">
      <c r="S332" s="15" t="s">
        <v>480</v>
      </c>
      <c r="T332" s="13">
        <v>144.08099999999999</v>
      </c>
      <c r="U332" s="16">
        <v>3</v>
      </c>
      <c r="V332" s="16"/>
      <c r="W332" s="16">
        <f t="shared" ca="1" si="11"/>
        <v>535</v>
      </c>
      <c r="X332" s="16" t="str">
        <f ca="1"/>
        <v>453-12-7053</v>
      </c>
      <c r="Y332" s="20">
        <f ca="1"/>
        <v>144.08099999999999</v>
      </c>
      <c r="Z332" s="16">
        <f ca="1"/>
        <v>3</v>
      </c>
      <c r="AA332" s="16"/>
      <c r="AB332" s="16"/>
      <c r="AC332" s="16"/>
      <c r="AE332" s="16"/>
    </row>
    <row r="333" spans="19:31" x14ac:dyDescent="0.3">
      <c r="S333" s="15" t="s">
        <v>729</v>
      </c>
      <c r="T333" s="13">
        <v>782.20799999999997</v>
      </c>
      <c r="U333" s="16">
        <v>8</v>
      </c>
      <c r="V333" s="16"/>
      <c r="W333" s="16">
        <f t="shared" ca="1" si="11"/>
        <v>51</v>
      </c>
      <c r="X333" s="16" t="str">
        <f ca="1"/>
        <v>453-33-6436</v>
      </c>
      <c r="Y333" s="20">
        <f ca="1"/>
        <v>782.20799999999997</v>
      </c>
      <c r="Z333" s="16">
        <f ca="1"/>
        <v>8</v>
      </c>
      <c r="AA333" s="16"/>
      <c r="AB333" s="16"/>
      <c r="AC333" s="16"/>
      <c r="AE333" s="16"/>
    </row>
    <row r="334" spans="19:31" x14ac:dyDescent="0.3">
      <c r="S334" s="15" t="s">
        <v>391</v>
      </c>
      <c r="T334" s="13">
        <v>86.625</v>
      </c>
      <c r="U334" s="16">
        <v>3</v>
      </c>
      <c r="V334" s="16"/>
      <c r="W334" s="16">
        <f t="shared" ca="1" si="11"/>
        <v>621</v>
      </c>
      <c r="X334" s="16" t="str">
        <f ca="1"/>
        <v>453-63-6187</v>
      </c>
      <c r="Y334" s="20">
        <f ca="1"/>
        <v>86.625</v>
      </c>
      <c r="Z334" s="16">
        <f ca="1"/>
        <v>3</v>
      </c>
      <c r="AA334" s="16"/>
      <c r="AB334" s="16"/>
      <c r="AC334" s="16"/>
      <c r="AE334" s="16"/>
    </row>
    <row r="335" spans="19:31" x14ac:dyDescent="0.3">
      <c r="S335" s="15" t="s">
        <v>678</v>
      </c>
      <c r="T335" s="13">
        <v>684.91499999999996</v>
      </c>
      <c r="U335" s="16">
        <v>10</v>
      </c>
      <c r="V335" s="16"/>
      <c r="W335" s="16">
        <f t="shared" ca="1" si="11"/>
        <v>90</v>
      </c>
      <c r="X335" s="16" t="str">
        <f ca="1"/>
        <v>457-13-1708</v>
      </c>
      <c r="Y335" s="20">
        <f ca="1"/>
        <v>684.91499999999996</v>
      </c>
      <c r="Z335" s="16">
        <f ca="1"/>
        <v>10</v>
      </c>
      <c r="AA335" s="16"/>
      <c r="AB335" s="16"/>
      <c r="AC335" s="16"/>
      <c r="AE335" s="16"/>
    </row>
    <row r="336" spans="19:31" x14ac:dyDescent="0.3">
      <c r="S336" s="15" t="s">
        <v>178</v>
      </c>
      <c r="T336" s="13">
        <v>291.43799999999999</v>
      </c>
      <c r="U336" s="16">
        <v>6</v>
      </c>
      <c r="V336" s="16"/>
      <c r="W336" s="16">
        <f t="shared" ca="1" si="11"/>
        <v>331</v>
      </c>
      <c r="X336" s="16" t="str">
        <f ca="1"/>
        <v>458-41-1477</v>
      </c>
      <c r="Y336" s="20">
        <f ca="1"/>
        <v>291.43799999999999</v>
      </c>
      <c r="Z336" s="16">
        <f ca="1"/>
        <v>6</v>
      </c>
      <c r="AA336" s="16"/>
      <c r="AB336" s="16"/>
      <c r="AC336" s="16"/>
      <c r="AE336" s="16"/>
    </row>
    <row r="337" spans="19:31" x14ac:dyDescent="0.3">
      <c r="S337" s="15" t="s">
        <v>609</v>
      </c>
      <c r="T337" s="13">
        <v>253.26</v>
      </c>
      <c r="U337" s="16">
        <v>4</v>
      </c>
      <c r="V337" s="16"/>
      <c r="W337" s="16">
        <f t="shared" ca="1" si="11"/>
        <v>376</v>
      </c>
      <c r="X337" s="16" t="str">
        <f ca="1"/>
        <v>458-61-0011</v>
      </c>
      <c r="Y337" s="20">
        <f ca="1"/>
        <v>253.26</v>
      </c>
      <c r="Z337" s="16">
        <f ca="1"/>
        <v>4</v>
      </c>
      <c r="AA337" s="16"/>
      <c r="AB337" s="16"/>
      <c r="AC337" s="16"/>
      <c r="AE337" s="16"/>
    </row>
    <row r="338" spans="19:31" x14ac:dyDescent="0.3">
      <c r="S338" s="15" t="s">
        <v>465</v>
      </c>
      <c r="T338" s="13">
        <v>147.798</v>
      </c>
      <c r="U338" s="16">
        <v>6</v>
      </c>
      <c r="V338" s="16"/>
      <c r="W338" s="16">
        <f t="shared" ca="1" si="11"/>
        <v>526</v>
      </c>
      <c r="X338" s="16" t="str">
        <f ca="1"/>
        <v>459-50-7686</v>
      </c>
      <c r="Y338" s="20">
        <f ca="1"/>
        <v>147.798</v>
      </c>
      <c r="Z338" s="16">
        <f ca="1"/>
        <v>6</v>
      </c>
      <c r="AA338" s="16"/>
      <c r="AB338" s="16"/>
      <c r="AC338" s="16"/>
      <c r="AE338" s="16"/>
    </row>
    <row r="339" spans="19:31" x14ac:dyDescent="0.3">
      <c r="S339" s="15" t="s">
        <v>573</v>
      </c>
      <c r="T339" s="13">
        <v>96.641999999999996</v>
      </c>
      <c r="U339" s="16">
        <v>3</v>
      </c>
      <c r="V339" s="16"/>
      <c r="W339" s="16">
        <f t="shared" ca="1" si="11"/>
        <v>600</v>
      </c>
      <c r="X339" s="16" t="str">
        <f ca="1"/>
        <v>460-35-4390</v>
      </c>
      <c r="Y339" s="20">
        <f ca="1"/>
        <v>96.641999999999996</v>
      </c>
      <c r="Z339" s="16">
        <f ca="1"/>
        <v>3</v>
      </c>
      <c r="AA339" s="16"/>
      <c r="AB339" s="16"/>
      <c r="AC339" s="16"/>
      <c r="AE339" s="16"/>
    </row>
    <row r="340" spans="19:31" x14ac:dyDescent="0.3">
      <c r="S340" s="15" t="s">
        <v>396</v>
      </c>
      <c r="T340" s="13">
        <v>461.286</v>
      </c>
      <c r="U340" s="16">
        <v>6</v>
      </c>
      <c r="V340" s="16"/>
      <c r="W340" s="16">
        <f t="shared" ca="1" si="11"/>
        <v>198</v>
      </c>
      <c r="X340" s="16" t="str">
        <f ca="1"/>
        <v>462-67-9126</v>
      </c>
      <c r="Y340" s="20">
        <f ca="1"/>
        <v>461.286</v>
      </c>
      <c r="Z340" s="16">
        <f ca="1"/>
        <v>6</v>
      </c>
      <c r="AA340" s="16"/>
      <c r="AB340" s="16"/>
      <c r="AC340" s="16"/>
      <c r="AE340" s="16"/>
    </row>
    <row r="341" spans="19:31" x14ac:dyDescent="0.3">
      <c r="S341" s="15" t="s">
        <v>414</v>
      </c>
      <c r="T341" s="13">
        <v>55.881</v>
      </c>
      <c r="U341" s="16">
        <v>2</v>
      </c>
      <c r="V341" s="16"/>
      <c r="W341" s="16">
        <f t="shared" ca="1" si="11"/>
        <v>680</v>
      </c>
      <c r="X341" s="16" t="str">
        <f ca="1"/>
        <v>462-78-5240</v>
      </c>
      <c r="Y341" s="20">
        <f ca="1"/>
        <v>55.881</v>
      </c>
      <c r="Z341" s="16">
        <f ca="1"/>
        <v>2</v>
      </c>
      <c r="AA341" s="16"/>
      <c r="AB341" s="16"/>
      <c r="AC341" s="16"/>
      <c r="AE341" s="16"/>
    </row>
    <row r="342" spans="19:31" x14ac:dyDescent="0.3">
      <c r="S342" s="15" t="s">
        <v>261</v>
      </c>
      <c r="T342" s="13">
        <v>571.41</v>
      </c>
      <c r="U342" s="16">
        <v>6</v>
      </c>
      <c r="V342" s="16"/>
      <c r="W342" s="16">
        <f t="shared" ca="1" si="11"/>
        <v>128</v>
      </c>
      <c r="X342" s="16" t="str">
        <f ca="1"/>
        <v>466-61-5506</v>
      </c>
      <c r="Y342" s="20">
        <f ca="1"/>
        <v>571.41</v>
      </c>
      <c r="Z342" s="16">
        <f ca="1"/>
        <v>6</v>
      </c>
      <c r="AA342" s="16"/>
      <c r="AB342" s="16"/>
      <c r="AC342" s="16"/>
      <c r="AE342" s="16"/>
    </row>
    <row r="343" spans="19:31" x14ac:dyDescent="0.3">
      <c r="S343" s="15" t="s">
        <v>254</v>
      </c>
      <c r="T343" s="13">
        <v>456.28800000000001</v>
      </c>
      <c r="U343" s="16">
        <v>7</v>
      </c>
      <c r="V343" s="16"/>
      <c r="W343" s="16">
        <f t="shared" ca="1" si="11"/>
        <v>200</v>
      </c>
      <c r="X343" s="16" t="str">
        <f ca="1"/>
        <v>468-01-2051</v>
      </c>
      <c r="Y343" s="20">
        <f ca="1"/>
        <v>456.28800000000001</v>
      </c>
      <c r="Z343" s="16">
        <f ca="1"/>
        <v>7</v>
      </c>
      <c r="AA343" s="16"/>
      <c r="AB343" s="16"/>
      <c r="AC343" s="16"/>
      <c r="AE343" s="16"/>
    </row>
    <row r="344" spans="19:31" x14ac:dyDescent="0.3">
      <c r="S344" s="15" t="s">
        <v>400</v>
      </c>
      <c r="T344" s="13">
        <v>276.94799999999998</v>
      </c>
      <c r="U344" s="16">
        <v>4</v>
      </c>
      <c r="V344" s="16"/>
      <c r="W344" s="16">
        <f t="shared" ca="1" si="11"/>
        <v>348</v>
      </c>
      <c r="X344" s="16" t="str">
        <f ca="1"/>
        <v>468-88-0009</v>
      </c>
      <c r="Y344" s="20">
        <f ca="1"/>
        <v>276.94799999999998</v>
      </c>
      <c r="Z344" s="16">
        <f ca="1"/>
        <v>4</v>
      </c>
      <c r="AA344" s="16"/>
      <c r="AB344" s="16"/>
      <c r="AC344" s="16"/>
      <c r="AE344" s="16"/>
    </row>
    <row r="345" spans="19:31" x14ac:dyDescent="0.3">
      <c r="S345" s="15" t="s">
        <v>690</v>
      </c>
      <c r="T345" s="13">
        <v>369.68400000000003</v>
      </c>
      <c r="U345" s="16">
        <v>8</v>
      </c>
      <c r="V345" s="16"/>
      <c r="W345" s="16">
        <f t="shared" ca="1" si="11"/>
        <v>259</v>
      </c>
      <c r="X345" s="16" t="str">
        <f ca="1"/>
        <v>468-99-7231</v>
      </c>
      <c r="Y345" s="20">
        <f ca="1"/>
        <v>369.68400000000003</v>
      </c>
      <c r="Z345" s="16">
        <f ca="1"/>
        <v>8</v>
      </c>
      <c r="AA345" s="16"/>
      <c r="AB345" s="16"/>
      <c r="AC345" s="16"/>
      <c r="AE345" s="16"/>
    </row>
    <row r="346" spans="19:31" x14ac:dyDescent="0.3">
      <c r="S346" s="15" t="s">
        <v>626</v>
      </c>
      <c r="T346" s="13">
        <v>46.683</v>
      </c>
      <c r="U346" s="16">
        <v>3</v>
      </c>
      <c r="V346" s="16"/>
      <c r="W346" s="16">
        <f t="shared" ca="1" si="11"/>
        <v>692</v>
      </c>
      <c r="X346" s="16" t="str">
        <f ca="1"/>
        <v>470-31-3286</v>
      </c>
      <c r="Y346" s="20">
        <f ca="1"/>
        <v>46.683</v>
      </c>
      <c r="Z346" s="16">
        <f ca="1"/>
        <v>3</v>
      </c>
      <c r="AA346" s="16"/>
      <c r="AB346" s="16"/>
      <c r="AC346" s="16"/>
      <c r="AE346" s="16"/>
    </row>
    <row r="347" spans="19:31" x14ac:dyDescent="0.3">
      <c r="S347" s="15" t="s">
        <v>497</v>
      </c>
      <c r="T347" s="13">
        <v>269.53500000000003</v>
      </c>
      <c r="U347" s="16">
        <v>5</v>
      </c>
      <c r="V347" s="16"/>
      <c r="W347" s="16">
        <f t="shared" ca="1" si="11"/>
        <v>361</v>
      </c>
      <c r="X347" s="16" t="str">
        <f ca="1"/>
        <v>470-32-9057</v>
      </c>
      <c r="Y347" s="20">
        <f ca="1"/>
        <v>269.53500000000003</v>
      </c>
      <c r="Z347" s="16">
        <f ca="1"/>
        <v>5</v>
      </c>
      <c r="AA347" s="16"/>
      <c r="AB347" s="16"/>
      <c r="AC347" s="16"/>
      <c r="AE347" s="16"/>
    </row>
    <row r="348" spans="19:31" x14ac:dyDescent="0.3">
      <c r="S348" s="15" t="s">
        <v>685</v>
      </c>
      <c r="T348" s="13">
        <v>55.040999999999997</v>
      </c>
      <c r="U348" s="16">
        <v>1</v>
      </c>
      <c r="V348" s="16"/>
      <c r="W348" s="16">
        <f t="shared" ca="1" si="11"/>
        <v>681</v>
      </c>
      <c r="X348" s="16" t="str">
        <f ca="1"/>
        <v>471-06-8611</v>
      </c>
      <c r="Y348" s="20">
        <f ca="1"/>
        <v>55.040999999999997</v>
      </c>
      <c r="Z348" s="16">
        <f ca="1"/>
        <v>1</v>
      </c>
      <c r="AA348" s="16"/>
      <c r="AB348" s="16"/>
      <c r="AC348" s="16"/>
      <c r="AE348" s="16"/>
    </row>
    <row r="349" spans="19:31" x14ac:dyDescent="0.3">
      <c r="S349" s="15" t="s">
        <v>395</v>
      </c>
      <c r="T349" s="13">
        <v>209.559</v>
      </c>
      <c r="U349" s="16">
        <v>2</v>
      </c>
      <c r="V349" s="16"/>
      <c r="W349" s="16">
        <f t="shared" ca="1" si="11"/>
        <v>427</v>
      </c>
      <c r="X349" s="16" t="str">
        <f ca="1"/>
        <v>471-41-2823</v>
      </c>
      <c r="Y349" s="20">
        <f ca="1"/>
        <v>209.559</v>
      </c>
      <c r="Z349" s="16">
        <f ca="1"/>
        <v>2</v>
      </c>
      <c r="AA349" s="16"/>
      <c r="AB349" s="16"/>
      <c r="AC349" s="16"/>
      <c r="AE349" s="16"/>
    </row>
    <row r="350" spans="19:31" x14ac:dyDescent="0.3">
      <c r="S350" s="15" t="s">
        <v>447</v>
      </c>
      <c r="T350" s="13">
        <v>427.81200000000001</v>
      </c>
      <c r="U350" s="16">
        <v>8</v>
      </c>
      <c r="V350" s="16"/>
      <c r="W350" s="16">
        <f t="shared" ca="1" si="11"/>
        <v>217</v>
      </c>
      <c r="X350" s="16" t="str">
        <f ca="1"/>
        <v>472-15-9636</v>
      </c>
      <c r="Y350" s="20">
        <f ca="1"/>
        <v>427.81200000000001</v>
      </c>
      <c r="Z350" s="16">
        <f ca="1"/>
        <v>8</v>
      </c>
      <c r="AA350" s="16"/>
      <c r="AB350" s="16"/>
      <c r="AC350" s="16"/>
      <c r="AE350" s="16"/>
    </row>
    <row r="351" spans="19:31" x14ac:dyDescent="0.3">
      <c r="S351" s="15" t="s">
        <v>307</v>
      </c>
      <c r="T351" s="13">
        <v>628.173</v>
      </c>
      <c r="U351" s="16">
        <v>6</v>
      </c>
      <c r="V351" s="16"/>
      <c r="W351" s="16">
        <f t="shared" ca="1" si="11"/>
        <v>103</v>
      </c>
      <c r="X351" s="16" t="str">
        <f ca="1"/>
        <v>477-24-6490</v>
      </c>
      <c r="Y351" s="20">
        <f ca="1"/>
        <v>628.173</v>
      </c>
      <c r="Z351" s="16">
        <f ca="1"/>
        <v>6</v>
      </c>
      <c r="AA351" s="16"/>
      <c r="AB351" s="16"/>
      <c r="AC351" s="16"/>
      <c r="AE351" s="16"/>
    </row>
    <row r="352" spans="19:31" x14ac:dyDescent="0.3">
      <c r="S352" s="15" t="s">
        <v>272</v>
      </c>
      <c r="T352" s="13">
        <v>94.174499999999995</v>
      </c>
      <c r="U352" s="16">
        <v>1</v>
      </c>
      <c r="V352" s="16"/>
      <c r="W352" s="16">
        <f t="shared" ca="1" si="11"/>
        <v>605</v>
      </c>
      <c r="X352" s="16" t="str">
        <f ca="1"/>
        <v>478-06-7835</v>
      </c>
      <c r="Y352" s="20">
        <f ca="1"/>
        <v>94.174499999999995</v>
      </c>
      <c r="Z352" s="16">
        <f ca="1"/>
        <v>1</v>
      </c>
      <c r="AA352" s="16"/>
      <c r="AB352" s="16"/>
      <c r="AC352" s="16"/>
      <c r="AE352" s="16"/>
    </row>
    <row r="353" spans="19:31" x14ac:dyDescent="0.3">
      <c r="S353" s="15" t="s">
        <v>142</v>
      </c>
      <c r="T353" s="13">
        <v>34.628999999999998</v>
      </c>
      <c r="U353" s="16">
        <v>2</v>
      </c>
      <c r="V353" s="16"/>
      <c r="W353" s="16">
        <f t="shared" ca="1" si="11"/>
        <v>706</v>
      </c>
      <c r="X353" s="16" t="str">
        <f ca="1"/>
        <v>479-26-8945</v>
      </c>
      <c r="Y353" s="20">
        <f ca="1"/>
        <v>34.628999999999998</v>
      </c>
      <c r="Z353" s="16">
        <f ca="1"/>
        <v>2</v>
      </c>
      <c r="AA353" s="16"/>
      <c r="AB353" s="16"/>
      <c r="AC353" s="16"/>
      <c r="AE353" s="16"/>
    </row>
    <row r="354" spans="19:31" x14ac:dyDescent="0.3">
      <c r="S354" s="15" t="s">
        <v>114</v>
      </c>
      <c r="T354" s="13">
        <v>161.69999999999999</v>
      </c>
      <c r="U354" s="16">
        <v>8</v>
      </c>
      <c r="V354" s="16"/>
      <c r="W354" s="16">
        <f t="shared" ca="1" si="11"/>
        <v>503</v>
      </c>
      <c r="X354" s="16" t="str">
        <f ca="1"/>
        <v>480-63-2856</v>
      </c>
      <c r="Y354" s="20">
        <f ca="1"/>
        <v>161.69999999999999</v>
      </c>
      <c r="Z354" s="16">
        <f ca="1"/>
        <v>8</v>
      </c>
      <c r="AA354" s="16"/>
      <c r="AB354" s="16"/>
      <c r="AC354" s="16"/>
      <c r="AE354" s="16"/>
    </row>
    <row r="355" spans="19:31" x14ac:dyDescent="0.3">
      <c r="S355" s="15" t="s">
        <v>166</v>
      </c>
      <c r="T355" s="13">
        <v>512.19000000000005</v>
      </c>
      <c r="U355" s="16">
        <v>6</v>
      </c>
      <c r="V355" s="16"/>
      <c r="W355" s="16">
        <f t="shared" ca="1" si="11"/>
        <v>161</v>
      </c>
      <c r="X355" s="16" t="str">
        <f ca="1"/>
        <v>483-71-1164</v>
      </c>
      <c r="Y355" s="20">
        <f ca="1"/>
        <v>512.19000000000005</v>
      </c>
      <c r="Z355" s="16">
        <f ca="1"/>
        <v>6</v>
      </c>
      <c r="AA355" s="16"/>
      <c r="AB355" s="16"/>
      <c r="AC355" s="16"/>
      <c r="AE355" s="16"/>
    </row>
    <row r="356" spans="19:31" x14ac:dyDescent="0.3">
      <c r="S356" s="15" t="s">
        <v>627</v>
      </c>
      <c r="T356" s="13">
        <v>381.39150000000001</v>
      </c>
      <c r="U356" s="16">
        <v>7</v>
      </c>
      <c r="V356" s="16"/>
      <c r="W356" s="16">
        <f t="shared" ca="1" si="11"/>
        <v>252</v>
      </c>
      <c r="X356" s="16" t="str">
        <f ca="1"/>
        <v>484-22-8230</v>
      </c>
      <c r="Y356" s="20">
        <f ca="1"/>
        <v>381.39150000000001</v>
      </c>
      <c r="Z356" s="16">
        <f ca="1"/>
        <v>7</v>
      </c>
      <c r="AA356" s="16"/>
      <c r="AB356" s="16"/>
      <c r="AC356" s="16"/>
      <c r="AE356" s="16"/>
    </row>
    <row r="357" spans="19:31" x14ac:dyDescent="0.3">
      <c r="S357" s="15" t="s">
        <v>509</v>
      </c>
      <c r="T357" s="13">
        <v>174.61500000000001</v>
      </c>
      <c r="U357" s="16">
        <v>5</v>
      </c>
      <c r="V357" s="16"/>
      <c r="W357" s="16">
        <f t="shared" ca="1" si="11"/>
        <v>481</v>
      </c>
      <c r="X357" s="16" t="str">
        <f ca="1"/>
        <v>485-30-8700</v>
      </c>
      <c r="Y357" s="20">
        <f ca="1"/>
        <v>174.61500000000001</v>
      </c>
      <c r="Z357" s="16">
        <f ca="1"/>
        <v>5</v>
      </c>
      <c r="AA357" s="16"/>
      <c r="AB357" s="16"/>
      <c r="AC357" s="16"/>
      <c r="AE357" s="16"/>
    </row>
    <row r="358" spans="19:31" x14ac:dyDescent="0.3">
      <c r="S358" s="15" t="s">
        <v>176</v>
      </c>
      <c r="T358" s="13">
        <v>31.930499999999999</v>
      </c>
      <c r="U358" s="16">
        <v>1</v>
      </c>
      <c r="V358" s="16"/>
      <c r="W358" s="16">
        <f t="shared" ca="1" si="11"/>
        <v>713</v>
      </c>
      <c r="X358" s="16" t="str">
        <f ca="1"/>
        <v>488-25-4221</v>
      </c>
      <c r="Y358" s="20">
        <f ca="1"/>
        <v>31.930499999999999</v>
      </c>
      <c r="Z358" s="16">
        <f ca="1"/>
        <v>1</v>
      </c>
      <c r="AA358" s="16"/>
      <c r="AB358" s="16"/>
      <c r="AC358" s="16"/>
      <c r="AE358" s="16"/>
    </row>
    <row r="359" spans="19:31" x14ac:dyDescent="0.3">
      <c r="S359" s="15" t="s">
        <v>457</v>
      </c>
      <c r="T359" s="13">
        <v>17.094000000000001</v>
      </c>
      <c r="U359" s="16">
        <v>1</v>
      </c>
      <c r="V359" s="16"/>
      <c r="W359" s="16">
        <f t="shared" ca="1" si="11"/>
        <v>730</v>
      </c>
      <c r="X359" s="16" t="str">
        <f ca="1"/>
        <v>489-64-4354</v>
      </c>
      <c r="Y359" s="20">
        <f ca="1"/>
        <v>17.094000000000001</v>
      </c>
      <c r="Z359" s="16">
        <f ca="1"/>
        <v>1</v>
      </c>
      <c r="AA359" s="16"/>
      <c r="AB359" s="16"/>
      <c r="AC359" s="16"/>
      <c r="AE359" s="16"/>
    </row>
    <row r="360" spans="19:31" x14ac:dyDescent="0.3">
      <c r="S360" s="15" t="s">
        <v>742</v>
      </c>
      <c r="T360" s="13">
        <v>690.01800000000003</v>
      </c>
      <c r="U360" s="16">
        <v>7</v>
      </c>
      <c r="V360" s="16"/>
      <c r="W360" s="16">
        <f t="shared" ca="1" si="11"/>
        <v>87</v>
      </c>
      <c r="X360" s="16" t="str">
        <f ca="1"/>
        <v>489-82-1237</v>
      </c>
      <c r="Y360" s="20">
        <f ca="1"/>
        <v>690.01800000000003</v>
      </c>
      <c r="Z360" s="16">
        <f ca="1"/>
        <v>7</v>
      </c>
      <c r="AA360" s="16"/>
      <c r="AB360" s="16"/>
      <c r="AC360" s="16"/>
      <c r="AE360" s="16"/>
    </row>
    <row r="361" spans="19:31" x14ac:dyDescent="0.3">
      <c r="S361" s="15" t="s">
        <v>315</v>
      </c>
      <c r="T361" s="13">
        <v>16.106999999999999</v>
      </c>
      <c r="U361" s="16">
        <v>1</v>
      </c>
      <c r="V361" s="16"/>
      <c r="W361" s="16">
        <f t="shared" ca="1" si="11"/>
        <v>732</v>
      </c>
      <c r="X361" s="16" t="str">
        <f ca="1"/>
        <v>490-29-1201</v>
      </c>
      <c r="Y361" s="20">
        <f ca="1"/>
        <v>16.106999999999999</v>
      </c>
      <c r="Z361" s="16">
        <f ca="1"/>
        <v>1</v>
      </c>
      <c r="AA361" s="16"/>
      <c r="AB361" s="16"/>
      <c r="AC361" s="16"/>
      <c r="AE361" s="16"/>
    </row>
    <row r="362" spans="19:31" x14ac:dyDescent="0.3">
      <c r="S362" s="15" t="s">
        <v>718</v>
      </c>
      <c r="T362" s="13">
        <v>348.70499999999998</v>
      </c>
      <c r="U362" s="16">
        <v>10</v>
      </c>
      <c r="V362" s="16"/>
      <c r="W362" s="16">
        <f t="shared" ca="1" si="11"/>
        <v>279</v>
      </c>
      <c r="X362" s="16" t="str">
        <f ca="1"/>
        <v>490-95-0021</v>
      </c>
      <c r="Y362" s="20">
        <f ca="1"/>
        <v>348.70499999999998</v>
      </c>
      <c r="Z362" s="16">
        <f ca="1"/>
        <v>10</v>
      </c>
      <c r="AA362" s="16"/>
      <c r="AB362" s="16"/>
      <c r="AC362" s="16"/>
      <c r="AE362" s="16"/>
    </row>
    <row r="363" spans="19:31" x14ac:dyDescent="0.3">
      <c r="S363" s="15" t="s">
        <v>517</v>
      </c>
      <c r="T363" s="13">
        <v>388.29</v>
      </c>
      <c r="U363" s="16">
        <v>10</v>
      </c>
      <c r="V363" s="16"/>
      <c r="W363" s="16">
        <f t="shared" ca="1" si="11"/>
        <v>248</v>
      </c>
      <c r="X363" s="16" t="str">
        <f ca="1"/>
        <v>493-65-6248</v>
      </c>
      <c r="Y363" s="20">
        <f ca="1"/>
        <v>388.29</v>
      </c>
      <c r="Z363" s="16">
        <f ca="1"/>
        <v>10</v>
      </c>
      <c r="AA363" s="16"/>
      <c r="AB363" s="16"/>
      <c r="AC363" s="16"/>
      <c r="AE363" s="16"/>
    </row>
    <row r="364" spans="19:31" x14ac:dyDescent="0.3">
      <c r="S364" s="15" t="s">
        <v>318</v>
      </c>
      <c r="T364" s="13">
        <v>350.07</v>
      </c>
      <c r="U364" s="16">
        <v>5</v>
      </c>
      <c r="V364" s="16"/>
      <c r="W364" s="16">
        <f t="shared" ca="1" si="11"/>
        <v>278</v>
      </c>
      <c r="X364" s="16" t="str">
        <f ca="1"/>
        <v>498-41-1961</v>
      </c>
      <c r="Y364" s="20">
        <f ca="1"/>
        <v>350.07</v>
      </c>
      <c r="Z364" s="16">
        <f ca="1"/>
        <v>5</v>
      </c>
      <c r="AA364" s="16"/>
      <c r="AB364" s="16"/>
      <c r="AC364" s="16"/>
      <c r="AE364" s="16"/>
    </row>
    <row r="365" spans="19:31" x14ac:dyDescent="0.3">
      <c r="S365" s="15" t="s">
        <v>739</v>
      </c>
      <c r="T365" s="13">
        <v>397.84500000000003</v>
      </c>
      <c r="U365" s="16">
        <v>6</v>
      </c>
      <c r="V365" s="16"/>
      <c r="W365" s="16">
        <f t="shared" ca="1" si="11"/>
        <v>239</v>
      </c>
      <c r="X365" s="16" t="str">
        <f ca="1"/>
        <v>501-61-1753</v>
      </c>
      <c r="Y365" s="20">
        <f ca="1"/>
        <v>397.84500000000003</v>
      </c>
      <c r="Z365" s="16">
        <f ca="1"/>
        <v>6</v>
      </c>
      <c r="AA365" s="16"/>
      <c r="AB365" s="16"/>
      <c r="AC365" s="16"/>
      <c r="AE365" s="16"/>
    </row>
    <row r="366" spans="19:31" x14ac:dyDescent="0.3">
      <c r="S366" s="15" t="s">
        <v>508</v>
      </c>
      <c r="T366" s="13">
        <v>205.31700000000001</v>
      </c>
      <c r="U366" s="16">
        <v>3</v>
      </c>
      <c r="V366" s="16"/>
      <c r="W366" s="16">
        <f t="shared" ca="1" si="11"/>
        <v>435</v>
      </c>
      <c r="X366" s="16" t="str">
        <f ca="1"/>
        <v>502-05-1910</v>
      </c>
      <c r="Y366" s="20">
        <f ca="1"/>
        <v>205.31700000000001</v>
      </c>
      <c r="Z366" s="16">
        <f ca="1"/>
        <v>3</v>
      </c>
      <c r="AA366" s="16"/>
      <c r="AB366" s="16"/>
      <c r="AC366" s="16"/>
      <c r="AE366" s="16"/>
    </row>
    <row r="367" spans="19:31" x14ac:dyDescent="0.3">
      <c r="S367" s="15" t="s">
        <v>547</v>
      </c>
      <c r="T367" s="13">
        <v>429.16649999999998</v>
      </c>
      <c r="U367" s="16">
        <v>7</v>
      </c>
      <c r="V367" s="16"/>
      <c r="W367" s="16">
        <f t="shared" ca="1" si="11"/>
        <v>216</v>
      </c>
      <c r="X367" s="16" t="str">
        <f ca="1"/>
        <v>503-07-0930</v>
      </c>
      <c r="Y367" s="20">
        <f ca="1"/>
        <v>429.16649999999998</v>
      </c>
      <c r="Z367" s="16">
        <f ca="1"/>
        <v>7</v>
      </c>
      <c r="AA367" s="16"/>
      <c r="AB367" s="16"/>
      <c r="AC367" s="16"/>
      <c r="AE367" s="16"/>
    </row>
    <row r="368" spans="19:31" x14ac:dyDescent="0.3">
      <c r="S368" s="15" t="s">
        <v>120</v>
      </c>
      <c r="T368" s="13">
        <v>44.593499999999999</v>
      </c>
      <c r="U368" s="16">
        <v>1</v>
      </c>
      <c r="V368" s="16"/>
      <c r="W368" s="16">
        <f t="shared" ca="1" si="11"/>
        <v>694</v>
      </c>
      <c r="X368" s="16" t="str">
        <f ca="1"/>
        <v>504-35-8843</v>
      </c>
      <c r="Y368" s="20">
        <f ca="1"/>
        <v>44.593499999999999</v>
      </c>
      <c r="Z368" s="16">
        <f ca="1"/>
        <v>1</v>
      </c>
      <c r="AA368" s="16"/>
      <c r="AB368" s="16"/>
      <c r="AC368" s="16"/>
      <c r="AE368" s="16"/>
    </row>
    <row r="369" spans="19:31" x14ac:dyDescent="0.3">
      <c r="S369" s="15" t="s">
        <v>198</v>
      </c>
      <c r="T369" s="13">
        <v>357.58800000000002</v>
      </c>
      <c r="U369" s="16">
        <v>8</v>
      </c>
      <c r="V369" s="16"/>
      <c r="W369" s="16">
        <f t="shared" ca="1" si="11"/>
        <v>268</v>
      </c>
      <c r="X369" s="16" t="str">
        <f ca="1"/>
        <v>505-02-0892</v>
      </c>
      <c r="Y369" s="20">
        <f ca="1"/>
        <v>357.58800000000002</v>
      </c>
      <c r="Z369" s="16">
        <f ca="1"/>
        <v>8</v>
      </c>
      <c r="AA369" s="16"/>
      <c r="AB369" s="16"/>
      <c r="AC369" s="16"/>
      <c r="AE369" s="16"/>
    </row>
    <row r="370" spans="19:31" x14ac:dyDescent="0.3">
      <c r="S370" s="15" t="s">
        <v>727</v>
      </c>
      <c r="T370" s="13">
        <v>193.07400000000001</v>
      </c>
      <c r="U370" s="16">
        <v>4</v>
      </c>
      <c r="V370" s="16"/>
      <c r="W370" s="16">
        <f t="shared" ca="1" si="11"/>
        <v>454</v>
      </c>
      <c r="X370" s="16" t="str">
        <f ca="1"/>
        <v>509-10-0516</v>
      </c>
      <c r="Y370" s="20">
        <f ca="1"/>
        <v>193.07400000000001</v>
      </c>
      <c r="Z370" s="16">
        <f ca="1"/>
        <v>4</v>
      </c>
      <c r="AA370" s="16"/>
      <c r="AB370" s="16"/>
      <c r="AC370" s="16"/>
      <c r="AE370" s="16"/>
    </row>
    <row r="371" spans="19:31" x14ac:dyDescent="0.3">
      <c r="S371" s="15" t="s">
        <v>524</v>
      </c>
      <c r="T371" s="13">
        <v>206.43</v>
      </c>
      <c r="U371" s="16">
        <v>10</v>
      </c>
      <c r="V371" s="16"/>
      <c r="W371" s="16">
        <f t="shared" ca="1" si="11"/>
        <v>434</v>
      </c>
      <c r="X371" s="16" t="str">
        <f ca="1"/>
        <v>510-09-5628</v>
      </c>
      <c r="Y371" s="20">
        <f ca="1"/>
        <v>206.43</v>
      </c>
      <c r="Z371" s="16">
        <f ca="1"/>
        <v>10</v>
      </c>
      <c r="AA371" s="16"/>
      <c r="AB371" s="16"/>
      <c r="AC371" s="16"/>
      <c r="AE371" s="16"/>
    </row>
    <row r="372" spans="19:31" x14ac:dyDescent="0.3">
      <c r="S372" s="15" t="s">
        <v>104</v>
      </c>
      <c r="T372" s="13">
        <v>152.83799999999999</v>
      </c>
      <c r="U372" s="16">
        <v>3</v>
      </c>
      <c r="V372" s="16"/>
      <c r="W372" s="16">
        <f t="shared" ca="1" si="11"/>
        <v>513</v>
      </c>
      <c r="X372" s="16" t="str">
        <f ca="1"/>
        <v>510-95-6347</v>
      </c>
      <c r="Y372" s="20">
        <f ca="1"/>
        <v>152.83799999999999</v>
      </c>
      <c r="Z372" s="16">
        <f ca="1"/>
        <v>3</v>
      </c>
      <c r="AA372" s="16"/>
      <c r="AB372" s="16"/>
      <c r="AC372" s="16"/>
      <c r="AE372" s="16"/>
    </row>
    <row r="373" spans="19:31" x14ac:dyDescent="0.3">
      <c r="S373" s="15" t="s">
        <v>537</v>
      </c>
      <c r="T373" s="13">
        <v>92.872500000000002</v>
      </c>
      <c r="U373" s="16">
        <v>1</v>
      </c>
      <c r="V373" s="16"/>
      <c r="W373" s="16">
        <f t="shared" ca="1" si="11"/>
        <v>610</v>
      </c>
      <c r="X373" s="16" t="str">
        <f ca="1"/>
        <v>511-54-3087</v>
      </c>
      <c r="Y373" s="20">
        <f ca="1"/>
        <v>92.872500000000002</v>
      </c>
      <c r="Z373" s="16">
        <f ca="1"/>
        <v>1</v>
      </c>
      <c r="AA373" s="16"/>
      <c r="AB373" s="16"/>
      <c r="AC373" s="16"/>
      <c r="AE373" s="16"/>
    </row>
    <row r="374" spans="19:31" x14ac:dyDescent="0.3">
      <c r="S374" s="15" t="s">
        <v>126</v>
      </c>
      <c r="T374" s="13">
        <v>94.237499999999997</v>
      </c>
      <c r="U374" s="16">
        <v>1</v>
      </c>
      <c r="V374" s="16"/>
      <c r="W374" s="16">
        <f t="shared" ca="1" si="11"/>
        <v>603</v>
      </c>
      <c r="X374" s="16" t="str">
        <f ca="1"/>
        <v>512-91-0811</v>
      </c>
      <c r="Y374" s="20">
        <f ca="1"/>
        <v>94.237499999999997</v>
      </c>
      <c r="Z374" s="16">
        <f ca="1"/>
        <v>1</v>
      </c>
      <c r="AA374" s="16"/>
      <c r="AB374" s="16"/>
      <c r="AC374" s="16"/>
      <c r="AE374" s="16"/>
    </row>
    <row r="375" spans="19:31" x14ac:dyDescent="0.3">
      <c r="S375" s="15" t="s">
        <v>341</v>
      </c>
      <c r="T375" s="13">
        <v>83.412000000000006</v>
      </c>
      <c r="U375" s="16">
        <v>3</v>
      </c>
      <c r="V375" s="16"/>
      <c r="W375" s="16">
        <f t="shared" ca="1" si="11"/>
        <v>628</v>
      </c>
      <c r="X375" s="16" t="str">
        <f ca="1"/>
        <v>512-98-1403</v>
      </c>
      <c r="Y375" s="20">
        <f ca="1"/>
        <v>83.412000000000006</v>
      </c>
      <c r="Z375" s="16">
        <f ca="1"/>
        <v>3</v>
      </c>
      <c r="AA375" s="16"/>
      <c r="AB375" s="16"/>
      <c r="AC375" s="16"/>
      <c r="AE375" s="16"/>
    </row>
    <row r="376" spans="19:31" x14ac:dyDescent="0.3">
      <c r="S376" s="15" t="s">
        <v>597</v>
      </c>
      <c r="T376" s="13">
        <v>208.42500000000001</v>
      </c>
      <c r="U376" s="16">
        <v>2</v>
      </c>
      <c r="V376" s="16"/>
      <c r="W376" s="16">
        <f t="shared" ca="1" si="11"/>
        <v>430</v>
      </c>
      <c r="X376" s="16" t="str">
        <f ca="1"/>
        <v>514-37-2845</v>
      </c>
      <c r="Y376" s="20">
        <f ca="1"/>
        <v>208.42500000000001</v>
      </c>
      <c r="Z376" s="16">
        <f ca="1"/>
        <v>2</v>
      </c>
      <c r="AA376" s="16"/>
      <c r="AB376" s="16"/>
      <c r="AC376" s="16"/>
      <c r="AE376" s="16"/>
    </row>
    <row r="377" spans="19:31" x14ac:dyDescent="0.3">
      <c r="S377" s="15" t="s">
        <v>643</v>
      </c>
      <c r="T377" s="13">
        <v>204.24600000000001</v>
      </c>
      <c r="U377" s="16">
        <v>4</v>
      </c>
      <c r="V377" s="16"/>
      <c r="W377" s="16">
        <f t="shared" ca="1" si="11"/>
        <v>437</v>
      </c>
      <c r="X377" s="16" t="str">
        <f ca="1"/>
        <v>518-17-2983</v>
      </c>
      <c r="Y377" s="20">
        <f ca="1"/>
        <v>204.24600000000001</v>
      </c>
      <c r="Z377" s="16">
        <f ca="1"/>
        <v>4</v>
      </c>
      <c r="AA377" s="16"/>
      <c r="AB377" s="16"/>
      <c r="AC377" s="16"/>
      <c r="AE377" s="16"/>
    </row>
    <row r="378" spans="19:31" x14ac:dyDescent="0.3">
      <c r="S378" s="15" t="s">
        <v>550</v>
      </c>
      <c r="T378" s="13">
        <v>206.79750000000001</v>
      </c>
      <c r="U378" s="16">
        <v>5</v>
      </c>
      <c r="V378" s="16"/>
      <c r="W378" s="16">
        <f t="shared" ca="1" si="11"/>
        <v>433</v>
      </c>
      <c r="X378" s="16" t="str">
        <f ca="1"/>
        <v>521-18-7827</v>
      </c>
      <c r="Y378" s="20">
        <f ca="1"/>
        <v>206.79750000000001</v>
      </c>
      <c r="Z378" s="16">
        <f ca="1"/>
        <v>5</v>
      </c>
      <c r="AA378" s="16"/>
      <c r="AB378" s="16"/>
      <c r="AC378" s="16"/>
      <c r="AE378" s="16"/>
    </row>
    <row r="379" spans="19:31" x14ac:dyDescent="0.3">
      <c r="S379" s="15" t="s">
        <v>314</v>
      </c>
      <c r="T379" s="13">
        <v>38.85</v>
      </c>
      <c r="U379" s="16">
        <v>1</v>
      </c>
      <c r="V379" s="16"/>
      <c r="W379" s="16">
        <f t="shared" ca="1" si="11"/>
        <v>703</v>
      </c>
      <c r="X379" s="16" t="str">
        <f ca="1"/>
        <v>523-38-0215</v>
      </c>
      <c r="Y379" s="20">
        <f ca="1"/>
        <v>38.85</v>
      </c>
      <c r="Z379" s="16">
        <f ca="1"/>
        <v>1</v>
      </c>
      <c r="AA379" s="16"/>
      <c r="AB379" s="16"/>
      <c r="AC379" s="16"/>
      <c r="AE379" s="16"/>
    </row>
    <row r="380" spans="19:31" x14ac:dyDescent="0.3">
      <c r="S380" s="15" t="s">
        <v>418</v>
      </c>
      <c r="T380" s="13">
        <v>79.611000000000004</v>
      </c>
      <c r="U380" s="16">
        <v>1</v>
      </c>
      <c r="V380" s="16"/>
      <c r="W380" s="16">
        <f t="shared" ca="1" si="11"/>
        <v>636</v>
      </c>
      <c r="X380" s="16" t="str">
        <f ca="1"/>
        <v>525-88-7307</v>
      </c>
      <c r="Y380" s="20">
        <f ca="1"/>
        <v>79.611000000000004</v>
      </c>
      <c r="Z380" s="16">
        <f ca="1"/>
        <v>1</v>
      </c>
      <c r="AA380" s="16"/>
      <c r="AB380" s="16"/>
      <c r="AC380" s="16"/>
      <c r="AE380" s="16"/>
    </row>
    <row r="381" spans="19:31" x14ac:dyDescent="0.3">
      <c r="S381" s="15" t="s">
        <v>309</v>
      </c>
      <c r="T381" s="13">
        <v>229.11</v>
      </c>
      <c r="U381" s="16">
        <v>10</v>
      </c>
      <c r="V381" s="16"/>
      <c r="W381" s="16">
        <f t="shared" ca="1" si="11"/>
        <v>401</v>
      </c>
      <c r="X381" s="16" t="str">
        <f ca="1"/>
        <v>526-86-8552</v>
      </c>
      <c r="Y381" s="20">
        <f ca="1"/>
        <v>229.11</v>
      </c>
      <c r="Z381" s="16">
        <f ca="1"/>
        <v>10</v>
      </c>
      <c r="AA381" s="16"/>
      <c r="AB381" s="16"/>
      <c r="AC381" s="16"/>
      <c r="AE381" s="16"/>
    </row>
    <row r="382" spans="19:31" x14ac:dyDescent="0.3">
      <c r="S382" s="15" t="s">
        <v>368</v>
      </c>
      <c r="T382" s="13">
        <v>149.36250000000001</v>
      </c>
      <c r="U382" s="16">
        <v>5</v>
      </c>
      <c r="V382" s="16"/>
      <c r="W382" s="16">
        <f t="shared" ca="1" si="11"/>
        <v>522</v>
      </c>
      <c r="X382" s="16" t="str">
        <f ca="1"/>
        <v>527-09-6272</v>
      </c>
      <c r="Y382" s="20">
        <f ca="1"/>
        <v>149.36250000000001</v>
      </c>
      <c r="Z382" s="16">
        <f ca="1"/>
        <v>5</v>
      </c>
      <c r="AA382" s="16"/>
      <c r="AB382" s="16"/>
      <c r="AC382" s="16"/>
      <c r="AE382" s="16"/>
    </row>
    <row r="383" spans="19:31" x14ac:dyDescent="0.3">
      <c r="S383" s="15" t="s">
        <v>648</v>
      </c>
      <c r="T383" s="13">
        <v>41.454000000000001</v>
      </c>
      <c r="U383" s="16">
        <v>1</v>
      </c>
      <c r="V383" s="16"/>
      <c r="W383" s="16">
        <f t="shared" ca="1" si="11"/>
        <v>697</v>
      </c>
      <c r="X383" s="16" t="str">
        <f ca="1"/>
        <v>528-87-5606</v>
      </c>
      <c r="Y383" s="20">
        <f ca="1"/>
        <v>41.454000000000001</v>
      </c>
      <c r="Z383" s="16">
        <f ca="1"/>
        <v>1</v>
      </c>
      <c r="AA383" s="16"/>
      <c r="AB383" s="16"/>
      <c r="AC383" s="16"/>
      <c r="AE383" s="16"/>
    </row>
    <row r="384" spans="19:31" x14ac:dyDescent="0.3">
      <c r="S384" s="15" t="s">
        <v>43</v>
      </c>
      <c r="T384" s="13">
        <v>107.142</v>
      </c>
      <c r="U384" s="16">
        <v>4</v>
      </c>
      <c r="V384" s="16"/>
      <c r="W384" s="16">
        <f t="shared" ca="1" si="11"/>
        <v>582</v>
      </c>
      <c r="X384" s="16" t="str">
        <f ca="1"/>
        <v>529-56-3974</v>
      </c>
      <c r="Y384" s="20">
        <f ca="1"/>
        <v>107.142</v>
      </c>
      <c r="Z384" s="16">
        <f ca="1"/>
        <v>4</v>
      </c>
      <c r="AA384" s="16"/>
      <c r="AB384" s="16"/>
      <c r="AC384" s="16"/>
      <c r="AE384" s="16"/>
    </row>
    <row r="385" spans="19:31" x14ac:dyDescent="0.3">
      <c r="S385" s="15" t="s">
        <v>278</v>
      </c>
      <c r="T385" s="13">
        <v>399.75599999999997</v>
      </c>
      <c r="U385" s="16">
        <v>8</v>
      </c>
      <c r="V385" s="16"/>
      <c r="W385" s="16">
        <f t="shared" ca="1" si="11"/>
        <v>235</v>
      </c>
      <c r="X385" s="16" t="str">
        <f ca="1"/>
        <v>530-90-9855</v>
      </c>
      <c r="Y385" s="20">
        <f ca="1"/>
        <v>399.75599999999997</v>
      </c>
      <c r="Z385" s="16">
        <f ca="1"/>
        <v>8</v>
      </c>
      <c r="AA385" s="16"/>
      <c r="AB385" s="16"/>
      <c r="AC385" s="16"/>
      <c r="AE385" s="16"/>
    </row>
    <row r="386" spans="19:31" x14ac:dyDescent="0.3">
      <c r="S386" s="15" t="s">
        <v>757</v>
      </c>
      <c r="T386" s="13">
        <v>252.25200000000001</v>
      </c>
      <c r="U386" s="16">
        <v>3</v>
      </c>
      <c r="V386" s="16"/>
      <c r="W386" s="16">
        <f t="shared" ca="1" si="11"/>
        <v>378</v>
      </c>
      <c r="X386" s="16" t="str">
        <f ca="1"/>
        <v>531-56-4728</v>
      </c>
      <c r="Y386" s="20">
        <f ca="1"/>
        <v>252.25200000000001</v>
      </c>
      <c r="Z386" s="16">
        <f ca="1"/>
        <v>3</v>
      </c>
      <c r="AA386" s="16"/>
      <c r="AB386" s="16"/>
      <c r="AC386" s="16"/>
      <c r="AE386" s="16"/>
    </row>
    <row r="387" spans="19:31" x14ac:dyDescent="0.3">
      <c r="S387" s="15" t="s">
        <v>381</v>
      </c>
      <c r="T387" s="13">
        <v>191.24700000000001</v>
      </c>
      <c r="U387" s="16">
        <v>7</v>
      </c>
      <c r="V387" s="16"/>
      <c r="W387" s="16">
        <f t="shared" ref="W387:W450" ca="1" si="12">RANK(Y:Y,Y:Y)</f>
        <v>457</v>
      </c>
      <c r="X387" s="16" t="str">
        <f ca="1"/>
        <v>531-80-1784</v>
      </c>
      <c r="Y387" s="20">
        <f ca="1"/>
        <v>191.24700000000001</v>
      </c>
      <c r="Z387" s="16">
        <f ca="1"/>
        <v>7</v>
      </c>
      <c r="AA387" s="16"/>
      <c r="AB387" s="16"/>
      <c r="AC387" s="16"/>
      <c r="AE387" s="16"/>
    </row>
    <row r="388" spans="19:31" x14ac:dyDescent="0.3">
      <c r="S388" s="15" t="s">
        <v>343</v>
      </c>
      <c r="T388" s="13">
        <v>503.55900000000003</v>
      </c>
      <c r="U388" s="16">
        <v>6</v>
      </c>
      <c r="V388" s="16"/>
      <c r="W388" s="16">
        <f t="shared" ca="1" si="12"/>
        <v>169</v>
      </c>
      <c r="X388" s="16" t="str">
        <f ca="1"/>
        <v>532-59-7201</v>
      </c>
      <c r="Y388" s="20">
        <f ca="1"/>
        <v>503.55900000000003</v>
      </c>
      <c r="Z388" s="16">
        <f ca="1"/>
        <v>6</v>
      </c>
      <c r="AA388" s="16"/>
      <c r="AB388" s="16"/>
      <c r="AC388" s="16"/>
      <c r="AE388" s="16"/>
    </row>
    <row r="389" spans="19:31" x14ac:dyDescent="0.3">
      <c r="S389" s="15" t="s">
        <v>490</v>
      </c>
      <c r="T389" s="13">
        <v>833.59500000000003</v>
      </c>
      <c r="U389" s="16">
        <v>10</v>
      </c>
      <c r="V389" s="16"/>
      <c r="W389" s="16">
        <f t="shared" ca="1" si="12"/>
        <v>35</v>
      </c>
      <c r="X389" s="16" t="str">
        <f ca="1"/>
        <v>533-33-5337</v>
      </c>
      <c r="Y389" s="20">
        <f ca="1"/>
        <v>833.59500000000003</v>
      </c>
      <c r="Z389" s="16">
        <f ca="1"/>
        <v>10</v>
      </c>
      <c r="AA389" s="16"/>
      <c r="AB389" s="16"/>
      <c r="AC389" s="16"/>
      <c r="AE389" s="16"/>
    </row>
    <row r="390" spans="19:31" x14ac:dyDescent="0.3">
      <c r="S390" s="15" t="s">
        <v>713</v>
      </c>
      <c r="T390" s="13">
        <v>375.36450000000002</v>
      </c>
      <c r="U390" s="16">
        <v>7</v>
      </c>
      <c r="V390" s="16"/>
      <c r="W390" s="16">
        <f t="shared" ca="1" si="12"/>
        <v>255</v>
      </c>
      <c r="X390" s="16" t="str">
        <f ca="1"/>
        <v>533-66-5566</v>
      </c>
      <c r="Y390" s="20">
        <f ca="1"/>
        <v>375.36450000000002</v>
      </c>
      <c r="Z390" s="16">
        <f ca="1"/>
        <v>7</v>
      </c>
      <c r="AA390" s="16"/>
      <c r="AB390" s="16"/>
      <c r="AC390" s="16"/>
      <c r="AE390" s="16"/>
    </row>
    <row r="391" spans="19:31" x14ac:dyDescent="0.3">
      <c r="S391" s="15" t="s">
        <v>557</v>
      </c>
      <c r="T391" s="13">
        <v>514.77300000000002</v>
      </c>
      <c r="U391" s="16">
        <v>6</v>
      </c>
      <c r="V391" s="16"/>
      <c r="W391" s="16">
        <f t="shared" ca="1" si="12"/>
        <v>159</v>
      </c>
      <c r="X391" s="16" t="str">
        <f ca="1"/>
        <v>534-01-4457</v>
      </c>
      <c r="Y391" s="20">
        <f ca="1"/>
        <v>514.77300000000002</v>
      </c>
      <c r="Z391" s="16">
        <f ca="1"/>
        <v>6</v>
      </c>
      <c r="AA391" s="16"/>
      <c r="AB391" s="16"/>
      <c r="AC391" s="16"/>
      <c r="AE391" s="16"/>
    </row>
    <row r="392" spans="19:31" x14ac:dyDescent="0.3">
      <c r="S392" s="15" t="s">
        <v>688</v>
      </c>
      <c r="T392" s="13">
        <v>397.99200000000002</v>
      </c>
      <c r="U392" s="16">
        <v>4</v>
      </c>
      <c r="V392" s="16"/>
      <c r="W392" s="16">
        <f t="shared" ca="1" si="12"/>
        <v>238</v>
      </c>
      <c r="X392" s="16" t="str">
        <f ca="1"/>
        <v>534-53-3526</v>
      </c>
      <c r="Y392" s="20">
        <f ca="1"/>
        <v>397.99200000000002</v>
      </c>
      <c r="Z392" s="16">
        <f ca="1"/>
        <v>4</v>
      </c>
      <c r="AA392" s="16"/>
      <c r="AB392" s="16"/>
      <c r="AC392" s="16"/>
      <c r="AE392" s="16"/>
    </row>
    <row r="393" spans="19:31" x14ac:dyDescent="0.3">
      <c r="S393" s="15" t="s">
        <v>311</v>
      </c>
      <c r="T393" s="13">
        <v>745.39499999999998</v>
      </c>
      <c r="U393" s="16">
        <v>10</v>
      </c>
      <c r="V393" s="16"/>
      <c r="W393" s="16">
        <f t="shared" ca="1" si="12"/>
        <v>64</v>
      </c>
      <c r="X393" s="16" t="str">
        <f ca="1"/>
        <v>537-72-0426</v>
      </c>
      <c r="Y393" s="20">
        <f ca="1"/>
        <v>745.39499999999998</v>
      </c>
      <c r="Z393" s="16">
        <f ca="1"/>
        <v>10</v>
      </c>
      <c r="AA393" s="16"/>
      <c r="AB393" s="16"/>
      <c r="AC393" s="16"/>
      <c r="AE393" s="16"/>
    </row>
    <row r="394" spans="19:31" x14ac:dyDescent="0.3">
      <c r="S394" s="15" t="s">
        <v>581</v>
      </c>
      <c r="T394" s="13">
        <v>270.58499999999998</v>
      </c>
      <c r="U394" s="16">
        <v>5</v>
      </c>
      <c r="V394" s="16"/>
      <c r="W394" s="16">
        <f t="shared" ca="1" si="12"/>
        <v>358</v>
      </c>
      <c r="X394" s="16" t="str">
        <f ca="1"/>
        <v>539-21-7227</v>
      </c>
      <c r="Y394" s="20">
        <f ca="1"/>
        <v>270.58499999999998</v>
      </c>
      <c r="Z394" s="16">
        <f ca="1"/>
        <v>5</v>
      </c>
      <c r="AA394" s="16"/>
      <c r="AB394" s="16"/>
      <c r="AC394" s="16"/>
      <c r="AE394" s="16"/>
    </row>
    <row r="395" spans="19:31" x14ac:dyDescent="0.3">
      <c r="S395" s="15" t="s">
        <v>273</v>
      </c>
      <c r="T395" s="13">
        <v>235.68299999999999</v>
      </c>
      <c r="U395" s="16">
        <v>9</v>
      </c>
      <c r="V395" s="16"/>
      <c r="W395" s="16">
        <f t="shared" ca="1" si="12"/>
        <v>394</v>
      </c>
      <c r="X395" s="16" t="str">
        <f ca="1"/>
        <v>540-11-4336</v>
      </c>
      <c r="Y395" s="20">
        <f ca="1"/>
        <v>235.68299999999999</v>
      </c>
      <c r="Z395" s="16">
        <f ca="1"/>
        <v>9</v>
      </c>
      <c r="AA395" s="16"/>
      <c r="AB395" s="16"/>
      <c r="AC395" s="16"/>
      <c r="AE395" s="16"/>
    </row>
    <row r="396" spans="19:31" x14ac:dyDescent="0.3">
      <c r="S396" s="15" t="s">
        <v>513</v>
      </c>
      <c r="T396" s="13">
        <v>554.14800000000002</v>
      </c>
      <c r="U396" s="16">
        <v>8</v>
      </c>
      <c r="V396" s="16"/>
      <c r="W396" s="16">
        <f t="shared" ca="1" si="12"/>
        <v>132</v>
      </c>
      <c r="X396" s="16" t="str">
        <f ca="1"/>
        <v>541-08-3113</v>
      </c>
      <c r="Y396" s="20">
        <f ca="1"/>
        <v>554.14800000000002</v>
      </c>
      <c r="Z396" s="16">
        <f ca="1"/>
        <v>8</v>
      </c>
      <c r="AA396" s="16"/>
      <c r="AB396" s="16"/>
      <c r="AC396" s="16"/>
      <c r="AE396" s="16"/>
    </row>
    <row r="397" spans="19:31" x14ac:dyDescent="0.3">
      <c r="S397" s="15" t="s">
        <v>580</v>
      </c>
      <c r="T397" s="13">
        <v>575.97749999999996</v>
      </c>
      <c r="U397" s="16">
        <v>9</v>
      </c>
      <c r="V397" s="16"/>
      <c r="W397" s="16">
        <f t="shared" ca="1" si="12"/>
        <v>124</v>
      </c>
      <c r="X397" s="16" t="str">
        <f ca="1"/>
        <v>541-48-8554</v>
      </c>
      <c r="Y397" s="20">
        <f ca="1"/>
        <v>575.97749999999996</v>
      </c>
      <c r="Z397" s="16">
        <f ca="1"/>
        <v>9</v>
      </c>
      <c r="AA397" s="16"/>
      <c r="AB397" s="16"/>
      <c r="AC397" s="16"/>
      <c r="AE397" s="16"/>
    </row>
    <row r="398" spans="19:31" x14ac:dyDescent="0.3">
      <c r="S398" s="15" t="s">
        <v>423</v>
      </c>
      <c r="T398" s="13">
        <v>253.512</v>
      </c>
      <c r="U398" s="16">
        <v>3</v>
      </c>
      <c r="V398" s="16"/>
      <c r="W398" s="16">
        <f t="shared" ca="1" si="12"/>
        <v>375</v>
      </c>
      <c r="X398" s="16" t="str">
        <f ca="1"/>
        <v>541-89-9860</v>
      </c>
      <c r="Y398" s="20">
        <f ca="1"/>
        <v>253.512</v>
      </c>
      <c r="Z398" s="16">
        <f ca="1"/>
        <v>3</v>
      </c>
      <c r="AA398" s="16"/>
      <c r="AB398" s="16"/>
      <c r="AC398" s="16"/>
      <c r="AE398" s="16"/>
    </row>
    <row r="399" spans="19:31" x14ac:dyDescent="0.3">
      <c r="S399" s="15" t="s">
        <v>234</v>
      </c>
      <c r="T399" s="13">
        <v>241.458</v>
      </c>
      <c r="U399" s="16">
        <v>4</v>
      </c>
      <c r="V399" s="16"/>
      <c r="W399" s="16">
        <f t="shared" ca="1" si="12"/>
        <v>387</v>
      </c>
      <c r="X399" s="16" t="str">
        <f ca="1"/>
        <v>542-41-0513</v>
      </c>
      <c r="Y399" s="20">
        <f ca="1"/>
        <v>241.458</v>
      </c>
      <c r="Z399" s="16">
        <f ca="1"/>
        <v>4</v>
      </c>
      <c r="AA399" s="16"/>
      <c r="AB399" s="16"/>
      <c r="AC399" s="16"/>
      <c r="AE399" s="16"/>
    </row>
    <row r="400" spans="19:31" x14ac:dyDescent="0.3">
      <c r="S400" s="15" t="s">
        <v>264</v>
      </c>
      <c r="T400" s="13">
        <v>33.358499999999999</v>
      </c>
      <c r="U400" s="16">
        <v>3</v>
      </c>
      <c r="V400" s="16"/>
      <c r="W400" s="16">
        <f t="shared" ca="1" si="12"/>
        <v>710</v>
      </c>
      <c r="X400" s="16" t="str">
        <f ca="1"/>
        <v>545-46-3100</v>
      </c>
      <c r="Y400" s="20">
        <f ca="1"/>
        <v>33.358499999999999</v>
      </c>
      <c r="Z400" s="16">
        <f ca="1"/>
        <v>3</v>
      </c>
      <c r="AA400" s="16"/>
      <c r="AB400" s="16"/>
      <c r="AC400" s="16"/>
      <c r="AE400" s="16"/>
    </row>
    <row r="401" spans="19:31" x14ac:dyDescent="0.3">
      <c r="S401" s="15" t="s">
        <v>197</v>
      </c>
      <c r="T401" s="13">
        <v>418.95</v>
      </c>
      <c r="U401" s="16">
        <v>10</v>
      </c>
      <c r="V401" s="16"/>
      <c r="W401" s="16">
        <f t="shared" ca="1" si="12"/>
        <v>221</v>
      </c>
      <c r="X401" s="16" t="str">
        <f ca="1"/>
        <v>548-46-9322</v>
      </c>
      <c r="Y401" s="20">
        <f ca="1"/>
        <v>418.95</v>
      </c>
      <c r="Z401" s="16">
        <f ca="1"/>
        <v>10</v>
      </c>
      <c r="AA401" s="16"/>
      <c r="AB401" s="16"/>
      <c r="AC401" s="16"/>
      <c r="AE401" s="16"/>
    </row>
    <row r="402" spans="19:31" x14ac:dyDescent="0.3">
      <c r="S402" s="15" t="s">
        <v>251</v>
      </c>
      <c r="T402" s="13">
        <v>796.90800000000002</v>
      </c>
      <c r="U402" s="16">
        <v>8</v>
      </c>
      <c r="V402" s="16"/>
      <c r="W402" s="16">
        <f t="shared" ca="1" si="12"/>
        <v>44</v>
      </c>
      <c r="X402" s="16" t="str">
        <f ca="1"/>
        <v>549-03-9315</v>
      </c>
      <c r="Y402" s="20">
        <f ca="1"/>
        <v>796.90800000000002</v>
      </c>
      <c r="Z402" s="16">
        <f ca="1"/>
        <v>8</v>
      </c>
      <c r="AA402" s="16"/>
      <c r="AB402" s="16"/>
      <c r="AC402" s="16"/>
      <c r="AE402" s="16"/>
    </row>
    <row r="403" spans="19:31" x14ac:dyDescent="0.3">
      <c r="S403" s="15" t="s">
        <v>56</v>
      </c>
      <c r="T403" s="13">
        <v>279.18450000000001</v>
      </c>
      <c r="U403" s="16">
        <v>3</v>
      </c>
      <c r="V403" s="16"/>
      <c r="W403" s="16">
        <f t="shared" ca="1" si="12"/>
        <v>345</v>
      </c>
      <c r="X403" s="16" t="str">
        <f ca="1"/>
        <v>549-59-1358</v>
      </c>
      <c r="Y403" s="20">
        <f ca="1"/>
        <v>279.18450000000001</v>
      </c>
      <c r="Z403" s="16">
        <f ca="1"/>
        <v>3</v>
      </c>
      <c r="AA403" s="16"/>
      <c r="AB403" s="16"/>
      <c r="AC403" s="16"/>
      <c r="AE403" s="16"/>
    </row>
    <row r="404" spans="19:31" x14ac:dyDescent="0.3">
      <c r="S404" s="15" t="s">
        <v>161</v>
      </c>
      <c r="T404" s="13">
        <v>853.14599999999996</v>
      </c>
      <c r="U404" s="16">
        <v>9</v>
      </c>
      <c r="V404" s="16"/>
      <c r="W404" s="16">
        <f t="shared" ca="1" si="12"/>
        <v>30</v>
      </c>
      <c r="X404" s="16" t="str">
        <f ca="1"/>
        <v>549-84-7482</v>
      </c>
      <c r="Y404" s="20">
        <f ca="1"/>
        <v>853.14599999999996</v>
      </c>
      <c r="Z404" s="16">
        <f ca="1"/>
        <v>9</v>
      </c>
      <c r="AA404" s="16"/>
      <c r="AB404" s="16"/>
      <c r="AC404" s="16"/>
      <c r="AE404" s="16"/>
    </row>
    <row r="405" spans="19:31" x14ac:dyDescent="0.3">
      <c r="S405" s="15" t="s">
        <v>471</v>
      </c>
      <c r="T405" s="13">
        <v>71.567999999999998</v>
      </c>
      <c r="U405" s="16">
        <v>4</v>
      </c>
      <c r="V405" s="16"/>
      <c r="W405" s="16">
        <f t="shared" ca="1" si="12"/>
        <v>660</v>
      </c>
      <c r="X405" s="16" t="str">
        <f ca="1"/>
        <v>549-96-4200</v>
      </c>
      <c r="Y405" s="20">
        <f ca="1"/>
        <v>71.567999999999998</v>
      </c>
      <c r="Z405" s="16">
        <f ca="1"/>
        <v>4</v>
      </c>
      <c r="AA405" s="16"/>
      <c r="AB405" s="16"/>
      <c r="AC405" s="16"/>
      <c r="AE405" s="16"/>
    </row>
    <row r="406" spans="19:31" x14ac:dyDescent="0.3">
      <c r="S406" s="15" t="s">
        <v>607</v>
      </c>
      <c r="T406" s="13">
        <v>451.02749999999997</v>
      </c>
      <c r="U406" s="16">
        <v>5</v>
      </c>
      <c r="V406" s="16"/>
      <c r="W406" s="16">
        <f t="shared" ca="1" si="12"/>
        <v>206</v>
      </c>
      <c r="X406" s="16" t="str">
        <f ca="1"/>
        <v>550-84-8664</v>
      </c>
      <c r="Y406" s="20">
        <f ca="1"/>
        <v>451.02749999999997</v>
      </c>
      <c r="Z406" s="16">
        <f ca="1"/>
        <v>5</v>
      </c>
      <c r="AA406" s="16"/>
      <c r="AB406" s="16"/>
      <c r="AC406" s="16"/>
      <c r="AE406" s="16"/>
    </row>
    <row r="407" spans="19:31" x14ac:dyDescent="0.3">
      <c r="S407" s="15" t="s">
        <v>134</v>
      </c>
      <c r="T407" s="13">
        <v>218.01150000000001</v>
      </c>
      <c r="U407" s="16">
        <v>9</v>
      </c>
      <c r="V407" s="16"/>
      <c r="W407" s="16">
        <f t="shared" ca="1" si="12"/>
        <v>409</v>
      </c>
      <c r="X407" s="16" t="str">
        <f ca="1"/>
        <v>551-21-3069</v>
      </c>
      <c r="Y407" s="20">
        <f ca="1"/>
        <v>218.01150000000001</v>
      </c>
      <c r="Z407" s="16">
        <f ca="1"/>
        <v>9</v>
      </c>
      <c r="AA407" s="16"/>
      <c r="AB407" s="16"/>
      <c r="AC407" s="16"/>
      <c r="AE407" s="16"/>
    </row>
    <row r="408" spans="19:31" x14ac:dyDescent="0.3">
      <c r="S408" s="15" t="s">
        <v>765</v>
      </c>
      <c r="T408" s="13">
        <v>520.79999999999995</v>
      </c>
      <c r="U408" s="16">
        <v>8</v>
      </c>
      <c r="V408" s="16"/>
      <c r="W408" s="16">
        <f t="shared" ca="1" si="12"/>
        <v>156</v>
      </c>
      <c r="X408" s="16" t="str">
        <f ca="1"/>
        <v>552-44-5977</v>
      </c>
      <c r="Y408" s="20">
        <f ca="1"/>
        <v>520.79999999999995</v>
      </c>
      <c r="Z408" s="16">
        <f ca="1"/>
        <v>8</v>
      </c>
      <c r="AA408" s="16"/>
      <c r="AB408" s="16"/>
      <c r="AC408" s="16"/>
      <c r="AE408" s="16"/>
    </row>
    <row r="409" spans="19:31" x14ac:dyDescent="0.3">
      <c r="S409" s="15" t="s">
        <v>390</v>
      </c>
      <c r="T409" s="13">
        <v>1002.12</v>
      </c>
      <c r="U409" s="16">
        <v>10</v>
      </c>
      <c r="V409" s="16"/>
      <c r="W409" s="16">
        <f t="shared" ca="1" si="12"/>
        <v>8</v>
      </c>
      <c r="X409" s="16" t="str">
        <f ca="1"/>
        <v>554-42-2417</v>
      </c>
      <c r="Y409" s="20">
        <f ca="1"/>
        <v>1002.12</v>
      </c>
      <c r="Z409" s="16">
        <f ca="1"/>
        <v>10</v>
      </c>
      <c r="AA409" s="16"/>
      <c r="AB409" s="16"/>
      <c r="AC409" s="16"/>
      <c r="AE409" s="16"/>
    </row>
    <row r="410" spans="19:31" x14ac:dyDescent="0.3">
      <c r="S410" s="15" t="s">
        <v>500</v>
      </c>
      <c r="T410" s="13">
        <v>233.226</v>
      </c>
      <c r="U410" s="16">
        <v>6</v>
      </c>
      <c r="V410" s="16"/>
      <c r="W410" s="16">
        <f t="shared" ca="1" si="12"/>
        <v>398</v>
      </c>
      <c r="X410" s="16" t="str">
        <f ca="1"/>
        <v>554-53-3790</v>
      </c>
      <c r="Y410" s="20">
        <f ca="1"/>
        <v>233.226</v>
      </c>
      <c r="Z410" s="16">
        <f ca="1"/>
        <v>6</v>
      </c>
      <c r="AA410" s="16"/>
      <c r="AB410" s="16"/>
      <c r="AC410" s="16"/>
      <c r="AE410" s="16"/>
    </row>
    <row r="411" spans="19:31" x14ac:dyDescent="0.3">
      <c r="S411" s="15" t="s">
        <v>73</v>
      </c>
      <c r="T411" s="13">
        <v>117.831</v>
      </c>
      <c r="U411" s="16">
        <v>2</v>
      </c>
      <c r="V411" s="16"/>
      <c r="W411" s="16">
        <f t="shared" ca="1" si="12"/>
        <v>575</v>
      </c>
      <c r="X411" s="16" t="str">
        <f ca="1"/>
        <v>554-53-8700</v>
      </c>
      <c r="Y411" s="20">
        <f ca="1"/>
        <v>117.831</v>
      </c>
      <c r="Z411" s="16">
        <f ca="1"/>
        <v>2</v>
      </c>
      <c r="AA411" s="16"/>
      <c r="AB411" s="16"/>
      <c r="AC411" s="16"/>
      <c r="AE411" s="16"/>
    </row>
    <row r="412" spans="19:31" x14ac:dyDescent="0.3">
      <c r="S412" s="15" t="s">
        <v>521</v>
      </c>
      <c r="T412" s="13">
        <v>24.108000000000001</v>
      </c>
      <c r="U412" s="16">
        <v>1</v>
      </c>
      <c r="V412" s="16"/>
      <c r="W412" s="16">
        <f t="shared" ca="1" si="12"/>
        <v>723</v>
      </c>
      <c r="X412" s="16" t="str">
        <f ca="1"/>
        <v>556-72-8512</v>
      </c>
      <c r="Y412" s="20">
        <f ca="1"/>
        <v>24.108000000000001</v>
      </c>
      <c r="Z412" s="16">
        <f ca="1"/>
        <v>1</v>
      </c>
      <c r="AA412" s="16"/>
      <c r="AB412" s="16"/>
      <c r="AC412" s="16"/>
      <c r="AE412" s="16"/>
    </row>
    <row r="413" spans="19:31" x14ac:dyDescent="0.3">
      <c r="S413" s="15" t="s">
        <v>228</v>
      </c>
      <c r="T413" s="13">
        <v>78.004499999999993</v>
      </c>
      <c r="U413" s="16">
        <v>1</v>
      </c>
      <c r="V413" s="16"/>
      <c r="W413" s="16">
        <f t="shared" ca="1" si="12"/>
        <v>640</v>
      </c>
      <c r="X413" s="16" t="str">
        <f ca="1"/>
        <v>556-86-3144</v>
      </c>
      <c r="Y413" s="20">
        <f ca="1"/>
        <v>78.004499999999993</v>
      </c>
      <c r="Z413" s="16">
        <f ca="1"/>
        <v>1</v>
      </c>
      <c r="AA413" s="16"/>
      <c r="AB413" s="16"/>
      <c r="AC413" s="16"/>
      <c r="AE413" s="16"/>
    </row>
    <row r="414" spans="19:31" x14ac:dyDescent="0.3">
      <c r="S414" s="15" t="s">
        <v>529</v>
      </c>
      <c r="T414" s="13">
        <v>132.762</v>
      </c>
      <c r="U414" s="16">
        <v>2</v>
      </c>
      <c r="V414" s="16"/>
      <c r="W414" s="16">
        <f t="shared" ca="1" si="12"/>
        <v>553</v>
      </c>
      <c r="X414" s="16" t="str">
        <f ca="1"/>
        <v>556-97-7101</v>
      </c>
      <c r="Y414" s="20">
        <f ca="1"/>
        <v>132.762</v>
      </c>
      <c r="Z414" s="16">
        <f ca="1"/>
        <v>2</v>
      </c>
      <c r="AA414" s="16"/>
      <c r="AB414" s="16"/>
      <c r="AC414" s="16"/>
      <c r="AE414" s="16"/>
    </row>
    <row r="415" spans="19:31" x14ac:dyDescent="0.3">
      <c r="S415" s="15" t="s">
        <v>753</v>
      </c>
      <c r="T415" s="13">
        <v>314.685</v>
      </c>
      <c r="U415" s="16">
        <v>9</v>
      </c>
      <c r="V415" s="16"/>
      <c r="W415" s="16">
        <f t="shared" ca="1" si="12"/>
        <v>309</v>
      </c>
      <c r="X415" s="16" t="str">
        <f ca="1"/>
        <v>558-60-5016</v>
      </c>
      <c r="Y415" s="20">
        <f ca="1"/>
        <v>314.685</v>
      </c>
      <c r="Z415" s="16">
        <f ca="1"/>
        <v>9</v>
      </c>
      <c r="AA415" s="16"/>
      <c r="AB415" s="16"/>
      <c r="AC415" s="16"/>
      <c r="AE415" s="16"/>
    </row>
    <row r="416" spans="19:31" x14ac:dyDescent="0.3">
      <c r="S416" s="15" t="s">
        <v>324</v>
      </c>
      <c r="T416" s="13">
        <v>204.69749999999999</v>
      </c>
      <c r="U416" s="16">
        <v>7</v>
      </c>
      <c r="V416" s="16"/>
      <c r="W416" s="16">
        <f t="shared" ca="1" si="12"/>
        <v>436</v>
      </c>
      <c r="X416" s="16" t="str">
        <f ca="1"/>
        <v>558-80-4082</v>
      </c>
      <c r="Y416" s="20">
        <f ca="1"/>
        <v>204.69749999999999</v>
      </c>
      <c r="Z416" s="16">
        <f ca="1"/>
        <v>7</v>
      </c>
      <c r="AA416" s="16"/>
      <c r="AB416" s="16"/>
      <c r="AC416" s="16"/>
      <c r="AE416" s="16"/>
    </row>
    <row r="417" spans="19:31" x14ac:dyDescent="0.3">
      <c r="S417" s="15" t="s">
        <v>629</v>
      </c>
      <c r="T417" s="13">
        <v>394.32749999999999</v>
      </c>
      <c r="U417" s="16">
        <v>7</v>
      </c>
      <c r="V417" s="16"/>
      <c r="W417" s="16">
        <f t="shared" ca="1" si="12"/>
        <v>243</v>
      </c>
      <c r="X417" s="16" t="str">
        <f ca="1"/>
        <v>559-98-9873</v>
      </c>
      <c r="Y417" s="20">
        <f ca="1"/>
        <v>394.32749999999999</v>
      </c>
      <c r="Z417" s="16">
        <f ca="1"/>
        <v>7</v>
      </c>
      <c r="AA417" s="16"/>
      <c r="AB417" s="16"/>
      <c r="AC417" s="16"/>
      <c r="AE417" s="16"/>
    </row>
    <row r="418" spans="19:31" x14ac:dyDescent="0.3">
      <c r="S418" s="15" t="s">
        <v>249</v>
      </c>
      <c r="T418" s="13">
        <v>130.04249999999999</v>
      </c>
      <c r="U418" s="16">
        <v>5</v>
      </c>
      <c r="V418" s="16"/>
      <c r="W418" s="16">
        <f t="shared" ca="1" si="12"/>
        <v>556</v>
      </c>
      <c r="X418" s="16" t="str">
        <f ca="1"/>
        <v>560-30-5617</v>
      </c>
      <c r="Y418" s="20">
        <f ca="1"/>
        <v>130.04249999999999</v>
      </c>
      <c r="Z418" s="16">
        <f ca="1"/>
        <v>5</v>
      </c>
      <c r="AA418" s="16"/>
      <c r="AB418" s="16"/>
      <c r="AC418" s="16"/>
      <c r="AE418" s="16"/>
    </row>
    <row r="419" spans="19:31" x14ac:dyDescent="0.3">
      <c r="S419" s="15" t="s">
        <v>624</v>
      </c>
      <c r="T419" s="13">
        <v>47.859000000000002</v>
      </c>
      <c r="U419" s="16">
        <v>1</v>
      </c>
      <c r="V419" s="16"/>
      <c r="W419" s="16">
        <f t="shared" ca="1" si="12"/>
        <v>691</v>
      </c>
      <c r="X419" s="16" t="str">
        <f ca="1"/>
        <v>560-49-6611</v>
      </c>
      <c r="Y419" s="20">
        <f ca="1"/>
        <v>47.859000000000002</v>
      </c>
      <c r="Z419" s="16">
        <f ca="1"/>
        <v>1</v>
      </c>
      <c r="AA419" s="16"/>
      <c r="AB419" s="16"/>
      <c r="AC419" s="16"/>
      <c r="AE419" s="16"/>
    </row>
    <row r="420" spans="19:31" x14ac:dyDescent="0.3">
      <c r="S420" s="15" t="s">
        <v>425</v>
      </c>
      <c r="T420" s="13">
        <v>80.661000000000001</v>
      </c>
      <c r="U420" s="16">
        <v>1</v>
      </c>
      <c r="V420" s="16"/>
      <c r="W420" s="16">
        <f t="shared" ca="1" si="12"/>
        <v>632</v>
      </c>
      <c r="X420" s="16" t="str">
        <f ca="1"/>
        <v>563-36-9814</v>
      </c>
      <c r="Y420" s="20">
        <f ca="1"/>
        <v>80.661000000000001</v>
      </c>
      <c r="Z420" s="16">
        <f ca="1"/>
        <v>1</v>
      </c>
      <c r="AA420" s="16"/>
      <c r="AB420" s="16"/>
      <c r="AC420" s="16"/>
      <c r="AE420" s="16"/>
    </row>
    <row r="421" spans="19:31" x14ac:dyDescent="0.3">
      <c r="S421" s="15" t="s">
        <v>356</v>
      </c>
      <c r="T421" s="13">
        <v>324.29250000000002</v>
      </c>
      <c r="U421" s="16">
        <v>5</v>
      </c>
      <c r="V421" s="16"/>
      <c r="W421" s="16">
        <f t="shared" ca="1" si="12"/>
        <v>300</v>
      </c>
      <c r="X421" s="16" t="str">
        <f ca="1"/>
        <v>563-91-7120</v>
      </c>
      <c r="Y421" s="20">
        <f ca="1"/>
        <v>324.29250000000002</v>
      </c>
      <c r="Z421" s="16">
        <f ca="1"/>
        <v>5</v>
      </c>
      <c r="AA421" s="16"/>
      <c r="AB421" s="16"/>
      <c r="AC421" s="16"/>
      <c r="AE421" s="16"/>
    </row>
    <row r="422" spans="19:31" x14ac:dyDescent="0.3">
      <c r="S422" s="15" t="s">
        <v>317</v>
      </c>
      <c r="T422" s="13">
        <v>200.214</v>
      </c>
      <c r="U422" s="16">
        <v>4</v>
      </c>
      <c r="V422" s="16"/>
      <c r="W422" s="16">
        <f t="shared" ca="1" si="12"/>
        <v>444</v>
      </c>
      <c r="X422" s="16" t="str">
        <f ca="1"/>
        <v>565-17-3836</v>
      </c>
      <c r="Y422" s="20">
        <f ca="1"/>
        <v>200.214</v>
      </c>
      <c r="Z422" s="16">
        <f ca="1"/>
        <v>4</v>
      </c>
      <c r="AA422" s="16"/>
      <c r="AB422" s="16"/>
      <c r="AC422" s="16"/>
      <c r="AE422" s="16"/>
    </row>
    <row r="423" spans="19:31" x14ac:dyDescent="0.3">
      <c r="S423" s="15" t="s">
        <v>386</v>
      </c>
      <c r="T423" s="13">
        <v>255.15</v>
      </c>
      <c r="U423" s="16">
        <v>9</v>
      </c>
      <c r="V423" s="16"/>
      <c r="W423" s="16">
        <f t="shared" ca="1" si="12"/>
        <v>372</v>
      </c>
      <c r="X423" s="16" t="str">
        <f ca="1"/>
        <v>565-67-6697</v>
      </c>
      <c r="Y423" s="20">
        <f ca="1"/>
        <v>255.15</v>
      </c>
      <c r="Z423" s="16">
        <f ca="1"/>
        <v>9</v>
      </c>
      <c r="AA423" s="16"/>
      <c r="AB423" s="16"/>
      <c r="AC423" s="16"/>
      <c r="AE423" s="16"/>
    </row>
    <row r="424" spans="19:31" x14ac:dyDescent="0.3">
      <c r="S424" s="15" t="s">
        <v>122</v>
      </c>
      <c r="T424" s="13">
        <v>198.99600000000001</v>
      </c>
      <c r="U424" s="16">
        <v>4</v>
      </c>
      <c r="V424" s="16"/>
      <c r="W424" s="16">
        <f t="shared" ca="1" si="12"/>
        <v>445</v>
      </c>
      <c r="X424" s="16" t="str">
        <f ca="1"/>
        <v>565-80-5980</v>
      </c>
      <c r="Y424" s="20">
        <f ca="1"/>
        <v>198.99600000000001</v>
      </c>
      <c r="Z424" s="16">
        <f ca="1"/>
        <v>4</v>
      </c>
      <c r="AA424" s="16"/>
      <c r="AB424" s="16"/>
      <c r="AC424" s="16"/>
      <c r="AE424" s="16"/>
    </row>
    <row r="425" spans="19:31" x14ac:dyDescent="0.3">
      <c r="S425" s="15" t="s">
        <v>308</v>
      </c>
      <c r="T425" s="13">
        <v>352.5795</v>
      </c>
      <c r="U425" s="16">
        <v>7</v>
      </c>
      <c r="V425" s="16"/>
      <c r="W425" s="16">
        <f t="shared" ca="1" si="12"/>
        <v>275</v>
      </c>
      <c r="X425" s="16" t="str">
        <f ca="1"/>
        <v>566-19-5475</v>
      </c>
      <c r="Y425" s="20">
        <f ca="1"/>
        <v>352.5795</v>
      </c>
      <c r="Z425" s="16">
        <f ca="1"/>
        <v>7</v>
      </c>
      <c r="AA425" s="16"/>
      <c r="AB425" s="16"/>
      <c r="AC425" s="16"/>
      <c r="AE425" s="16"/>
    </row>
    <row r="426" spans="19:31" x14ac:dyDescent="0.3">
      <c r="S426" s="15" t="s">
        <v>365</v>
      </c>
      <c r="T426" s="13">
        <v>404.35500000000002</v>
      </c>
      <c r="U426" s="16">
        <v>5</v>
      </c>
      <c r="V426" s="16"/>
      <c r="W426" s="16">
        <f t="shared" ca="1" si="12"/>
        <v>231</v>
      </c>
      <c r="X426" s="16" t="str">
        <f ca="1"/>
        <v>566-71-1091</v>
      </c>
      <c r="Y426" s="20">
        <f ca="1"/>
        <v>404.35500000000002</v>
      </c>
      <c r="Z426" s="16">
        <f ca="1"/>
        <v>5</v>
      </c>
      <c r="AA426" s="16"/>
      <c r="AB426" s="16"/>
      <c r="AC426" s="16"/>
      <c r="AE426" s="16"/>
    </row>
    <row r="427" spans="19:31" x14ac:dyDescent="0.3">
      <c r="S427" s="15" t="s">
        <v>486</v>
      </c>
      <c r="T427" s="13">
        <v>26.25</v>
      </c>
      <c r="U427" s="16">
        <v>1</v>
      </c>
      <c r="V427" s="16"/>
      <c r="W427" s="16">
        <f t="shared" ca="1" si="12"/>
        <v>721</v>
      </c>
      <c r="X427" s="16" t="str">
        <f ca="1"/>
        <v>568-88-3448</v>
      </c>
      <c r="Y427" s="20">
        <f ca="1"/>
        <v>26.25</v>
      </c>
      <c r="Z427" s="16">
        <f ca="1"/>
        <v>1</v>
      </c>
      <c r="AA427" s="16"/>
      <c r="AB427" s="16"/>
      <c r="AC427" s="16"/>
      <c r="AE427" s="16"/>
    </row>
    <row r="428" spans="19:31" x14ac:dyDescent="0.3">
      <c r="S428" s="15" t="s">
        <v>180</v>
      </c>
      <c r="T428" s="13">
        <v>277.78800000000001</v>
      </c>
      <c r="U428" s="16">
        <v>4</v>
      </c>
      <c r="V428" s="16"/>
      <c r="W428" s="16">
        <f t="shared" ca="1" si="12"/>
        <v>346</v>
      </c>
      <c r="X428" s="16" t="str">
        <f ca="1"/>
        <v>568-90-5112</v>
      </c>
      <c r="Y428" s="20">
        <f ca="1"/>
        <v>277.78800000000001</v>
      </c>
      <c r="Z428" s="16">
        <f ca="1"/>
        <v>4</v>
      </c>
      <c r="AA428" s="16"/>
      <c r="AB428" s="16"/>
      <c r="AC428" s="16"/>
      <c r="AE428" s="16"/>
    </row>
    <row r="429" spans="19:31" x14ac:dyDescent="0.3">
      <c r="S429" s="15" t="s">
        <v>444</v>
      </c>
      <c r="T429" s="13">
        <v>45.927</v>
      </c>
      <c r="U429" s="16">
        <v>2</v>
      </c>
      <c r="V429" s="16"/>
      <c r="W429" s="16">
        <f t="shared" ca="1" si="12"/>
        <v>693</v>
      </c>
      <c r="X429" s="16" t="str">
        <f ca="1"/>
        <v>569-71-4390</v>
      </c>
      <c r="Y429" s="20">
        <f ca="1"/>
        <v>45.927</v>
      </c>
      <c r="Z429" s="16">
        <f ca="1"/>
        <v>2</v>
      </c>
      <c r="AA429" s="16"/>
      <c r="AB429" s="16"/>
      <c r="AC429" s="16"/>
      <c r="AE429" s="16"/>
    </row>
    <row r="430" spans="19:31" x14ac:dyDescent="0.3">
      <c r="S430" s="15" t="s">
        <v>300</v>
      </c>
      <c r="T430" s="13">
        <v>783.3</v>
      </c>
      <c r="U430" s="16">
        <v>10</v>
      </c>
      <c r="V430" s="16"/>
      <c r="W430" s="16">
        <f t="shared" ca="1" si="12"/>
        <v>50</v>
      </c>
      <c r="X430" s="16" t="str">
        <f ca="1"/>
        <v>571-94-0759</v>
      </c>
      <c r="Y430" s="20">
        <f ca="1"/>
        <v>783.3</v>
      </c>
      <c r="Z430" s="16">
        <f ca="1"/>
        <v>10</v>
      </c>
      <c r="AA430" s="16"/>
      <c r="AB430" s="16"/>
      <c r="AC430" s="16"/>
      <c r="AE430" s="16"/>
    </row>
    <row r="431" spans="19:31" x14ac:dyDescent="0.3">
      <c r="S431" s="15" t="s">
        <v>334</v>
      </c>
      <c r="T431" s="13">
        <v>40.960500000000003</v>
      </c>
      <c r="U431" s="16">
        <v>1</v>
      </c>
      <c r="V431" s="16"/>
      <c r="W431" s="16">
        <f t="shared" ca="1" si="12"/>
        <v>700</v>
      </c>
      <c r="X431" s="16" t="str">
        <f ca="1"/>
        <v>573-10-3877</v>
      </c>
      <c r="Y431" s="20">
        <f ca="1"/>
        <v>40.960500000000003</v>
      </c>
      <c r="Z431" s="16">
        <f ca="1"/>
        <v>1</v>
      </c>
      <c r="AA431" s="16"/>
      <c r="AB431" s="16"/>
      <c r="AC431" s="16"/>
      <c r="AE431" s="16"/>
    </row>
    <row r="432" spans="19:31" x14ac:dyDescent="0.3">
      <c r="S432" s="15" t="s">
        <v>241</v>
      </c>
      <c r="T432" s="13">
        <v>95.665499999999994</v>
      </c>
      <c r="U432" s="16">
        <v>3</v>
      </c>
      <c r="V432" s="16"/>
      <c r="W432" s="16">
        <f t="shared" ca="1" si="12"/>
        <v>602</v>
      </c>
      <c r="X432" s="16" t="str">
        <f ca="1"/>
        <v>573-58-9734</v>
      </c>
      <c r="Y432" s="20">
        <f ca="1"/>
        <v>95.665499999999994</v>
      </c>
      <c r="Z432" s="16">
        <f ca="1"/>
        <v>3</v>
      </c>
      <c r="AA432" s="16"/>
      <c r="AB432" s="16"/>
      <c r="AC432" s="16"/>
      <c r="AE432" s="16"/>
    </row>
    <row r="433" spans="19:31" x14ac:dyDescent="0.3">
      <c r="S433" s="15" t="s">
        <v>534</v>
      </c>
      <c r="T433" s="13">
        <v>33.494999999999997</v>
      </c>
      <c r="U433" s="16">
        <v>1</v>
      </c>
      <c r="V433" s="16"/>
      <c r="W433" s="16">
        <f t="shared" ca="1" si="12"/>
        <v>708</v>
      </c>
      <c r="X433" s="16" t="str">
        <f ca="1"/>
        <v>573-98-8548</v>
      </c>
      <c r="Y433" s="20">
        <f ca="1"/>
        <v>33.494999999999997</v>
      </c>
      <c r="Z433" s="16">
        <f ca="1"/>
        <v>1</v>
      </c>
      <c r="AA433" s="16"/>
      <c r="AB433" s="16"/>
      <c r="AC433" s="16"/>
      <c r="AE433" s="16"/>
    </row>
    <row r="434" spans="19:31" x14ac:dyDescent="0.3">
      <c r="S434" s="15" t="s">
        <v>81</v>
      </c>
      <c r="T434" s="13">
        <v>867.61500000000001</v>
      </c>
      <c r="U434" s="16">
        <v>10</v>
      </c>
      <c r="V434" s="16"/>
      <c r="W434" s="16">
        <f t="shared" ca="1" si="12"/>
        <v>27</v>
      </c>
      <c r="X434" s="16" t="str">
        <f ca="1"/>
        <v>574-22-5561</v>
      </c>
      <c r="Y434" s="20">
        <f ca="1"/>
        <v>867.61500000000001</v>
      </c>
      <c r="Z434" s="16">
        <f ca="1"/>
        <v>10</v>
      </c>
      <c r="AA434" s="16"/>
      <c r="AB434" s="16"/>
      <c r="AC434" s="16"/>
      <c r="AE434" s="16"/>
    </row>
    <row r="435" spans="19:31" x14ac:dyDescent="0.3">
      <c r="S435" s="15" t="s">
        <v>464</v>
      </c>
      <c r="T435" s="13">
        <v>90.867000000000004</v>
      </c>
      <c r="U435" s="16">
        <v>2</v>
      </c>
      <c r="V435" s="16"/>
      <c r="W435" s="16">
        <f t="shared" ca="1" si="12"/>
        <v>617</v>
      </c>
      <c r="X435" s="16" t="str">
        <f ca="1"/>
        <v>574-57-9721</v>
      </c>
      <c r="Y435" s="20">
        <f ca="1"/>
        <v>90.867000000000004</v>
      </c>
      <c r="Z435" s="16">
        <f ca="1"/>
        <v>2</v>
      </c>
      <c r="AA435" s="16"/>
      <c r="AB435" s="16"/>
      <c r="AC435" s="16"/>
      <c r="AE435" s="16"/>
    </row>
    <row r="436" spans="19:31" x14ac:dyDescent="0.3">
      <c r="S436" s="15" t="s">
        <v>171</v>
      </c>
      <c r="T436" s="13">
        <v>609</v>
      </c>
      <c r="U436" s="16">
        <v>8</v>
      </c>
      <c r="V436" s="16"/>
      <c r="W436" s="16">
        <f t="shared" ca="1" si="12"/>
        <v>113</v>
      </c>
      <c r="X436" s="16" t="str">
        <f ca="1"/>
        <v>575-30-8091</v>
      </c>
      <c r="Y436" s="20">
        <f ca="1"/>
        <v>609</v>
      </c>
      <c r="Z436" s="16">
        <f ca="1"/>
        <v>8</v>
      </c>
      <c r="AA436" s="16"/>
      <c r="AB436" s="16"/>
      <c r="AC436" s="16"/>
      <c r="AE436" s="16"/>
    </row>
    <row r="437" spans="19:31" x14ac:dyDescent="0.3">
      <c r="S437" s="15" t="s">
        <v>512</v>
      </c>
      <c r="T437" s="13">
        <v>40.53</v>
      </c>
      <c r="U437" s="16">
        <v>1</v>
      </c>
      <c r="V437" s="16"/>
      <c r="W437" s="16">
        <f t="shared" ca="1" si="12"/>
        <v>701</v>
      </c>
      <c r="X437" s="16" t="str">
        <f ca="1"/>
        <v>575-67-1508</v>
      </c>
      <c r="Y437" s="20">
        <f ca="1"/>
        <v>40.53</v>
      </c>
      <c r="Z437" s="16">
        <f ca="1"/>
        <v>1</v>
      </c>
      <c r="AA437" s="16"/>
      <c r="AB437" s="16"/>
      <c r="AC437" s="16"/>
      <c r="AE437" s="16"/>
    </row>
    <row r="438" spans="19:31" x14ac:dyDescent="0.3">
      <c r="S438" s="15" t="s">
        <v>644</v>
      </c>
      <c r="T438" s="13">
        <v>231.2415</v>
      </c>
      <c r="U438" s="16">
        <v>3</v>
      </c>
      <c r="V438" s="16"/>
      <c r="W438" s="16">
        <f t="shared" ca="1" si="12"/>
        <v>400</v>
      </c>
      <c r="X438" s="16" t="str">
        <f ca="1"/>
        <v>576-31-4774</v>
      </c>
      <c r="Y438" s="20">
        <f ca="1"/>
        <v>231.2415</v>
      </c>
      <c r="Z438" s="16">
        <f ca="1"/>
        <v>3</v>
      </c>
      <c r="AA438" s="16"/>
      <c r="AB438" s="16"/>
      <c r="AC438" s="16"/>
      <c r="AE438" s="16"/>
    </row>
    <row r="439" spans="19:31" x14ac:dyDescent="0.3">
      <c r="S439" s="15" t="s">
        <v>748</v>
      </c>
      <c r="T439" s="13">
        <v>477.13049999999998</v>
      </c>
      <c r="U439" s="16">
        <v>9</v>
      </c>
      <c r="V439" s="16"/>
      <c r="W439" s="16">
        <f t="shared" ca="1" si="12"/>
        <v>186</v>
      </c>
      <c r="X439" s="16" t="str">
        <f ca="1"/>
        <v>577-34-7579</v>
      </c>
      <c r="Y439" s="20">
        <f ca="1"/>
        <v>477.13049999999998</v>
      </c>
      <c r="Z439" s="16">
        <f ca="1"/>
        <v>9</v>
      </c>
      <c r="AA439" s="16"/>
      <c r="AB439" s="16"/>
      <c r="AC439" s="16"/>
      <c r="AE439" s="16"/>
    </row>
    <row r="440" spans="19:31" x14ac:dyDescent="0.3">
      <c r="S440" s="15" t="s">
        <v>392</v>
      </c>
      <c r="T440" s="13">
        <v>78.718500000000006</v>
      </c>
      <c r="U440" s="16">
        <v>1</v>
      </c>
      <c r="V440" s="16"/>
      <c r="W440" s="16">
        <f t="shared" ca="1" si="12"/>
        <v>637</v>
      </c>
      <c r="X440" s="16" t="str">
        <f ca="1"/>
        <v>578-80-7669</v>
      </c>
      <c r="Y440" s="20">
        <f ca="1"/>
        <v>78.718500000000006</v>
      </c>
      <c r="Z440" s="16">
        <f ca="1"/>
        <v>1</v>
      </c>
      <c r="AA440" s="16"/>
      <c r="AB440" s="16"/>
      <c r="AC440" s="16"/>
      <c r="AE440" s="16"/>
    </row>
    <row r="441" spans="19:31" x14ac:dyDescent="0.3">
      <c r="S441" s="15" t="s">
        <v>584</v>
      </c>
      <c r="T441" s="13">
        <v>513.22950000000003</v>
      </c>
      <c r="U441" s="16">
        <v>9</v>
      </c>
      <c r="V441" s="16"/>
      <c r="W441" s="16">
        <f t="shared" ca="1" si="12"/>
        <v>160</v>
      </c>
      <c r="X441" s="16" t="str">
        <f ca="1"/>
        <v>582-52-8065</v>
      </c>
      <c r="Y441" s="20">
        <f ca="1"/>
        <v>513.22950000000003</v>
      </c>
      <c r="Z441" s="16">
        <f ca="1"/>
        <v>9</v>
      </c>
      <c r="AA441" s="16"/>
      <c r="AB441" s="16"/>
      <c r="AC441" s="16"/>
      <c r="AE441" s="16"/>
    </row>
    <row r="442" spans="19:31" x14ac:dyDescent="0.3">
      <c r="S442" s="15" t="s">
        <v>568</v>
      </c>
      <c r="T442" s="13">
        <v>122.5245</v>
      </c>
      <c r="U442" s="16">
        <v>7</v>
      </c>
      <c r="V442" s="16"/>
      <c r="W442" s="16">
        <f t="shared" ca="1" si="12"/>
        <v>565</v>
      </c>
      <c r="X442" s="16" t="str">
        <f ca="1"/>
        <v>583-41-4548</v>
      </c>
      <c r="Y442" s="20">
        <f ca="1"/>
        <v>122.5245</v>
      </c>
      <c r="Z442" s="16">
        <f ca="1"/>
        <v>7</v>
      </c>
      <c r="AA442" s="16"/>
      <c r="AB442" s="16"/>
      <c r="AC442" s="16"/>
      <c r="AE442" s="16"/>
    </row>
    <row r="443" spans="19:31" x14ac:dyDescent="0.3">
      <c r="S443" s="15" t="s">
        <v>260</v>
      </c>
      <c r="T443" s="13">
        <v>155.65199999999999</v>
      </c>
      <c r="U443" s="16">
        <v>4</v>
      </c>
      <c r="V443" s="16"/>
      <c r="W443" s="16">
        <f t="shared" ca="1" si="12"/>
        <v>509</v>
      </c>
      <c r="X443" s="16" t="str">
        <f ca="1"/>
        <v>583-72-1480</v>
      </c>
      <c r="Y443" s="20">
        <f ca="1"/>
        <v>155.65199999999999</v>
      </c>
      <c r="Z443" s="16">
        <f ca="1"/>
        <v>4</v>
      </c>
      <c r="AA443" s="16"/>
      <c r="AB443" s="16"/>
      <c r="AC443" s="16"/>
      <c r="AE443" s="16"/>
    </row>
    <row r="444" spans="19:31" x14ac:dyDescent="0.3">
      <c r="S444" s="15" t="s">
        <v>184</v>
      </c>
      <c r="T444" s="13">
        <v>254.01599999999999</v>
      </c>
      <c r="U444" s="16">
        <v>7</v>
      </c>
      <c r="V444" s="16"/>
      <c r="W444" s="16">
        <f t="shared" ca="1" si="12"/>
        <v>373</v>
      </c>
      <c r="X444" s="16" t="str">
        <f ca="1"/>
        <v>584-86-7256</v>
      </c>
      <c r="Y444" s="20">
        <f ca="1"/>
        <v>254.01599999999999</v>
      </c>
      <c r="Z444" s="16">
        <f ca="1"/>
        <v>7</v>
      </c>
      <c r="AA444" s="16"/>
      <c r="AB444" s="16"/>
      <c r="AC444" s="16"/>
      <c r="AE444" s="16"/>
    </row>
    <row r="445" spans="19:31" x14ac:dyDescent="0.3">
      <c r="S445" s="15" t="s">
        <v>327</v>
      </c>
      <c r="T445" s="13">
        <v>190.155</v>
      </c>
      <c r="U445" s="16">
        <v>10</v>
      </c>
      <c r="V445" s="16"/>
      <c r="W445" s="16">
        <f t="shared" ca="1" si="12"/>
        <v>459</v>
      </c>
      <c r="X445" s="16" t="str">
        <f ca="1"/>
        <v>585-03-5943</v>
      </c>
      <c r="Y445" s="20">
        <f ca="1"/>
        <v>190.155</v>
      </c>
      <c r="Z445" s="16">
        <f ca="1"/>
        <v>10</v>
      </c>
      <c r="AA445" s="16"/>
      <c r="AB445" s="16"/>
      <c r="AC445" s="16"/>
      <c r="AE445" s="16"/>
    </row>
    <row r="446" spans="19:31" x14ac:dyDescent="0.3">
      <c r="S446" s="15" t="s">
        <v>679</v>
      </c>
      <c r="T446" s="13">
        <v>143.22</v>
      </c>
      <c r="U446" s="16">
        <v>5</v>
      </c>
      <c r="V446" s="16"/>
      <c r="W446" s="16">
        <f t="shared" ca="1" si="12"/>
        <v>537</v>
      </c>
      <c r="X446" s="16" t="str">
        <f ca="1"/>
        <v>585-86-8361</v>
      </c>
      <c r="Y446" s="20">
        <f ca="1"/>
        <v>143.22</v>
      </c>
      <c r="Z446" s="16">
        <f ca="1"/>
        <v>5</v>
      </c>
      <c r="AA446" s="16"/>
      <c r="AB446" s="16"/>
      <c r="AC446" s="16"/>
      <c r="AE446" s="16"/>
    </row>
    <row r="447" spans="19:31" x14ac:dyDescent="0.3">
      <c r="S447" s="15" t="s">
        <v>217</v>
      </c>
      <c r="T447" s="13">
        <v>90.698999999999998</v>
      </c>
      <c r="U447" s="16">
        <v>7</v>
      </c>
      <c r="V447" s="16"/>
      <c r="W447" s="16">
        <f t="shared" ca="1" si="12"/>
        <v>619</v>
      </c>
      <c r="X447" s="16" t="str">
        <f ca="1"/>
        <v>586-25-0848</v>
      </c>
      <c r="Y447" s="20">
        <f ca="1"/>
        <v>90.698999999999998</v>
      </c>
      <c r="Z447" s="16">
        <f ca="1"/>
        <v>7</v>
      </c>
      <c r="AA447" s="16"/>
      <c r="AB447" s="16"/>
      <c r="AC447" s="16"/>
      <c r="AE447" s="16"/>
    </row>
    <row r="448" spans="19:31" x14ac:dyDescent="0.3">
      <c r="S448" s="15" t="s">
        <v>437</v>
      </c>
      <c r="T448" s="13">
        <v>718.75649999999996</v>
      </c>
      <c r="U448" s="16">
        <v>7</v>
      </c>
      <c r="V448" s="16"/>
      <c r="W448" s="16">
        <f t="shared" ca="1" si="12"/>
        <v>78</v>
      </c>
      <c r="X448" s="16" t="str">
        <f ca="1"/>
        <v>587-03-7455</v>
      </c>
      <c r="Y448" s="20">
        <f ca="1"/>
        <v>718.75649999999996</v>
      </c>
      <c r="Z448" s="16">
        <f ca="1"/>
        <v>7</v>
      </c>
      <c r="AA448" s="16"/>
      <c r="AB448" s="16"/>
      <c r="AC448" s="16"/>
      <c r="AE448" s="16"/>
    </row>
    <row r="449" spans="19:31" x14ac:dyDescent="0.3">
      <c r="S449" s="15" t="s">
        <v>140</v>
      </c>
      <c r="T449" s="13">
        <v>321.11099999999999</v>
      </c>
      <c r="U449" s="16">
        <v>9</v>
      </c>
      <c r="V449" s="16"/>
      <c r="W449" s="16">
        <f t="shared" ca="1" si="12"/>
        <v>304</v>
      </c>
      <c r="X449" s="16" t="str">
        <f ca="1"/>
        <v>588-01-7461</v>
      </c>
      <c r="Y449" s="20">
        <f ca="1"/>
        <v>321.11099999999999</v>
      </c>
      <c r="Z449" s="16">
        <f ca="1"/>
        <v>9</v>
      </c>
      <c r="AA449" s="16"/>
      <c r="AB449" s="16"/>
      <c r="AC449" s="16"/>
      <c r="AE449" s="16"/>
    </row>
    <row r="450" spans="19:31" x14ac:dyDescent="0.3">
      <c r="S450" s="15" t="s">
        <v>165</v>
      </c>
      <c r="T450" s="13">
        <v>550.93499999999995</v>
      </c>
      <c r="U450" s="16">
        <v>6</v>
      </c>
      <c r="V450" s="16"/>
      <c r="W450" s="16">
        <f t="shared" ca="1" si="12"/>
        <v>134</v>
      </c>
      <c r="X450" s="16" t="str">
        <f ca="1"/>
        <v>590-83-4591</v>
      </c>
      <c r="Y450" s="20">
        <f ca="1"/>
        <v>550.93499999999995</v>
      </c>
      <c r="Z450" s="16">
        <f ca="1"/>
        <v>6</v>
      </c>
      <c r="AA450" s="16"/>
      <c r="AB450" s="16"/>
      <c r="AC450" s="16"/>
      <c r="AE450" s="16"/>
    </row>
    <row r="451" spans="19:31" x14ac:dyDescent="0.3">
      <c r="S451" s="15" t="s">
        <v>610</v>
      </c>
      <c r="T451" s="13">
        <v>133.434</v>
      </c>
      <c r="U451" s="16">
        <v>4</v>
      </c>
      <c r="V451" s="16"/>
      <c r="W451" s="16">
        <f t="shared" ref="W451:W514" ca="1" si="13">RANK(Y:Y,Y:Y)</f>
        <v>551</v>
      </c>
      <c r="X451" s="16" t="str">
        <f ca="1"/>
        <v>592-34-6155</v>
      </c>
      <c r="Y451" s="20">
        <f ca="1"/>
        <v>133.434</v>
      </c>
      <c r="Z451" s="16">
        <f ca="1"/>
        <v>4</v>
      </c>
      <c r="AA451" s="16"/>
      <c r="AB451" s="16"/>
      <c r="AC451" s="16"/>
      <c r="AE451" s="16"/>
    </row>
    <row r="452" spans="19:31" x14ac:dyDescent="0.3">
      <c r="S452" s="15" t="s">
        <v>664</v>
      </c>
      <c r="T452" s="13">
        <v>270.2595</v>
      </c>
      <c r="U452" s="16">
        <v>7</v>
      </c>
      <c r="V452" s="16"/>
      <c r="W452" s="16">
        <f t="shared" ca="1" si="13"/>
        <v>359</v>
      </c>
      <c r="X452" s="16" t="str">
        <f ca="1"/>
        <v>592-46-1692</v>
      </c>
      <c r="Y452" s="20">
        <f ca="1"/>
        <v>270.2595</v>
      </c>
      <c r="Z452" s="16">
        <f ca="1"/>
        <v>7</v>
      </c>
      <c r="AA452" s="16"/>
      <c r="AB452" s="16"/>
      <c r="AC452" s="16"/>
      <c r="AE452" s="16"/>
    </row>
    <row r="453" spans="19:31" x14ac:dyDescent="0.3">
      <c r="S453" s="15" t="s">
        <v>683</v>
      </c>
      <c r="T453" s="13">
        <v>801.86400000000003</v>
      </c>
      <c r="U453" s="16">
        <v>8</v>
      </c>
      <c r="V453" s="16"/>
      <c r="W453" s="16">
        <f t="shared" ca="1" si="13"/>
        <v>43</v>
      </c>
      <c r="X453" s="16" t="str">
        <f ca="1"/>
        <v>593-14-4239</v>
      </c>
      <c r="Y453" s="20">
        <f ca="1"/>
        <v>801.86400000000003</v>
      </c>
      <c r="Z453" s="16">
        <f ca="1"/>
        <v>8</v>
      </c>
      <c r="AA453" s="16"/>
      <c r="AB453" s="16"/>
      <c r="AC453" s="16"/>
      <c r="AE453" s="16"/>
    </row>
    <row r="454" spans="19:31" x14ac:dyDescent="0.3">
      <c r="S454" s="15" t="s">
        <v>222</v>
      </c>
      <c r="T454" s="13">
        <v>293.202</v>
      </c>
      <c r="U454" s="16">
        <v>4</v>
      </c>
      <c r="V454" s="16"/>
      <c r="W454" s="16">
        <f t="shared" ca="1" si="13"/>
        <v>329</v>
      </c>
      <c r="X454" s="16" t="str">
        <f ca="1"/>
        <v>593-65-1552</v>
      </c>
      <c r="Y454" s="20">
        <f ca="1"/>
        <v>293.202</v>
      </c>
      <c r="Z454" s="16">
        <f ca="1"/>
        <v>4</v>
      </c>
      <c r="AA454" s="16"/>
      <c r="AB454" s="16"/>
      <c r="AC454" s="16"/>
      <c r="AE454" s="16"/>
    </row>
    <row r="455" spans="19:31" x14ac:dyDescent="0.3">
      <c r="S455" s="15" t="s">
        <v>319</v>
      </c>
      <c r="T455" s="13">
        <v>78.602999999999994</v>
      </c>
      <c r="U455" s="16">
        <v>1</v>
      </c>
      <c r="V455" s="16"/>
      <c r="W455" s="16">
        <f t="shared" ca="1" si="13"/>
        <v>638</v>
      </c>
      <c r="X455" s="16" t="str">
        <f ca="1"/>
        <v>593-95-4461</v>
      </c>
      <c r="Y455" s="20">
        <f ca="1"/>
        <v>78.602999999999994</v>
      </c>
      <c r="Z455" s="16">
        <f ca="1"/>
        <v>1</v>
      </c>
      <c r="AA455" s="16"/>
      <c r="AB455" s="16"/>
      <c r="AC455" s="16"/>
      <c r="AE455" s="16"/>
    </row>
    <row r="456" spans="19:31" x14ac:dyDescent="0.3">
      <c r="S456" s="15" t="s">
        <v>127</v>
      </c>
      <c r="T456" s="13">
        <v>102.018</v>
      </c>
      <c r="U456" s="16">
        <v>1</v>
      </c>
      <c r="V456" s="16"/>
      <c r="W456" s="16">
        <f t="shared" ca="1" si="13"/>
        <v>592</v>
      </c>
      <c r="X456" s="16" t="str">
        <f ca="1"/>
        <v>594-34-4444</v>
      </c>
      <c r="Y456" s="20">
        <f ca="1"/>
        <v>102.018</v>
      </c>
      <c r="Z456" s="16">
        <f ca="1"/>
        <v>1</v>
      </c>
      <c r="AA456" s="16"/>
      <c r="AB456" s="16"/>
      <c r="AC456" s="16"/>
      <c r="AE456" s="16"/>
    </row>
    <row r="457" spans="19:31" x14ac:dyDescent="0.3">
      <c r="S457" s="15" t="s">
        <v>65</v>
      </c>
      <c r="T457" s="13">
        <v>202.81800000000001</v>
      </c>
      <c r="U457" s="16">
        <v>2</v>
      </c>
      <c r="V457" s="16"/>
      <c r="W457" s="16">
        <f t="shared" ca="1" si="13"/>
        <v>442</v>
      </c>
      <c r="X457" s="16" t="str">
        <f ca="1"/>
        <v>595-11-5460</v>
      </c>
      <c r="Y457" s="20">
        <f ca="1"/>
        <v>202.81800000000001</v>
      </c>
      <c r="Z457" s="16">
        <f ca="1"/>
        <v>2</v>
      </c>
      <c r="AA457" s="16"/>
      <c r="AB457" s="16"/>
      <c r="AC457" s="16"/>
      <c r="AE457" s="16"/>
    </row>
    <row r="458" spans="19:31" x14ac:dyDescent="0.3">
      <c r="S458" s="15" t="s">
        <v>545</v>
      </c>
      <c r="T458" s="13">
        <v>398.95800000000003</v>
      </c>
      <c r="U458" s="16">
        <v>7</v>
      </c>
      <c r="V458" s="16"/>
      <c r="W458" s="16">
        <f t="shared" ca="1" si="13"/>
        <v>236</v>
      </c>
      <c r="X458" s="16" t="str">
        <f ca="1"/>
        <v>595-27-4851</v>
      </c>
      <c r="Y458" s="20">
        <f ca="1"/>
        <v>398.95800000000003</v>
      </c>
      <c r="Z458" s="16">
        <f ca="1"/>
        <v>7</v>
      </c>
      <c r="AA458" s="16"/>
      <c r="AB458" s="16"/>
      <c r="AC458" s="16"/>
      <c r="AE458" s="16"/>
    </row>
    <row r="459" spans="19:31" x14ac:dyDescent="0.3">
      <c r="S459" s="15" t="s">
        <v>411</v>
      </c>
      <c r="T459" s="13">
        <v>407.31599999999997</v>
      </c>
      <c r="U459" s="16">
        <v>4</v>
      </c>
      <c r="V459" s="16"/>
      <c r="W459" s="16">
        <f t="shared" ca="1" si="13"/>
        <v>227</v>
      </c>
      <c r="X459" s="16" t="str">
        <f ca="1"/>
        <v>595-86-2894</v>
      </c>
      <c r="Y459" s="20">
        <f ca="1"/>
        <v>407.31599999999997</v>
      </c>
      <c r="Z459" s="16">
        <f ca="1"/>
        <v>4</v>
      </c>
      <c r="AA459" s="16"/>
      <c r="AB459" s="16"/>
      <c r="AC459" s="16"/>
      <c r="AE459" s="16"/>
    </row>
    <row r="460" spans="19:31" x14ac:dyDescent="0.3">
      <c r="S460" s="15" t="s">
        <v>422</v>
      </c>
      <c r="T460" s="13">
        <v>133.917</v>
      </c>
      <c r="U460" s="16">
        <v>7</v>
      </c>
      <c r="V460" s="16"/>
      <c r="W460" s="16">
        <f t="shared" ca="1" si="13"/>
        <v>550</v>
      </c>
      <c r="X460" s="16" t="str">
        <f ca="1"/>
        <v>596-42-3999</v>
      </c>
      <c r="Y460" s="20">
        <f ca="1"/>
        <v>133.917</v>
      </c>
      <c r="Z460" s="16">
        <f ca="1"/>
        <v>7</v>
      </c>
      <c r="AA460" s="16"/>
      <c r="AB460" s="16"/>
      <c r="AC460" s="16"/>
      <c r="AE460" s="16"/>
    </row>
    <row r="461" spans="19:31" x14ac:dyDescent="0.3">
      <c r="S461" s="15" t="s">
        <v>167</v>
      </c>
      <c r="T461" s="13">
        <v>284.19299999999998</v>
      </c>
      <c r="U461" s="16">
        <v>3</v>
      </c>
      <c r="V461" s="16"/>
      <c r="W461" s="16">
        <f t="shared" ca="1" si="13"/>
        <v>340</v>
      </c>
      <c r="X461" s="16" t="str">
        <f ca="1"/>
        <v>597-78-7908</v>
      </c>
      <c r="Y461" s="20">
        <f ca="1"/>
        <v>284.19299999999998</v>
      </c>
      <c r="Z461" s="16">
        <f ca="1"/>
        <v>3</v>
      </c>
      <c r="AA461" s="16"/>
      <c r="AB461" s="16"/>
      <c r="AC461" s="16"/>
      <c r="AE461" s="16"/>
    </row>
    <row r="462" spans="19:31" x14ac:dyDescent="0.3">
      <c r="S462" s="15" t="s">
        <v>510</v>
      </c>
      <c r="T462" s="13">
        <v>353.09399999999999</v>
      </c>
      <c r="U462" s="16">
        <v>4</v>
      </c>
      <c r="V462" s="16"/>
      <c r="W462" s="16">
        <f t="shared" ca="1" si="13"/>
        <v>273</v>
      </c>
      <c r="X462" s="16" t="str">
        <f ca="1"/>
        <v>598-47-9715</v>
      </c>
      <c r="Y462" s="20">
        <f ca="1"/>
        <v>353.09399999999999</v>
      </c>
      <c r="Z462" s="16">
        <f ca="1"/>
        <v>4</v>
      </c>
      <c r="AA462" s="16"/>
      <c r="AB462" s="16"/>
      <c r="AC462" s="16"/>
      <c r="AE462" s="16"/>
    </row>
    <row r="463" spans="19:31" x14ac:dyDescent="0.3">
      <c r="S463" s="15" t="s">
        <v>552</v>
      </c>
      <c r="T463" s="13">
        <v>377.58</v>
      </c>
      <c r="U463" s="16">
        <v>5</v>
      </c>
      <c r="V463" s="16"/>
      <c r="W463" s="16">
        <f t="shared" ca="1" si="13"/>
        <v>254</v>
      </c>
      <c r="X463" s="16" t="str">
        <f ca="1"/>
        <v>600-38-9738</v>
      </c>
      <c r="Y463" s="20">
        <f ca="1"/>
        <v>377.58</v>
      </c>
      <c r="Z463" s="16">
        <f ca="1"/>
        <v>5</v>
      </c>
      <c r="AA463" s="16"/>
      <c r="AB463" s="16"/>
      <c r="AC463" s="16"/>
      <c r="AE463" s="16"/>
    </row>
    <row r="464" spans="19:31" x14ac:dyDescent="0.3">
      <c r="S464" s="15" t="s">
        <v>542</v>
      </c>
      <c r="T464" s="13">
        <v>100.485</v>
      </c>
      <c r="U464" s="16">
        <v>6</v>
      </c>
      <c r="V464" s="16"/>
      <c r="W464" s="16">
        <f t="shared" ca="1" si="13"/>
        <v>594</v>
      </c>
      <c r="X464" s="16" t="str">
        <f ca="1"/>
        <v>602-80-9671</v>
      </c>
      <c r="Y464" s="20">
        <f ca="1"/>
        <v>100.485</v>
      </c>
      <c r="Z464" s="16">
        <f ca="1"/>
        <v>6</v>
      </c>
      <c r="AA464" s="16"/>
      <c r="AB464" s="16"/>
      <c r="AC464" s="16"/>
      <c r="AE464" s="16"/>
    </row>
    <row r="465" spans="19:31" x14ac:dyDescent="0.3">
      <c r="S465" s="15" t="s">
        <v>350</v>
      </c>
      <c r="T465" s="13">
        <v>392.64749999999998</v>
      </c>
      <c r="U465" s="16">
        <v>5</v>
      </c>
      <c r="V465" s="16"/>
      <c r="W465" s="16">
        <f t="shared" ca="1" si="13"/>
        <v>245</v>
      </c>
      <c r="X465" s="16" t="str">
        <f ca="1"/>
        <v>603-07-0961</v>
      </c>
      <c r="Y465" s="20">
        <f ca="1"/>
        <v>392.64749999999998</v>
      </c>
      <c r="Z465" s="16">
        <f ca="1"/>
        <v>5</v>
      </c>
      <c r="AA465" s="16"/>
      <c r="AB465" s="16"/>
      <c r="AC465" s="16"/>
      <c r="AE465" s="16"/>
    </row>
    <row r="466" spans="19:31" x14ac:dyDescent="0.3">
      <c r="S466" s="15" t="s">
        <v>280</v>
      </c>
      <c r="T466" s="13">
        <v>94.185000000000002</v>
      </c>
      <c r="U466" s="16">
        <v>5</v>
      </c>
      <c r="V466" s="16"/>
      <c r="W466" s="16">
        <f t="shared" ca="1" si="13"/>
        <v>604</v>
      </c>
      <c r="X466" s="16" t="str">
        <f ca="1"/>
        <v>604-70-6476</v>
      </c>
      <c r="Y466" s="20">
        <f ca="1"/>
        <v>94.185000000000002</v>
      </c>
      <c r="Z466" s="16">
        <f ca="1"/>
        <v>5</v>
      </c>
      <c r="AA466" s="16"/>
      <c r="AB466" s="16"/>
      <c r="AC466" s="16"/>
      <c r="AE466" s="16"/>
    </row>
    <row r="467" spans="19:31" x14ac:dyDescent="0.3">
      <c r="S467" s="15" t="s">
        <v>394</v>
      </c>
      <c r="T467" s="13">
        <v>793.548</v>
      </c>
      <c r="U467" s="16">
        <v>8</v>
      </c>
      <c r="V467" s="16"/>
      <c r="W467" s="16">
        <f t="shared" ca="1" si="13"/>
        <v>47</v>
      </c>
      <c r="X467" s="16" t="str">
        <f ca="1"/>
        <v>605-72-4132</v>
      </c>
      <c r="Y467" s="20">
        <f ca="1"/>
        <v>793.548</v>
      </c>
      <c r="Z467" s="16">
        <f ca="1"/>
        <v>8</v>
      </c>
      <c r="AA467" s="16"/>
      <c r="AB467" s="16"/>
      <c r="AC467" s="16"/>
      <c r="AE467" s="16"/>
    </row>
    <row r="468" spans="19:31" x14ac:dyDescent="0.3">
      <c r="S468" s="15" t="s">
        <v>233</v>
      </c>
      <c r="T468" s="13">
        <v>120.645</v>
      </c>
      <c r="U468" s="16">
        <v>6</v>
      </c>
      <c r="V468" s="16"/>
      <c r="W468" s="16">
        <f t="shared" ca="1" si="13"/>
        <v>569</v>
      </c>
      <c r="X468" s="16" t="str">
        <f ca="1"/>
        <v>606-80-4905</v>
      </c>
      <c r="Y468" s="20">
        <f ca="1"/>
        <v>120.645</v>
      </c>
      <c r="Z468" s="16">
        <f ca="1"/>
        <v>6</v>
      </c>
      <c r="AA468" s="16"/>
      <c r="AB468" s="16"/>
      <c r="AC468" s="16"/>
      <c r="AE468" s="16"/>
    </row>
    <row r="469" spans="19:31" x14ac:dyDescent="0.3">
      <c r="S469" s="15" t="s">
        <v>673</v>
      </c>
      <c r="T469" s="13">
        <v>860.47500000000002</v>
      </c>
      <c r="U469" s="16">
        <v>10</v>
      </c>
      <c r="V469" s="16"/>
      <c r="W469" s="16">
        <f t="shared" ca="1" si="13"/>
        <v>29</v>
      </c>
      <c r="X469" s="16" t="str">
        <f ca="1"/>
        <v>607-65-2441</v>
      </c>
      <c r="Y469" s="20">
        <f ca="1"/>
        <v>860.47500000000002</v>
      </c>
      <c r="Z469" s="16">
        <f ca="1"/>
        <v>10</v>
      </c>
      <c r="AA469" s="16"/>
      <c r="AB469" s="16"/>
      <c r="AC469" s="16"/>
      <c r="AE469" s="16"/>
    </row>
    <row r="470" spans="19:31" x14ac:dyDescent="0.3">
      <c r="S470" s="15" t="s">
        <v>721</v>
      </c>
      <c r="T470" s="13">
        <v>485.57249999999999</v>
      </c>
      <c r="U470" s="16">
        <v>5</v>
      </c>
      <c r="V470" s="16"/>
      <c r="W470" s="16">
        <f t="shared" ca="1" si="13"/>
        <v>177</v>
      </c>
      <c r="X470" s="16" t="str">
        <f ca="1"/>
        <v>607-76-6216</v>
      </c>
      <c r="Y470" s="20">
        <f ca="1"/>
        <v>485.57249999999999</v>
      </c>
      <c r="Z470" s="16">
        <f ca="1"/>
        <v>5</v>
      </c>
      <c r="AA470" s="16"/>
      <c r="AB470" s="16"/>
      <c r="AC470" s="16"/>
      <c r="AE470" s="16"/>
    </row>
    <row r="471" spans="19:31" x14ac:dyDescent="0.3">
      <c r="S471" s="15" t="s">
        <v>525</v>
      </c>
      <c r="T471" s="13">
        <v>212.68799999999999</v>
      </c>
      <c r="U471" s="16">
        <v>8</v>
      </c>
      <c r="V471" s="16"/>
      <c r="W471" s="16">
        <f t="shared" ca="1" si="13"/>
        <v>423</v>
      </c>
      <c r="X471" s="16" t="str">
        <f ca="1"/>
        <v>608-04-3797</v>
      </c>
      <c r="Y471" s="20">
        <f ca="1"/>
        <v>212.68799999999999</v>
      </c>
      <c r="Z471" s="16">
        <f ca="1"/>
        <v>8</v>
      </c>
      <c r="AA471" s="16"/>
      <c r="AB471" s="16"/>
      <c r="AC471" s="16"/>
      <c r="AE471" s="16"/>
    </row>
    <row r="472" spans="19:31" x14ac:dyDescent="0.3">
      <c r="S472" s="15" t="s">
        <v>206</v>
      </c>
      <c r="T472" s="13">
        <v>333.20699999999999</v>
      </c>
      <c r="U472" s="16">
        <v>6</v>
      </c>
      <c r="V472" s="16"/>
      <c r="W472" s="16">
        <f t="shared" ca="1" si="13"/>
        <v>295</v>
      </c>
      <c r="X472" s="16" t="str">
        <f ca="1"/>
        <v>608-27-6295</v>
      </c>
      <c r="Y472" s="20">
        <f ca="1"/>
        <v>333.20699999999999</v>
      </c>
      <c r="Z472" s="16">
        <f ca="1"/>
        <v>6</v>
      </c>
      <c r="AA472" s="16"/>
      <c r="AB472" s="16"/>
      <c r="AC472" s="16"/>
      <c r="AE472" s="16"/>
    </row>
    <row r="473" spans="19:31" x14ac:dyDescent="0.3">
      <c r="S473" s="15" t="s">
        <v>183</v>
      </c>
      <c r="T473" s="13">
        <v>384.46800000000002</v>
      </c>
      <c r="U473" s="16">
        <v>4</v>
      </c>
      <c r="V473" s="16"/>
      <c r="W473" s="16">
        <f t="shared" ca="1" si="13"/>
        <v>249</v>
      </c>
      <c r="X473" s="16" t="str">
        <f ca="1"/>
        <v>608-96-3517</v>
      </c>
      <c r="Y473" s="20">
        <f ca="1"/>
        <v>384.46800000000002</v>
      </c>
      <c r="Z473" s="16">
        <f ca="1"/>
        <v>4</v>
      </c>
      <c r="AA473" s="16"/>
      <c r="AB473" s="16"/>
      <c r="AC473" s="16"/>
      <c r="AE473" s="16"/>
    </row>
    <row r="474" spans="19:31" x14ac:dyDescent="0.3">
      <c r="S474" s="15" t="s">
        <v>555</v>
      </c>
      <c r="T474" s="13">
        <v>235.87200000000001</v>
      </c>
      <c r="U474" s="16">
        <v>6</v>
      </c>
      <c r="V474" s="16"/>
      <c r="W474" s="16">
        <f t="shared" ca="1" si="13"/>
        <v>393</v>
      </c>
      <c r="X474" s="16" t="str">
        <f ca="1"/>
        <v>609-81-8548</v>
      </c>
      <c r="Y474" s="20">
        <f ca="1"/>
        <v>235.87200000000001</v>
      </c>
      <c r="Z474" s="16">
        <f ca="1"/>
        <v>6</v>
      </c>
      <c r="AA474" s="16"/>
      <c r="AB474" s="16"/>
      <c r="AC474" s="16"/>
      <c r="AE474" s="16"/>
    </row>
    <row r="475" spans="19:31" x14ac:dyDescent="0.3">
      <c r="S475" s="15" t="s">
        <v>637</v>
      </c>
      <c r="T475" s="13">
        <v>212.7825</v>
      </c>
      <c r="U475" s="16">
        <v>7</v>
      </c>
      <c r="V475" s="16"/>
      <c r="W475" s="16">
        <f t="shared" ca="1" si="13"/>
        <v>421</v>
      </c>
      <c r="X475" s="16" t="str">
        <f ca="1"/>
        <v>610-46-4100</v>
      </c>
      <c r="Y475" s="20">
        <f ca="1"/>
        <v>212.7825</v>
      </c>
      <c r="Z475" s="16">
        <f ca="1"/>
        <v>7</v>
      </c>
      <c r="AA475" s="16"/>
      <c r="AB475" s="16"/>
      <c r="AC475" s="16"/>
      <c r="AE475" s="16"/>
    </row>
    <row r="476" spans="19:31" x14ac:dyDescent="0.3">
      <c r="S476" s="15" t="s">
        <v>393</v>
      </c>
      <c r="T476" s="13">
        <v>680.06399999999996</v>
      </c>
      <c r="U476" s="16">
        <v>8</v>
      </c>
      <c r="V476" s="16"/>
      <c r="W476" s="16">
        <f t="shared" ca="1" si="13"/>
        <v>92</v>
      </c>
      <c r="X476" s="16" t="str">
        <f ca="1"/>
        <v>612-36-5536</v>
      </c>
      <c r="Y476" s="20">
        <f ca="1"/>
        <v>680.06399999999996</v>
      </c>
      <c r="Z476" s="16">
        <f ca="1"/>
        <v>8</v>
      </c>
      <c r="AA476" s="16"/>
      <c r="AB476" s="16"/>
      <c r="AC476" s="16"/>
      <c r="AE476" s="16"/>
    </row>
    <row r="477" spans="19:31" x14ac:dyDescent="0.3">
      <c r="S477" s="15" t="s">
        <v>401</v>
      </c>
      <c r="T477" s="13">
        <v>150.78</v>
      </c>
      <c r="U477" s="16">
        <v>10</v>
      </c>
      <c r="V477" s="16"/>
      <c r="W477" s="16">
        <f t="shared" ca="1" si="13"/>
        <v>519</v>
      </c>
      <c r="X477" s="16" t="str">
        <f ca="1"/>
        <v>613-59-9758</v>
      </c>
      <c r="Y477" s="20">
        <f ca="1"/>
        <v>150.78</v>
      </c>
      <c r="Z477" s="16">
        <f ca="1"/>
        <v>10</v>
      </c>
      <c r="AA477" s="16"/>
      <c r="AB477" s="16"/>
      <c r="AC477" s="16"/>
      <c r="AE477" s="16"/>
    </row>
    <row r="478" spans="19:31" x14ac:dyDescent="0.3">
      <c r="S478" s="15" t="s">
        <v>84</v>
      </c>
      <c r="T478" s="13">
        <v>75.054000000000002</v>
      </c>
      <c r="U478" s="16">
        <v>4</v>
      </c>
      <c r="V478" s="16"/>
      <c r="W478" s="16">
        <f t="shared" ca="1" si="13"/>
        <v>653</v>
      </c>
      <c r="X478" s="16" t="str">
        <f ca="1"/>
        <v>616-24-2851</v>
      </c>
      <c r="Y478" s="20">
        <f ca="1"/>
        <v>75.054000000000002</v>
      </c>
      <c r="Z478" s="16">
        <f ca="1"/>
        <v>4</v>
      </c>
      <c r="AA478" s="16"/>
      <c r="AB478" s="16"/>
      <c r="AC478" s="16"/>
      <c r="AE478" s="16"/>
    </row>
    <row r="479" spans="19:31" x14ac:dyDescent="0.3">
      <c r="S479" s="15" t="s">
        <v>466</v>
      </c>
      <c r="T479" s="13">
        <v>702.21900000000005</v>
      </c>
      <c r="U479" s="16">
        <v>7</v>
      </c>
      <c r="V479" s="16"/>
      <c r="W479" s="16">
        <f t="shared" ca="1" si="13"/>
        <v>84</v>
      </c>
      <c r="X479" s="16" t="str">
        <f ca="1"/>
        <v>616-87-0016</v>
      </c>
      <c r="Y479" s="20">
        <f ca="1"/>
        <v>702.21900000000005</v>
      </c>
      <c r="Z479" s="16">
        <f ca="1"/>
        <v>7</v>
      </c>
      <c r="AA479" s="16"/>
      <c r="AB479" s="16"/>
      <c r="AC479" s="16"/>
      <c r="AE479" s="16"/>
    </row>
    <row r="480" spans="19:31" x14ac:dyDescent="0.3">
      <c r="S480" s="15" t="s">
        <v>76</v>
      </c>
      <c r="T480" s="13">
        <v>32.277000000000001</v>
      </c>
      <c r="U480" s="16">
        <v>2</v>
      </c>
      <c r="V480" s="16"/>
      <c r="W480" s="16">
        <f t="shared" ca="1" si="13"/>
        <v>711</v>
      </c>
      <c r="X480" s="16" t="str">
        <f ca="1"/>
        <v>617-15-4209</v>
      </c>
      <c r="Y480" s="20">
        <f ca="1"/>
        <v>32.277000000000001</v>
      </c>
      <c r="Z480" s="16">
        <f ca="1"/>
        <v>2</v>
      </c>
      <c r="AA480" s="16"/>
      <c r="AB480" s="16"/>
      <c r="AC480" s="16"/>
      <c r="AE480" s="16"/>
    </row>
    <row r="481" spans="19:31" x14ac:dyDescent="0.3">
      <c r="S481" s="15" t="s">
        <v>535</v>
      </c>
      <c r="T481" s="13">
        <v>145.74</v>
      </c>
      <c r="U481" s="16">
        <v>2</v>
      </c>
      <c r="V481" s="16"/>
      <c r="W481" s="16">
        <f t="shared" ca="1" si="13"/>
        <v>531</v>
      </c>
      <c r="X481" s="16" t="str">
        <f ca="1"/>
        <v>620-02-2046</v>
      </c>
      <c r="Y481" s="20">
        <f ca="1"/>
        <v>145.74</v>
      </c>
      <c r="Z481" s="16">
        <f ca="1"/>
        <v>2</v>
      </c>
      <c r="AA481" s="16"/>
      <c r="AB481" s="16"/>
      <c r="AC481" s="16"/>
      <c r="AE481" s="16"/>
    </row>
    <row r="482" spans="19:31" x14ac:dyDescent="0.3">
      <c r="S482" s="15" t="s">
        <v>354</v>
      </c>
      <c r="T482" s="13">
        <v>41.390999999999998</v>
      </c>
      <c r="U482" s="16">
        <v>1</v>
      </c>
      <c r="V482" s="16"/>
      <c r="W482" s="16">
        <f t="shared" ca="1" si="13"/>
        <v>698</v>
      </c>
      <c r="X482" s="16" t="str">
        <f ca="1"/>
        <v>622-20-1945</v>
      </c>
      <c r="Y482" s="20">
        <f ca="1"/>
        <v>41.390999999999998</v>
      </c>
      <c r="Z482" s="16">
        <f ca="1"/>
        <v>1</v>
      </c>
      <c r="AA482" s="16"/>
      <c r="AB482" s="16"/>
      <c r="AC482" s="16"/>
      <c r="AE482" s="16"/>
    </row>
    <row r="483" spans="19:31" x14ac:dyDescent="0.3">
      <c r="S483" s="15" t="s">
        <v>658</v>
      </c>
      <c r="T483" s="13">
        <v>507.44400000000002</v>
      </c>
      <c r="U483" s="16">
        <v>8</v>
      </c>
      <c r="V483" s="16"/>
      <c r="W483" s="16">
        <f t="shared" ca="1" si="13"/>
        <v>167</v>
      </c>
      <c r="X483" s="16" t="str">
        <f ca="1"/>
        <v>626-43-7888</v>
      </c>
      <c r="Y483" s="20">
        <f ca="1"/>
        <v>507.44400000000002</v>
      </c>
      <c r="Z483" s="16">
        <f ca="1"/>
        <v>8</v>
      </c>
      <c r="AA483" s="16"/>
      <c r="AB483" s="16"/>
      <c r="AC483" s="16"/>
      <c r="AE483" s="16"/>
    </row>
    <row r="484" spans="19:31" x14ac:dyDescent="0.3">
      <c r="S484" s="15" t="s">
        <v>522</v>
      </c>
      <c r="T484" s="13">
        <v>734.07600000000002</v>
      </c>
      <c r="U484" s="16">
        <v>9</v>
      </c>
      <c r="V484" s="16"/>
      <c r="W484" s="16">
        <f t="shared" ca="1" si="13"/>
        <v>69</v>
      </c>
      <c r="X484" s="16" t="str">
        <f ca="1"/>
        <v>627-95-3243</v>
      </c>
      <c r="Y484" s="20">
        <f ca="1"/>
        <v>734.07600000000002</v>
      </c>
      <c r="Z484" s="16">
        <f ca="1"/>
        <v>9</v>
      </c>
      <c r="AA484" s="16"/>
      <c r="AB484" s="16"/>
      <c r="AC484" s="16"/>
      <c r="AE484" s="16"/>
    </row>
    <row r="485" spans="19:31" x14ac:dyDescent="0.3">
      <c r="S485" s="15" t="s">
        <v>138</v>
      </c>
      <c r="T485" s="13">
        <v>172.494</v>
      </c>
      <c r="U485" s="16">
        <v>6</v>
      </c>
      <c r="V485" s="16"/>
      <c r="W485" s="16">
        <f t="shared" ca="1" si="13"/>
        <v>485</v>
      </c>
      <c r="X485" s="16" t="str">
        <f ca="1"/>
        <v>628-34-3388</v>
      </c>
      <c r="Y485" s="20">
        <f ca="1"/>
        <v>172.494</v>
      </c>
      <c r="Z485" s="16">
        <f ca="1"/>
        <v>6</v>
      </c>
      <c r="AA485" s="16"/>
      <c r="AB485" s="16"/>
      <c r="AC485" s="16"/>
      <c r="AE485" s="16"/>
    </row>
    <row r="486" spans="19:31" x14ac:dyDescent="0.3">
      <c r="S486" s="15" t="s">
        <v>139</v>
      </c>
      <c r="T486" s="13">
        <v>391.41899999999998</v>
      </c>
      <c r="U486" s="16">
        <v>6</v>
      </c>
      <c r="V486" s="16"/>
      <c r="W486" s="16">
        <f t="shared" ca="1" si="13"/>
        <v>246</v>
      </c>
      <c r="X486" s="16" t="str">
        <f ca="1"/>
        <v>630-74-5166</v>
      </c>
      <c r="Y486" s="20">
        <f ca="1"/>
        <v>391.41899999999998</v>
      </c>
      <c r="Z486" s="16">
        <f ca="1"/>
        <v>6</v>
      </c>
      <c r="AA486" s="16"/>
      <c r="AB486" s="16"/>
      <c r="AC486" s="16"/>
      <c r="AE486" s="16"/>
    </row>
    <row r="487" spans="19:31" x14ac:dyDescent="0.3">
      <c r="S487" s="15" t="s">
        <v>715</v>
      </c>
      <c r="T487" s="13">
        <v>76.576499999999996</v>
      </c>
      <c r="U487" s="16">
        <v>3</v>
      </c>
      <c r="V487" s="16"/>
      <c r="W487" s="16">
        <f t="shared" ca="1" si="13"/>
        <v>647</v>
      </c>
      <c r="X487" s="16" t="str">
        <f ca="1"/>
        <v>631-34-1880</v>
      </c>
      <c r="Y487" s="20">
        <f ca="1"/>
        <v>76.576499999999996</v>
      </c>
      <c r="Z487" s="16">
        <f ca="1"/>
        <v>3</v>
      </c>
      <c r="AA487" s="16"/>
      <c r="AB487" s="16"/>
      <c r="AC487" s="16"/>
      <c r="AE487" s="16"/>
    </row>
    <row r="488" spans="19:31" x14ac:dyDescent="0.3">
      <c r="S488" s="15" t="s">
        <v>27</v>
      </c>
      <c r="T488" s="13">
        <v>340.52550000000002</v>
      </c>
      <c r="U488" s="16">
        <v>7</v>
      </c>
      <c r="V488" s="16"/>
      <c r="W488" s="16">
        <f t="shared" ca="1" si="13"/>
        <v>286</v>
      </c>
      <c r="X488" s="16" t="str">
        <f ca="1"/>
        <v>631-41-3108</v>
      </c>
      <c r="Y488" s="20">
        <f ca="1"/>
        <v>340.52550000000002</v>
      </c>
      <c r="Z488" s="16">
        <f ca="1"/>
        <v>7</v>
      </c>
      <c r="AA488" s="16"/>
      <c r="AB488" s="16"/>
      <c r="AC488" s="16"/>
      <c r="AE488" s="16"/>
    </row>
    <row r="489" spans="19:31" x14ac:dyDescent="0.3">
      <c r="S489" s="15" t="s">
        <v>528</v>
      </c>
      <c r="T489" s="13">
        <v>637.72799999999995</v>
      </c>
      <c r="U489" s="16">
        <v>8</v>
      </c>
      <c r="V489" s="16"/>
      <c r="W489" s="16">
        <f t="shared" ca="1" si="13"/>
        <v>97</v>
      </c>
      <c r="X489" s="16" t="str">
        <f ca="1"/>
        <v>632-32-4574</v>
      </c>
      <c r="Y489" s="20">
        <f ca="1"/>
        <v>637.72799999999995</v>
      </c>
      <c r="Z489" s="16">
        <f ca="1"/>
        <v>8</v>
      </c>
      <c r="AA489" s="16"/>
      <c r="AB489" s="16"/>
      <c r="AC489" s="16"/>
      <c r="AE489" s="16"/>
    </row>
    <row r="490" spans="19:31" x14ac:dyDescent="0.3">
      <c r="S490" s="15" t="s">
        <v>389</v>
      </c>
      <c r="T490" s="13">
        <v>394.27499999999998</v>
      </c>
      <c r="U490" s="16">
        <v>10</v>
      </c>
      <c r="V490" s="16"/>
      <c r="W490" s="16">
        <f t="shared" ca="1" si="13"/>
        <v>244</v>
      </c>
      <c r="X490" s="16" t="str">
        <f ca="1"/>
        <v>632-90-0281</v>
      </c>
      <c r="Y490" s="20">
        <f ca="1"/>
        <v>394.27499999999998</v>
      </c>
      <c r="Z490" s="16">
        <f ca="1"/>
        <v>10</v>
      </c>
      <c r="AA490" s="16"/>
      <c r="AB490" s="16"/>
      <c r="AC490" s="16"/>
      <c r="AE490" s="16"/>
    </row>
    <row r="491" spans="19:31" x14ac:dyDescent="0.3">
      <c r="S491" s="15" t="s">
        <v>371</v>
      </c>
      <c r="T491" s="13">
        <v>150.0975</v>
      </c>
      <c r="U491" s="16">
        <v>3</v>
      </c>
      <c r="V491" s="16"/>
      <c r="W491" s="16">
        <f t="shared" ca="1" si="13"/>
        <v>521</v>
      </c>
      <c r="X491" s="16" t="str">
        <f ca="1"/>
        <v>633-09-3463</v>
      </c>
      <c r="Y491" s="20">
        <f ca="1"/>
        <v>150.0975</v>
      </c>
      <c r="Z491" s="16">
        <f ca="1"/>
        <v>3</v>
      </c>
      <c r="AA491" s="16"/>
      <c r="AB491" s="16"/>
      <c r="AC491" s="16"/>
      <c r="AE491" s="16"/>
    </row>
    <row r="492" spans="19:31" x14ac:dyDescent="0.3">
      <c r="S492" s="15" t="s">
        <v>119</v>
      </c>
      <c r="T492" s="13">
        <v>362.94299999999998</v>
      </c>
      <c r="U492" s="16">
        <v>7</v>
      </c>
      <c r="V492" s="16"/>
      <c r="W492" s="16">
        <f t="shared" ca="1" si="13"/>
        <v>264</v>
      </c>
      <c r="X492" s="16" t="str">
        <f ca="1"/>
        <v>633-44-8566</v>
      </c>
      <c r="Y492" s="20">
        <f ca="1"/>
        <v>362.94299999999998</v>
      </c>
      <c r="Z492" s="16">
        <f ca="1"/>
        <v>7</v>
      </c>
      <c r="AA492" s="16"/>
      <c r="AB492" s="16"/>
      <c r="AC492" s="16"/>
      <c r="AE492" s="16"/>
    </row>
    <row r="493" spans="19:31" x14ac:dyDescent="0.3">
      <c r="S493" s="15" t="s">
        <v>306</v>
      </c>
      <c r="T493" s="13">
        <v>25.263000000000002</v>
      </c>
      <c r="U493" s="16">
        <v>2</v>
      </c>
      <c r="V493" s="16"/>
      <c r="W493" s="16">
        <f t="shared" ca="1" si="13"/>
        <v>722</v>
      </c>
      <c r="X493" s="16" t="str">
        <f ca="1"/>
        <v>633-91-1052</v>
      </c>
      <c r="Y493" s="20">
        <f ca="1"/>
        <v>25.263000000000002</v>
      </c>
      <c r="Z493" s="16">
        <f ca="1"/>
        <v>2</v>
      </c>
      <c r="AA493" s="16"/>
      <c r="AB493" s="16"/>
      <c r="AC493" s="16"/>
      <c r="AE493" s="16"/>
    </row>
    <row r="494" spans="19:31" x14ac:dyDescent="0.3">
      <c r="S494" s="15" t="s">
        <v>364</v>
      </c>
      <c r="T494" s="13">
        <v>103.63500000000001</v>
      </c>
      <c r="U494" s="16">
        <v>3</v>
      </c>
      <c r="V494" s="16"/>
      <c r="W494" s="16">
        <f t="shared" ca="1" si="13"/>
        <v>587</v>
      </c>
      <c r="X494" s="16" t="str">
        <f ca="1"/>
        <v>634-97-8956</v>
      </c>
      <c r="Y494" s="20">
        <f ca="1"/>
        <v>103.63500000000001</v>
      </c>
      <c r="Z494" s="16">
        <f ca="1"/>
        <v>3</v>
      </c>
      <c r="AA494" s="16"/>
      <c r="AB494" s="16"/>
      <c r="AC494" s="16"/>
      <c r="AE494" s="16"/>
    </row>
    <row r="495" spans="19:31" x14ac:dyDescent="0.3">
      <c r="S495" s="15" t="s">
        <v>89</v>
      </c>
      <c r="T495" s="13">
        <v>752.64</v>
      </c>
      <c r="U495" s="16">
        <v>8</v>
      </c>
      <c r="V495" s="16"/>
      <c r="W495" s="16">
        <f t="shared" ca="1" si="13"/>
        <v>60</v>
      </c>
      <c r="X495" s="16" t="str">
        <f ca="1"/>
        <v>635-40-6220</v>
      </c>
      <c r="Y495" s="20">
        <f ca="1"/>
        <v>752.64</v>
      </c>
      <c r="Z495" s="16">
        <f ca="1"/>
        <v>8</v>
      </c>
      <c r="AA495" s="16"/>
      <c r="AB495" s="16"/>
      <c r="AC495" s="16"/>
      <c r="AE495" s="16"/>
    </row>
    <row r="496" spans="19:31" x14ac:dyDescent="0.3">
      <c r="S496" s="15" t="s">
        <v>55</v>
      </c>
      <c r="T496" s="13">
        <v>181.44</v>
      </c>
      <c r="U496" s="16">
        <v>5</v>
      </c>
      <c r="V496" s="16"/>
      <c r="W496" s="16">
        <f t="shared" ca="1" si="13"/>
        <v>472</v>
      </c>
      <c r="X496" s="16" t="str">
        <f ca="1"/>
        <v>636-48-8204</v>
      </c>
      <c r="Y496" s="20">
        <f ca="1"/>
        <v>181.44</v>
      </c>
      <c r="Z496" s="16">
        <f ca="1"/>
        <v>5</v>
      </c>
      <c r="AA496" s="16"/>
      <c r="AB496" s="16"/>
      <c r="AC496" s="16"/>
      <c r="AE496" s="16"/>
    </row>
    <row r="497" spans="19:31" x14ac:dyDescent="0.3">
      <c r="S497" s="15" t="s">
        <v>732</v>
      </c>
      <c r="T497" s="13">
        <v>82.718999999999994</v>
      </c>
      <c r="U497" s="16">
        <v>3</v>
      </c>
      <c r="V497" s="16"/>
      <c r="W497" s="16">
        <f t="shared" ca="1" si="13"/>
        <v>630</v>
      </c>
      <c r="X497" s="16" t="str">
        <f ca="1"/>
        <v>636-98-3364</v>
      </c>
      <c r="Y497" s="20">
        <f ca="1"/>
        <v>82.718999999999994</v>
      </c>
      <c r="Z497" s="16">
        <f ca="1"/>
        <v>3</v>
      </c>
      <c r="AA497" s="16"/>
      <c r="AB497" s="16"/>
      <c r="AC497" s="16"/>
      <c r="AE497" s="16"/>
    </row>
    <row r="498" spans="19:31" x14ac:dyDescent="0.3">
      <c r="S498" s="15" t="s">
        <v>152</v>
      </c>
      <c r="T498" s="13">
        <v>836.30399999999997</v>
      </c>
      <c r="U498" s="16">
        <v>8</v>
      </c>
      <c r="V498" s="16"/>
      <c r="W498" s="16">
        <f t="shared" ca="1" si="13"/>
        <v>33</v>
      </c>
      <c r="X498" s="16" t="str">
        <f ca="1"/>
        <v>638-60-7125</v>
      </c>
      <c r="Y498" s="20">
        <f ca="1"/>
        <v>836.30399999999997</v>
      </c>
      <c r="Z498" s="16">
        <f ca="1"/>
        <v>8</v>
      </c>
      <c r="AA498" s="16"/>
      <c r="AB498" s="16"/>
      <c r="AC498" s="16"/>
      <c r="AE498" s="16"/>
    </row>
    <row r="499" spans="19:31" x14ac:dyDescent="0.3">
      <c r="S499" s="15" t="s">
        <v>493</v>
      </c>
      <c r="T499" s="13">
        <v>212.73</v>
      </c>
      <c r="U499" s="16">
        <v>5</v>
      </c>
      <c r="V499" s="16"/>
      <c r="W499" s="16">
        <f t="shared" ca="1" si="13"/>
        <v>422</v>
      </c>
      <c r="X499" s="16" t="str">
        <f ca="1"/>
        <v>639-76-1242</v>
      </c>
      <c r="Y499" s="20">
        <f ca="1"/>
        <v>212.73</v>
      </c>
      <c r="Z499" s="16">
        <f ca="1"/>
        <v>5</v>
      </c>
      <c r="AA499" s="16"/>
      <c r="AB499" s="16"/>
      <c r="AC499" s="16"/>
      <c r="AE499" s="16"/>
    </row>
    <row r="500" spans="19:31" x14ac:dyDescent="0.3">
      <c r="S500" s="15" t="s">
        <v>660</v>
      </c>
      <c r="T500" s="13">
        <v>835.28549999999996</v>
      </c>
      <c r="U500" s="16">
        <v>9</v>
      </c>
      <c r="V500" s="16"/>
      <c r="W500" s="16">
        <f t="shared" ca="1" si="13"/>
        <v>34</v>
      </c>
      <c r="X500" s="16" t="str">
        <f ca="1"/>
        <v>640-48-5028</v>
      </c>
      <c r="Y500" s="20">
        <f ca="1"/>
        <v>835.28549999999996</v>
      </c>
      <c r="Z500" s="16">
        <f ca="1"/>
        <v>9</v>
      </c>
      <c r="AA500" s="16"/>
      <c r="AB500" s="16"/>
      <c r="AC500" s="16"/>
      <c r="AE500" s="16"/>
    </row>
    <row r="501" spans="19:31" x14ac:dyDescent="0.3">
      <c r="S501" s="15" t="s">
        <v>64</v>
      </c>
      <c r="T501" s="13">
        <v>703.75199999999995</v>
      </c>
      <c r="U501" s="16">
        <v>8</v>
      </c>
      <c r="V501" s="16"/>
      <c r="W501" s="16">
        <f t="shared" ca="1" si="13"/>
        <v>83</v>
      </c>
      <c r="X501" s="16" t="str">
        <f ca="1"/>
        <v>640-49-2076</v>
      </c>
      <c r="Y501" s="20">
        <f ca="1"/>
        <v>703.75199999999995</v>
      </c>
      <c r="Z501" s="16">
        <f ca="1"/>
        <v>8</v>
      </c>
      <c r="AA501" s="16"/>
      <c r="AB501" s="16"/>
      <c r="AC501" s="16"/>
      <c r="AE501" s="16"/>
    </row>
    <row r="502" spans="19:31" x14ac:dyDescent="0.3">
      <c r="S502" s="15" t="s">
        <v>226</v>
      </c>
      <c r="T502" s="13">
        <v>107.31</v>
      </c>
      <c r="U502" s="16">
        <v>4</v>
      </c>
      <c r="V502" s="16"/>
      <c r="W502" s="16">
        <f t="shared" ca="1" si="13"/>
        <v>581</v>
      </c>
      <c r="X502" s="16" t="str">
        <f ca="1"/>
        <v>641-43-2399</v>
      </c>
      <c r="Y502" s="20">
        <f ca="1"/>
        <v>107.31</v>
      </c>
      <c r="Z502" s="16">
        <f ca="1"/>
        <v>4</v>
      </c>
      <c r="AA502" s="16"/>
      <c r="AB502" s="16"/>
      <c r="AC502" s="16"/>
      <c r="AE502" s="16"/>
    </row>
    <row r="503" spans="19:31" x14ac:dyDescent="0.3">
      <c r="S503" s="15" t="s">
        <v>642</v>
      </c>
      <c r="T503" s="13">
        <v>914.55</v>
      </c>
      <c r="U503" s="16">
        <v>10</v>
      </c>
      <c r="V503" s="16"/>
      <c r="W503" s="16">
        <f t="shared" ca="1" si="13"/>
        <v>22</v>
      </c>
      <c r="X503" s="16" t="str">
        <f ca="1"/>
        <v>641-51-2661</v>
      </c>
      <c r="Y503" s="20">
        <f ca="1"/>
        <v>914.55</v>
      </c>
      <c r="Z503" s="16">
        <f ca="1"/>
        <v>10</v>
      </c>
      <c r="AA503" s="16"/>
      <c r="AB503" s="16"/>
      <c r="AC503" s="16"/>
      <c r="AE503" s="16"/>
    </row>
    <row r="504" spans="19:31" x14ac:dyDescent="0.3">
      <c r="S504" s="15" t="s">
        <v>633</v>
      </c>
      <c r="T504" s="13">
        <v>273.798</v>
      </c>
      <c r="U504" s="16">
        <v>6</v>
      </c>
      <c r="V504" s="16"/>
      <c r="W504" s="16">
        <f t="shared" ca="1" si="13"/>
        <v>350</v>
      </c>
      <c r="X504" s="16" t="str">
        <f ca="1"/>
        <v>641-96-3695</v>
      </c>
      <c r="Y504" s="20">
        <f ca="1"/>
        <v>273.798</v>
      </c>
      <c r="Z504" s="16">
        <f ca="1"/>
        <v>6</v>
      </c>
      <c r="AA504" s="16"/>
      <c r="AB504" s="16"/>
      <c r="AC504" s="16"/>
      <c r="AE504" s="16"/>
    </row>
    <row r="505" spans="19:31" x14ac:dyDescent="0.3">
      <c r="S505" s="15" t="s">
        <v>150</v>
      </c>
      <c r="T505" s="13">
        <v>115.08</v>
      </c>
      <c r="U505" s="16">
        <v>10</v>
      </c>
      <c r="V505" s="16"/>
      <c r="W505" s="16">
        <f t="shared" ca="1" si="13"/>
        <v>577</v>
      </c>
      <c r="X505" s="16" t="str">
        <f ca="1"/>
        <v>642-32-2990</v>
      </c>
      <c r="Y505" s="20">
        <f ca="1"/>
        <v>115.08</v>
      </c>
      <c r="Z505" s="16">
        <f ca="1"/>
        <v>10</v>
      </c>
      <c r="AA505" s="16"/>
      <c r="AB505" s="16"/>
      <c r="AC505" s="16"/>
      <c r="AE505" s="16"/>
    </row>
    <row r="506" spans="19:31" x14ac:dyDescent="0.3">
      <c r="S506" s="15" t="s">
        <v>570</v>
      </c>
      <c r="T506" s="13">
        <v>102.837</v>
      </c>
      <c r="U506" s="16">
        <v>1</v>
      </c>
      <c r="V506" s="16"/>
      <c r="W506" s="16">
        <f t="shared" ca="1" si="13"/>
        <v>591</v>
      </c>
      <c r="X506" s="16" t="str">
        <f ca="1"/>
        <v>643-38-7867</v>
      </c>
      <c r="Y506" s="20">
        <f ca="1"/>
        <v>102.837</v>
      </c>
      <c r="Z506" s="16">
        <f ca="1"/>
        <v>1</v>
      </c>
      <c r="AA506" s="16"/>
      <c r="AB506" s="16"/>
      <c r="AC506" s="16"/>
      <c r="AE506" s="16"/>
    </row>
    <row r="507" spans="19:31" x14ac:dyDescent="0.3">
      <c r="S507" s="15" t="s">
        <v>145</v>
      </c>
      <c r="T507" s="13">
        <v>548.76149999999996</v>
      </c>
      <c r="U507" s="16">
        <v>9</v>
      </c>
      <c r="V507" s="16"/>
      <c r="W507" s="16">
        <f t="shared" ca="1" si="13"/>
        <v>137</v>
      </c>
      <c r="X507" s="16" t="str">
        <f ca="1"/>
        <v>645-44-1170</v>
      </c>
      <c r="Y507" s="20">
        <f ca="1"/>
        <v>548.76149999999996</v>
      </c>
      <c r="Z507" s="16">
        <f ca="1"/>
        <v>9</v>
      </c>
      <c r="AA507" s="16"/>
      <c r="AB507" s="16"/>
      <c r="AC507" s="16"/>
      <c r="AE507" s="16"/>
    </row>
    <row r="508" spans="19:31" x14ac:dyDescent="0.3">
      <c r="S508" s="15" t="s">
        <v>268</v>
      </c>
      <c r="T508" s="13">
        <v>195.59399999999999</v>
      </c>
      <c r="U508" s="16">
        <v>2</v>
      </c>
      <c r="V508" s="16"/>
      <c r="W508" s="16">
        <f t="shared" ca="1" si="13"/>
        <v>449</v>
      </c>
      <c r="X508" s="16" t="str">
        <f ca="1"/>
        <v>645-78-8093</v>
      </c>
      <c r="Y508" s="20">
        <f ca="1"/>
        <v>195.59399999999999</v>
      </c>
      <c r="Z508" s="16">
        <f ca="1"/>
        <v>2</v>
      </c>
      <c r="AA508" s="16"/>
      <c r="AB508" s="16"/>
      <c r="AC508" s="16"/>
      <c r="AE508" s="16"/>
    </row>
    <row r="509" spans="19:31" x14ac:dyDescent="0.3">
      <c r="S509" s="15" t="s">
        <v>579</v>
      </c>
      <c r="T509" s="13">
        <v>308.91000000000003</v>
      </c>
      <c r="U509" s="16">
        <v>10</v>
      </c>
      <c r="V509" s="16"/>
      <c r="W509" s="16">
        <f t="shared" ca="1" si="13"/>
        <v>317</v>
      </c>
      <c r="X509" s="16" t="str">
        <f ca="1"/>
        <v>647-50-1224</v>
      </c>
      <c r="Y509" s="20">
        <f ca="1"/>
        <v>308.91000000000003</v>
      </c>
      <c r="Z509" s="16">
        <f ca="1"/>
        <v>10</v>
      </c>
      <c r="AA509" s="16"/>
      <c r="AB509" s="16"/>
      <c r="AC509" s="16"/>
      <c r="AE509" s="16"/>
    </row>
    <row r="510" spans="19:31" x14ac:dyDescent="0.3">
      <c r="S510" s="15" t="s">
        <v>646</v>
      </c>
      <c r="T510" s="13">
        <v>618.97500000000002</v>
      </c>
      <c r="U510" s="16">
        <v>10</v>
      </c>
      <c r="V510" s="16"/>
      <c r="W510" s="16">
        <f t="shared" ca="1" si="13"/>
        <v>108</v>
      </c>
      <c r="X510" s="16" t="str">
        <f ca="1"/>
        <v>648-94-3045</v>
      </c>
      <c r="Y510" s="20">
        <f ca="1"/>
        <v>618.97500000000002</v>
      </c>
      <c r="Z510" s="16">
        <f ca="1"/>
        <v>10</v>
      </c>
      <c r="AA510" s="16"/>
      <c r="AB510" s="16"/>
      <c r="AC510" s="16"/>
      <c r="AE510" s="16"/>
    </row>
    <row r="511" spans="19:31" x14ac:dyDescent="0.3">
      <c r="S511" s="15" t="s">
        <v>353</v>
      </c>
      <c r="T511" s="13">
        <v>216.6885</v>
      </c>
      <c r="U511" s="16">
        <v>9</v>
      </c>
      <c r="V511" s="16"/>
      <c r="W511" s="16">
        <f t="shared" ca="1" si="13"/>
        <v>414</v>
      </c>
      <c r="X511" s="16" t="str">
        <f ca="1"/>
        <v>649-11-3678</v>
      </c>
      <c r="Y511" s="20">
        <f ca="1"/>
        <v>216.6885</v>
      </c>
      <c r="Z511" s="16">
        <f ca="1"/>
        <v>9</v>
      </c>
      <c r="AA511" s="16"/>
      <c r="AB511" s="16"/>
      <c r="AC511" s="16"/>
      <c r="AE511" s="16"/>
    </row>
    <row r="512" spans="19:31" x14ac:dyDescent="0.3">
      <c r="S512" s="15" t="s">
        <v>58</v>
      </c>
      <c r="T512" s="13">
        <v>35.195999999999998</v>
      </c>
      <c r="U512" s="16">
        <v>1</v>
      </c>
      <c r="V512" s="16"/>
      <c r="W512" s="16">
        <f t="shared" ca="1" si="13"/>
        <v>705</v>
      </c>
      <c r="X512" s="16" t="str">
        <f ca="1"/>
        <v>649-29-6775</v>
      </c>
      <c r="Y512" s="20">
        <f ca="1"/>
        <v>35.195999999999998</v>
      </c>
      <c r="Z512" s="16">
        <f ca="1"/>
        <v>1</v>
      </c>
      <c r="AA512" s="16"/>
      <c r="AB512" s="16"/>
      <c r="AC512" s="16"/>
      <c r="AE512" s="16"/>
    </row>
    <row r="513" spans="19:31" x14ac:dyDescent="0.3">
      <c r="S513" s="15" t="s">
        <v>460</v>
      </c>
      <c r="T513" s="13">
        <v>65.740499999999997</v>
      </c>
      <c r="U513" s="16">
        <v>3</v>
      </c>
      <c r="V513" s="16"/>
      <c r="W513" s="16">
        <f t="shared" ca="1" si="13"/>
        <v>671</v>
      </c>
      <c r="X513" s="16" t="str">
        <f ca="1"/>
        <v>650-98-6268</v>
      </c>
      <c r="Y513" s="20">
        <f ca="1"/>
        <v>65.740499999999997</v>
      </c>
      <c r="Z513" s="16">
        <f ca="1"/>
        <v>3</v>
      </c>
      <c r="AA513" s="16"/>
      <c r="AB513" s="16"/>
      <c r="AC513" s="16"/>
      <c r="AE513" s="16"/>
    </row>
    <row r="514" spans="19:31" x14ac:dyDescent="0.3">
      <c r="S514" s="15" t="s">
        <v>434</v>
      </c>
      <c r="T514" s="13">
        <v>194.124</v>
      </c>
      <c r="U514" s="16">
        <v>4</v>
      </c>
      <c r="V514" s="16"/>
      <c r="W514" s="16">
        <f t="shared" ca="1" si="13"/>
        <v>453</v>
      </c>
      <c r="X514" s="16" t="str">
        <f ca="1"/>
        <v>651-61-0874</v>
      </c>
      <c r="Y514" s="20">
        <f ca="1"/>
        <v>194.124</v>
      </c>
      <c r="Z514" s="16">
        <f ca="1"/>
        <v>4</v>
      </c>
      <c r="AA514" s="16"/>
      <c r="AB514" s="16"/>
      <c r="AC514" s="16"/>
      <c r="AE514" s="16"/>
    </row>
    <row r="515" spans="19:31" x14ac:dyDescent="0.3">
      <c r="S515" s="15" t="s">
        <v>600</v>
      </c>
      <c r="T515" s="13">
        <v>621.24300000000005</v>
      </c>
      <c r="U515" s="16">
        <v>9</v>
      </c>
      <c r="V515" s="16"/>
      <c r="W515" s="16">
        <f t="shared" ref="W515:W578" ca="1" si="14">RANK(Y:Y,Y:Y)</f>
        <v>107</v>
      </c>
      <c r="X515" s="16" t="str">
        <f ca="1"/>
        <v>651-88-7328</v>
      </c>
      <c r="Y515" s="20">
        <f ca="1"/>
        <v>621.24300000000005</v>
      </c>
      <c r="Z515" s="16">
        <f ca="1"/>
        <v>9</v>
      </c>
      <c r="AA515" s="16"/>
      <c r="AB515" s="16"/>
      <c r="AC515" s="16"/>
      <c r="AE515" s="16"/>
    </row>
    <row r="516" spans="19:31" x14ac:dyDescent="0.3">
      <c r="S516" s="15" t="s">
        <v>692</v>
      </c>
      <c r="T516" s="13">
        <v>48.730499999999999</v>
      </c>
      <c r="U516" s="16">
        <v>1</v>
      </c>
      <c r="V516" s="16"/>
      <c r="W516" s="16">
        <f t="shared" ca="1" si="14"/>
        <v>690</v>
      </c>
      <c r="X516" s="16" t="str">
        <f ca="1"/>
        <v>651-96-5970</v>
      </c>
      <c r="Y516" s="20">
        <f ca="1"/>
        <v>48.730499999999999</v>
      </c>
      <c r="Z516" s="16">
        <f ca="1"/>
        <v>1</v>
      </c>
      <c r="AA516" s="16"/>
      <c r="AB516" s="16"/>
      <c r="AC516" s="16"/>
      <c r="AE516" s="16"/>
    </row>
    <row r="517" spans="19:31" x14ac:dyDescent="0.3">
      <c r="S517" s="15" t="s">
        <v>680</v>
      </c>
      <c r="T517" s="13">
        <v>817.23599999999999</v>
      </c>
      <c r="U517" s="16">
        <v>8</v>
      </c>
      <c r="V517" s="16"/>
      <c r="W517" s="16">
        <f t="shared" ca="1" si="14"/>
        <v>41</v>
      </c>
      <c r="X517" s="16" t="str">
        <f ca="1"/>
        <v>652-43-6591</v>
      </c>
      <c r="Y517" s="20">
        <f ca="1"/>
        <v>817.23599999999999</v>
      </c>
      <c r="Z517" s="16">
        <f ca="1"/>
        <v>8</v>
      </c>
      <c r="AA517" s="16"/>
      <c r="AB517" s="16"/>
      <c r="AC517" s="16"/>
      <c r="AE517" s="16"/>
    </row>
    <row r="518" spans="19:31" x14ac:dyDescent="0.3">
      <c r="S518" s="15" t="s">
        <v>636</v>
      </c>
      <c r="T518" s="13">
        <v>246.6765</v>
      </c>
      <c r="U518" s="16">
        <v>3</v>
      </c>
      <c r="V518" s="16"/>
      <c r="W518" s="16">
        <f t="shared" ca="1" si="14"/>
        <v>384</v>
      </c>
      <c r="X518" s="16" t="str">
        <f ca="1"/>
        <v>655-07-2265</v>
      </c>
      <c r="Y518" s="20">
        <f ca="1"/>
        <v>246.6765</v>
      </c>
      <c r="Z518" s="16">
        <f ca="1"/>
        <v>3</v>
      </c>
      <c r="AA518" s="16"/>
      <c r="AB518" s="16"/>
      <c r="AC518" s="16"/>
      <c r="AE518" s="16"/>
    </row>
    <row r="519" spans="19:31" x14ac:dyDescent="0.3">
      <c r="S519" s="15" t="s">
        <v>295</v>
      </c>
      <c r="T519" s="13">
        <v>160.86000000000001</v>
      </c>
      <c r="U519" s="16">
        <v>4</v>
      </c>
      <c r="V519" s="16"/>
      <c r="W519" s="16">
        <f t="shared" ca="1" si="14"/>
        <v>505</v>
      </c>
      <c r="X519" s="16" t="str">
        <f ca="1"/>
        <v>655-85-5130</v>
      </c>
      <c r="Y519" s="20">
        <f ca="1"/>
        <v>160.86000000000001</v>
      </c>
      <c r="Z519" s="16">
        <f ca="1"/>
        <v>4</v>
      </c>
      <c r="AA519" s="16"/>
      <c r="AB519" s="16"/>
      <c r="AC519" s="16"/>
      <c r="AE519" s="16"/>
    </row>
    <row r="520" spans="19:31" x14ac:dyDescent="0.3">
      <c r="S520" s="15" t="s">
        <v>246</v>
      </c>
      <c r="T520" s="13">
        <v>146.22300000000001</v>
      </c>
      <c r="U520" s="16">
        <v>3</v>
      </c>
      <c r="V520" s="16"/>
      <c r="W520" s="16">
        <f t="shared" ca="1" si="14"/>
        <v>529</v>
      </c>
      <c r="X520" s="16" t="str">
        <f ca="1"/>
        <v>656-16-1063</v>
      </c>
      <c r="Y520" s="20">
        <f ca="1"/>
        <v>146.22300000000001</v>
      </c>
      <c r="Z520" s="16">
        <f ca="1"/>
        <v>3</v>
      </c>
      <c r="AA520" s="16"/>
      <c r="AB520" s="16"/>
      <c r="AC520" s="16"/>
      <c r="AE520" s="16"/>
    </row>
    <row r="521" spans="19:31" x14ac:dyDescent="0.3">
      <c r="S521" s="15" t="s">
        <v>48</v>
      </c>
      <c r="T521" s="13">
        <v>506.63549999999998</v>
      </c>
      <c r="U521" s="16">
        <v>7</v>
      </c>
      <c r="V521" s="16"/>
      <c r="W521" s="16">
        <f t="shared" ca="1" si="14"/>
        <v>168</v>
      </c>
      <c r="X521" s="16" t="str">
        <f ca="1"/>
        <v>656-95-9349</v>
      </c>
      <c r="Y521" s="20">
        <f ca="1"/>
        <v>506.63549999999998</v>
      </c>
      <c r="Z521" s="16">
        <f ca="1"/>
        <v>7</v>
      </c>
      <c r="AA521" s="16"/>
      <c r="AB521" s="16"/>
      <c r="AC521" s="16"/>
      <c r="AE521" s="16"/>
    </row>
    <row r="522" spans="19:31" x14ac:dyDescent="0.3">
      <c r="S522" s="15" t="s">
        <v>153</v>
      </c>
      <c r="T522" s="13">
        <v>419.83199999999999</v>
      </c>
      <c r="U522" s="16">
        <v>7</v>
      </c>
      <c r="V522" s="16"/>
      <c r="W522" s="16">
        <f t="shared" ca="1" si="14"/>
        <v>220</v>
      </c>
      <c r="X522" s="16" t="str">
        <f ca="1"/>
        <v>659-36-1684</v>
      </c>
      <c r="Y522" s="20">
        <f ca="1"/>
        <v>419.83199999999999</v>
      </c>
      <c r="Z522" s="16">
        <f ca="1"/>
        <v>7</v>
      </c>
      <c r="AA522" s="16"/>
      <c r="AB522" s="16"/>
      <c r="AC522" s="16"/>
      <c r="AE522" s="16"/>
    </row>
    <row r="523" spans="19:31" x14ac:dyDescent="0.3">
      <c r="S523" s="15" t="s">
        <v>149</v>
      </c>
      <c r="T523" s="13">
        <v>53.927999999999997</v>
      </c>
      <c r="U523" s="16">
        <v>1</v>
      </c>
      <c r="V523" s="16"/>
      <c r="W523" s="16">
        <f t="shared" ca="1" si="14"/>
        <v>684</v>
      </c>
      <c r="X523" s="16" t="str">
        <f ca="1"/>
        <v>659-65-8956</v>
      </c>
      <c r="Y523" s="20">
        <f ca="1"/>
        <v>53.927999999999997</v>
      </c>
      <c r="Z523" s="16">
        <f ca="1"/>
        <v>1</v>
      </c>
      <c r="AA523" s="16"/>
      <c r="AB523" s="16"/>
      <c r="AC523" s="16"/>
      <c r="AE523" s="16"/>
    </row>
    <row r="524" spans="19:31" x14ac:dyDescent="0.3">
      <c r="S524" s="15" t="s">
        <v>284</v>
      </c>
      <c r="T524" s="13">
        <v>369.495</v>
      </c>
      <c r="U524" s="16">
        <v>10</v>
      </c>
      <c r="V524" s="16"/>
      <c r="W524" s="16">
        <f t="shared" ca="1" si="14"/>
        <v>260</v>
      </c>
      <c r="X524" s="16" t="str">
        <f ca="1"/>
        <v>662-47-5456</v>
      </c>
      <c r="Y524" s="20">
        <f ca="1"/>
        <v>369.495</v>
      </c>
      <c r="Z524" s="16">
        <f ca="1"/>
        <v>10</v>
      </c>
      <c r="AA524" s="16"/>
      <c r="AB524" s="16"/>
      <c r="AC524" s="16"/>
      <c r="AE524" s="16"/>
    </row>
    <row r="525" spans="19:31" x14ac:dyDescent="0.3">
      <c r="S525" s="15" t="s">
        <v>417</v>
      </c>
      <c r="T525" s="13">
        <v>214.935</v>
      </c>
      <c r="U525" s="16">
        <v>5</v>
      </c>
      <c r="V525" s="16"/>
      <c r="W525" s="16">
        <f t="shared" ca="1" si="14"/>
        <v>417</v>
      </c>
      <c r="X525" s="16" t="str">
        <f ca="1"/>
        <v>662-72-2873</v>
      </c>
      <c r="Y525" s="20">
        <f ca="1"/>
        <v>214.935</v>
      </c>
      <c r="Z525" s="16">
        <f ca="1"/>
        <v>5</v>
      </c>
      <c r="AA525" s="16"/>
      <c r="AB525" s="16"/>
      <c r="AC525" s="16"/>
      <c r="AE525" s="16"/>
    </row>
    <row r="526" spans="19:31" x14ac:dyDescent="0.3">
      <c r="S526" s="15" t="s">
        <v>160</v>
      </c>
      <c r="T526" s="13">
        <v>575.73599999999999</v>
      </c>
      <c r="U526" s="16">
        <v>8</v>
      </c>
      <c r="V526" s="16"/>
      <c r="W526" s="16">
        <f t="shared" ca="1" si="14"/>
        <v>125</v>
      </c>
      <c r="X526" s="16" t="str">
        <f ca="1"/>
        <v>663-86-9076</v>
      </c>
      <c r="Y526" s="20">
        <f ca="1"/>
        <v>575.73599999999999</v>
      </c>
      <c r="Z526" s="16">
        <f ca="1"/>
        <v>8</v>
      </c>
      <c r="AA526" s="16"/>
      <c r="AB526" s="16"/>
      <c r="AC526" s="16"/>
      <c r="AE526" s="16"/>
    </row>
    <row r="527" spans="19:31" x14ac:dyDescent="0.3">
      <c r="S527" s="15" t="s">
        <v>36</v>
      </c>
      <c r="T527" s="13">
        <v>76.146000000000001</v>
      </c>
      <c r="U527" s="16">
        <v>2</v>
      </c>
      <c r="V527" s="16"/>
      <c r="W527" s="16">
        <f t="shared" ca="1" si="14"/>
        <v>649</v>
      </c>
      <c r="X527" s="16" t="str">
        <f ca="1"/>
        <v>665-32-9167</v>
      </c>
      <c r="Y527" s="20">
        <f ca="1"/>
        <v>76.146000000000001</v>
      </c>
      <c r="Z527" s="16">
        <f ca="1"/>
        <v>2</v>
      </c>
      <c r="AA527" s="16"/>
      <c r="AB527" s="16"/>
      <c r="AC527" s="16"/>
      <c r="AE527" s="16"/>
    </row>
    <row r="528" spans="19:31" x14ac:dyDescent="0.3">
      <c r="S528" s="15" t="s">
        <v>408</v>
      </c>
      <c r="T528" s="13">
        <v>507.67500000000001</v>
      </c>
      <c r="U528" s="16">
        <v>5</v>
      </c>
      <c r="V528" s="16"/>
      <c r="W528" s="16">
        <f t="shared" ca="1" si="14"/>
        <v>166</v>
      </c>
      <c r="X528" s="16" t="str">
        <f ca="1"/>
        <v>667-23-5919</v>
      </c>
      <c r="Y528" s="20">
        <f ca="1"/>
        <v>507.67500000000001</v>
      </c>
      <c r="Z528" s="16">
        <f ca="1"/>
        <v>5</v>
      </c>
      <c r="AA528" s="16"/>
      <c r="AB528" s="16"/>
      <c r="AC528" s="16"/>
      <c r="AE528" s="16"/>
    </row>
    <row r="529" spans="19:31" x14ac:dyDescent="0.3">
      <c r="S529" s="15" t="s">
        <v>316</v>
      </c>
      <c r="T529" s="13">
        <v>628.92899999999997</v>
      </c>
      <c r="U529" s="16">
        <v>6</v>
      </c>
      <c r="V529" s="16"/>
      <c r="W529" s="16">
        <f t="shared" ca="1" si="14"/>
        <v>102</v>
      </c>
      <c r="X529" s="16" t="str">
        <f ca="1"/>
        <v>667-92-0055</v>
      </c>
      <c r="Y529" s="20">
        <f ca="1"/>
        <v>628.92899999999997</v>
      </c>
      <c r="Z529" s="16">
        <f ca="1"/>
        <v>6</v>
      </c>
      <c r="AA529" s="16"/>
      <c r="AB529" s="16"/>
      <c r="AC529" s="16"/>
      <c r="AE529" s="16"/>
    </row>
    <row r="530" spans="19:31" x14ac:dyDescent="0.3">
      <c r="S530" s="15" t="s">
        <v>157</v>
      </c>
      <c r="T530" s="13">
        <v>688.62149999999997</v>
      </c>
      <c r="U530" s="16">
        <v>7</v>
      </c>
      <c r="V530" s="16"/>
      <c r="W530" s="16">
        <f t="shared" ca="1" si="14"/>
        <v>89</v>
      </c>
      <c r="X530" s="16" t="str">
        <f ca="1"/>
        <v>668-90-8900</v>
      </c>
      <c r="Y530" s="20">
        <f ca="1"/>
        <v>688.62149999999997</v>
      </c>
      <c r="Z530" s="16">
        <f ca="1"/>
        <v>7</v>
      </c>
      <c r="AA530" s="16"/>
      <c r="AB530" s="16"/>
      <c r="AC530" s="16"/>
      <c r="AE530" s="16"/>
    </row>
    <row r="531" spans="19:31" x14ac:dyDescent="0.3">
      <c r="S531" s="15" t="s">
        <v>80</v>
      </c>
      <c r="T531" s="13">
        <v>119.259</v>
      </c>
      <c r="U531" s="16">
        <v>6</v>
      </c>
      <c r="V531" s="16"/>
      <c r="W531" s="16">
        <f t="shared" ca="1" si="14"/>
        <v>571</v>
      </c>
      <c r="X531" s="16" t="str">
        <f ca="1"/>
        <v>669-54-1719</v>
      </c>
      <c r="Y531" s="20">
        <f ca="1"/>
        <v>119.259</v>
      </c>
      <c r="Z531" s="16">
        <f ca="1"/>
        <v>6</v>
      </c>
      <c r="AA531" s="16"/>
      <c r="AB531" s="16"/>
      <c r="AC531" s="16"/>
      <c r="AE531" s="16"/>
    </row>
    <row r="532" spans="19:31" x14ac:dyDescent="0.3">
      <c r="S532" s="15" t="s">
        <v>706</v>
      </c>
      <c r="T532" s="13">
        <v>281.16899999999998</v>
      </c>
      <c r="U532" s="16">
        <v>6</v>
      </c>
      <c r="V532" s="16"/>
      <c r="W532" s="16">
        <f t="shared" ca="1" si="14"/>
        <v>342</v>
      </c>
      <c r="X532" s="16" t="str">
        <f ca="1"/>
        <v>670-71-7306</v>
      </c>
      <c r="Y532" s="20">
        <f ca="1"/>
        <v>281.16899999999998</v>
      </c>
      <c r="Z532" s="16">
        <f ca="1"/>
        <v>6</v>
      </c>
      <c r="AA532" s="16"/>
      <c r="AB532" s="16"/>
      <c r="AC532" s="16"/>
      <c r="AE532" s="16"/>
    </row>
    <row r="533" spans="19:31" x14ac:dyDescent="0.3">
      <c r="S533" s="15" t="s">
        <v>239</v>
      </c>
      <c r="T533" s="13">
        <v>629.84249999999997</v>
      </c>
      <c r="U533" s="16">
        <v>9</v>
      </c>
      <c r="V533" s="16"/>
      <c r="W533" s="16">
        <f t="shared" ca="1" si="14"/>
        <v>100</v>
      </c>
      <c r="X533" s="16" t="str">
        <f ca="1"/>
        <v>672-51-8681</v>
      </c>
      <c r="Y533" s="20">
        <f ca="1"/>
        <v>629.84249999999997</v>
      </c>
      <c r="Z533" s="16">
        <f ca="1"/>
        <v>9</v>
      </c>
      <c r="AA533" s="16"/>
      <c r="AB533" s="16"/>
      <c r="AC533" s="16"/>
      <c r="AE533" s="16"/>
    </row>
    <row r="534" spans="19:31" x14ac:dyDescent="0.3">
      <c r="S534" s="15" t="s">
        <v>515</v>
      </c>
      <c r="T534" s="13">
        <v>194.98500000000001</v>
      </c>
      <c r="U534" s="16">
        <v>5</v>
      </c>
      <c r="V534" s="16"/>
      <c r="W534" s="16">
        <f t="shared" ca="1" si="14"/>
        <v>452</v>
      </c>
      <c r="X534" s="16" t="str">
        <f ca="1"/>
        <v>674-15-9296</v>
      </c>
      <c r="Y534" s="20">
        <f ca="1"/>
        <v>194.98500000000001</v>
      </c>
      <c r="Z534" s="16">
        <f ca="1"/>
        <v>5</v>
      </c>
      <c r="AA534" s="16"/>
      <c r="AB534" s="16"/>
      <c r="AC534" s="16"/>
      <c r="AE534" s="16"/>
    </row>
    <row r="535" spans="19:31" x14ac:dyDescent="0.3">
      <c r="S535" s="15" t="s">
        <v>743</v>
      </c>
      <c r="T535" s="13">
        <v>56.469000000000001</v>
      </c>
      <c r="U535" s="16">
        <v>1</v>
      </c>
      <c r="V535" s="16"/>
      <c r="W535" s="16">
        <f t="shared" ca="1" si="14"/>
        <v>678</v>
      </c>
      <c r="X535" s="16" t="str">
        <f ca="1"/>
        <v>676-10-2200</v>
      </c>
      <c r="Y535" s="20">
        <f ca="1"/>
        <v>56.469000000000001</v>
      </c>
      <c r="Z535" s="16">
        <f ca="1"/>
        <v>1</v>
      </c>
      <c r="AA535" s="16"/>
      <c r="AB535" s="16"/>
      <c r="AC535" s="16"/>
      <c r="AE535" s="16"/>
    </row>
    <row r="536" spans="19:31" x14ac:dyDescent="0.3">
      <c r="S536" s="15" t="s">
        <v>507</v>
      </c>
      <c r="T536" s="13">
        <v>338.31</v>
      </c>
      <c r="U536" s="16">
        <v>5</v>
      </c>
      <c r="V536" s="16"/>
      <c r="W536" s="16">
        <f t="shared" ca="1" si="14"/>
        <v>288</v>
      </c>
      <c r="X536" s="16" t="str">
        <f ca="1"/>
        <v>676-39-6028</v>
      </c>
      <c r="Y536" s="20">
        <f ca="1"/>
        <v>338.31</v>
      </c>
      <c r="Z536" s="16">
        <f ca="1"/>
        <v>5</v>
      </c>
      <c r="AA536" s="16"/>
      <c r="AB536" s="16"/>
      <c r="AC536" s="16"/>
      <c r="AE536" s="16"/>
    </row>
    <row r="537" spans="19:31" x14ac:dyDescent="0.3">
      <c r="S537" s="15" t="s">
        <v>244</v>
      </c>
      <c r="T537" s="13">
        <v>881.30700000000002</v>
      </c>
      <c r="U537" s="16">
        <v>9</v>
      </c>
      <c r="V537" s="16"/>
      <c r="W537" s="16">
        <f t="shared" ca="1" si="14"/>
        <v>25</v>
      </c>
      <c r="X537" s="16" t="str">
        <f ca="1"/>
        <v>677-11-0152</v>
      </c>
      <c r="Y537" s="20">
        <f ca="1"/>
        <v>881.30700000000002</v>
      </c>
      <c r="Z537" s="16">
        <f ca="1"/>
        <v>9</v>
      </c>
      <c r="AA537" s="16"/>
      <c r="AB537" s="16"/>
      <c r="AC537" s="16"/>
      <c r="AE537" s="16"/>
    </row>
    <row r="538" spans="19:31" x14ac:dyDescent="0.3">
      <c r="S538" s="15" t="s">
        <v>179</v>
      </c>
      <c r="T538" s="13">
        <v>316.47000000000003</v>
      </c>
      <c r="U538" s="16">
        <v>10</v>
      </c>
      <c r="V538" s="16"/>
      <c r="W538" s="16">
        <f t="shared" ca="1" si="14"/>
        <v>308</v>
      </c>
      <c r="X538" s="16" t="str">
        <f ca="1"/>
        <v>685-64-1609</v>
      </c>
      <c r="Y538" s="20">
        <f ca="1"/>
        <v>316.47000000000003</v>
      </c>
      <c r="Z538" s="16">
        <f ca="1"/>
        <v>10</v>
      </c>
      <c r="AA538" s="16"/>
      <c r="AB538" s="16"/>
      <c r="AC538" s="16"/>
      <c r="AE538" s="16"/>
    </row>
    <row r="539" spans="19:31" x14ac:dyDescent="0.3">
      <c r="S539" s="15" t="s">
        <v>523</v>
      </c>
      <c r="T539" s="13">
        <v>72.87</v>
      </c>
      <c r="U539" s="16">
        <v>2</v>
      </c>
      <c r="V539" s="16"/>
      <c r="W539" s="16">
        <f t="shared" ca="1" si="14"/>
        <v>658</v>
      </c>
      <c r="X539" s="16" t="str">
        <f ca="1"/>
        <v>686-41-0932</v>
      </c>
      <c r="Y539" s="20">
        <f ca="1"/>
        <v>72.87</v>
      </c>
      <c r="Z539" s="16">
        <f ca="1"/>
        <v>2</v>
      </c>
      <c r="AA539" s="16"/>
      <c r="AB539" s="16"/>
      <c r="AC539" s="16"/>
      <c r="AE539" s="16"/>
    </row>
    <row r="540" spans="19:31" x14ac:dyDescent="0.3">
      <c r="S540" s="15" t="s">
        <v>304</v>
      </c>
      <c r="T540" s="13">
        <v>44.351999999999997</v>
      </c>
      <c r="U540" s="16">
        <v>2</v>
      </c>
      <c r="V540" s="16"/>
      <c r="W540" s="16">
        <f t="shared" ca="1" si="14"/>
        <v>695</v>
      </c>
      <c r="X540" s="16" t="str">
        <f ca="1"/>
        <v>687-15-1097</v>
      </c>
      <c r="Y540" s="20">
        <f ca="1"/>
        <v>44.351999999999997</v>
      </c>
      <c r="Z540" s="16">
        <f ca="1"/>
        <v>2</v>
      </c>
      <c r="AA540" s="16"/>
      <c r="AB540" s="16"/>
      <c r="AC540" s="16"/>
      <c r="AE540" s="16"/>
    </row>
    <row r="541" spans="19:31" x14ac:dyDescent="0.3">
      <c r="S541" s="15" t="s">
        <v>200</v>
      </c>
      <c r="T541" s="13">
        <v>1039.29</v>
      </c>
      <c r="U541" s="16">
        <v>10</v>
      </c>
      <c r="V541" s="16"/>
      <c r="W541" s="16">
        <f t="shared" ca="1" si="14"/>
        <v>2</v>
      </c>
      <c r="X541" s="16" t="str">
        <f ca="1"/>
        <v>687-47-8271</v>
      </c>
      <c r="Y541" s="20">
        <f ca="1"/>
        <v>1039.29</v>
      </c>
      <c r="Z541" s="16">
        <f ca="1"/>
        <v>10</v>
      </c>
      <c r="AA541" s="16"/>
      <c r="AB541" s="16"/>
      <c r="AC541" s="16"/>
      <c r="AE541" s="16"/>
    </row>
    <row r="542" spans="19:31" x14ac:dyDescent="0.3">
      <c r="S542" s="15" t="s">
        <v>653</v>
      </c>
      <c r="T542" s="13">
        <v>510.61500000000001</v>
      </c>
      <c r="U542" s="16">
        <v>10</v>
      </c>
      <c r="V542" s="16"/>
      <c r="W542" s="16">
        <f t="shared" ca="1" si="14"/>
        <v>164</v>
      </c>
      <c r="X542" s="16" t="str">
        <f ca="1"/>
        <v>689-05-1884</v>
      </c>
      <c r="Y542" s="20">
        <f ca="1"/>
        <v>510.61500000000001</v>
      </c>
      <c r="Z542" s="16">
        <f ca="1"/>
        <v>10</v>
      </c>
      <c r="AA542" s="16"/>
      <c r="AB542" s="16"/>
      <c r="AC542" s="16"/>
      <c r="AE542" s="16"/>
    </row>
    <row r="543" spans="19:31" x14ac:dyDescent="0.3">
      <c r="S543" s="15" t="s">
        <v>419</v>
      </c>
      <c r="T543" s="13">
        <v>294.65100000000001</v>
      </c>
      <c r="U543" s="16">
        <v>6</v>
      </c>
      <c r="V543" s="16"/>
      <c r="W543" s="16">
        <f t="shared" ca="1" si="14"/>
        <v>328</v>
      </c>
      <c r="X543" s="16" t="str">
        <f ca="1"/>
        <v>689-16-9784</v>
      </c>
      <c r="Y543" s="20">
        <f ca="1"/>
        <v>294.65100000000001</v>
      </c>
      <c r="Z543" s="16">
        <f ca="1"/>
        <v>6</v>
      </c>
      <c r="AA543" s="16"/>
      <c r="AB543" s="16"/>
      <c r="AC543" s="16"/>
      <c r="AE543" s="16"/>
    </row>
    <row r="544" spans="19:31" x14ac:dyDescent="0.3">
      <c r="S544" s="15" t="s">
        <v>370</v>
      </c>
      <c r="T544" s="13">
        <v>365.08499999999998</v>
      </c>
      <c r="U544" s="16">
        <v>6</v>
      </c>
      <c r="V544" s="16"/>
      <c r="W544" s="16">
        <f t="shared" ca="1" si="14"/>
        <v>263</v>
      </c>
      <c r="X544" s="16" t="str">
        <f ca="1"/>
        <v>692-27-8933</v>
      </c>
      <c r="Y544" s="20">
        <f ca="1"/>
        <v>365.08499999999998</v>
      </c>
      <c r="Z544" s="16">
        <f ca="1"/>
        <v>6</v>
      </c>
      <c r="AA544" s="16"/>
      <c r="AB544" s="16"/>
      <c r="AC544" s="16"/>
      <c r="AE544" s="16"/>
    </row>
    <row r="545" spans="19:31" x14ac:dyDescent="0.3">
      <c r="S545" s="15" t="s">
        <v>37</v>
      </c>
      <c r="T545" s="13">
        <v>172.74600000000001</v>
      </c>
      <c r="U545" s="16">
        <v>3</v>
      </c>
      <c r="V545" s="16"/>
      <c r="W545" s="16">
        <f t="shared" ca="1" si="14"/>
        <v>484</v>
      </c>
      <c r="X545" s="16" t="str">
        <f ca="1"/>
        <v>692-92-5582</v>
      </c>
      <c r="Y545" s="20">
        <f ca="1"/>
        <v>172.74600000000001</v>
      </c>
      <c r="Z545" s="16">
        <f ca="1"/>
        <v>3</v>
      </c>
      <c r="AA545" s="16"/>
      <c r="AB545" s="16"/>
      <c r="AC545" s="16"/>
      <c r="AE545" s="16"/>
    </row>
    <row r="546" spans="19:31" x14ac:dyDescent="0.3">
      <c r="S546" s="15" t="s">
        <v>620</v>
      </c>
      <c r="T546" s="13">
        <v>226.065</v>
      </c>
      <c r="U546" s="16">
        <v>5</v>
      </c>
      <c r="V546" s="16"/>
      <c r="W546" s="16">
        <f t="shared" ca="1" si="14"/>
        <v>403</v>
      </c>
      <c r="X546" s="16" t="str">
        <f ca="1"/>
        <v>695-28-6250</v>
      </c>
      <c r="Y546" s="20">
        <f ca="1"/>
        <v>226.065</v>
      </c>
      <c r="Z546" s="16">
        <f ca="1"/>
        <v>5</v>
      </c>
      <c r="AA546" s="16"/>
      <c r="AB546" s="16"/>
      <c r="AC546" s="16"/>
      <c r="AE546" s="16"/>
    </row>
    <row r="547" spans="19:31" x14ac:dyDescent="0.3">
      <c r="S547" s="15" t="s">
        <v>164</v>
      </c>
      <c r="T547" s="13">
        <v>146.328</v>
      </c>
      <c r="U547" s="16">
        <v>4</v>
      </c>
      <c r="V547" s="16"/>
      <c r="W547" s="16">
        <f t="shared" ca="1" si="14"/>
        <v>528</v>
      </c>
      <c r="X547" s="16" t="str">
        <f ca="1"/>
        <v>695-51-0018</v>
      </c>
      <c r="Y547" s="20">
        <f ca="1"/>
        <v>146.328</v>
      </c>
      <c r="Z547" s="16">
        <f ca="1"/>
        <v>4</v>
      </c>
      <c r="AA547" s="16"/>
      <c r="AB547" s="16"/>
      <c r="AC547" s="16"/>
      <c r="AE547" s="16"/>
    </row>
    <row r="548" spans="19:31" x14ac:dyDescent="0.3">
      <c r="S548" s="15" t="s">
        <v>446</v>
      </c>
      <c r="T548" s="13">
        <v>81.396000000000001</v>
      </c>
      <c r="U548" s="16">
        <v>3</v>
      </c>
      <c r="V548" s="16"/>
      <c r="W548" s="16">
        <f t="shared" ca="1" si="14"/>
        <v>631</v>
      </c>
      <c r="X548" s="16" t="str">
        <f ca="1"/>
        <v>696-90-2548</v>
      </c>
      <c r="Y548" s="20">
        <f ca="1"/>
        <v>81.396000000000001</v>
      </c>
      <c r="Z548" s="16">
        <f ca="1"/>
        <v>3</v>
      </c>
      <c r="AA548" s="16"/>
      <c r="AB548" s="16"/>
      <c r="AC548" s="16"/>
      <c r="AE548" s="16"/>
    </row>
    <row r="549" spans="19:31" x14ac:dyDescent="0.3">
      <c r="S549" s="15" t="s">
        <v>598</v>
      </c>
      <c r="T549" s="13">
        <v>852.70500000000004</v>
      </c>
      <c r="U549" s="16">
        <v>10</v>
      </c>
      <c r="V549" s="16"/>
      <c r="W549" s="16">
        <f t="shared" ca="1" si="14"/>
        <v>31</v>
      </c>
      <c r="X549" s="16" t="str">
        <f ca="1"/>
        <v>698-98-5964</v>
      </c>
      <c r="Y549" s="20">
        <f ca="1"/>
        <v>852.70500000000004</v>
      </c>
      <c r="Z549" s="16">
        <f ca="1"/>
        <v>10</v>
      </c>
      <c r="AA549" s="16"/>
      <c r="AB549" s="16"/>
      <c r="AC549" s="16"/>
      <c r="AE549" s="16"/>
    </row>
    <row r="550" spans="19:31" x14ac:dyDescent="0.3">
      <c r="S550" s="15" t="s">
        <v>231</v>
      </c>
      <c r="T550" s="13">
        <v>174.3</v>
      </c>
      <c r="U550" s="16">
        <v>4</v>
      </c>
      <c r="V550" s="16"/>
      <c r="W550" s="16">
        <f t="shared" ca="1" si="14"/>
        <v>482</v>
      </c>
      <c r="X550" s="16" t="str">
        <f ca="1"/>
        <v>699-01-4164</v>
      </c>
      <c r="Y550" s="20">
        <f ca="1"/>
        <v>174.3</v>
      </c>
      <c r="Z550" s="16">
        <f ca="1"/>
        <v>4</v>
      </c>
      <c r="AA550" s="16"/>
      <c r="AB550" s="16"/>
      <c r="AC550" s="16"/>
      <c r="AE550" s="16"/>
    </row>
    <row r="551" spans="19:31" x14ac:dyDescent="0.3">
      <c r="S551" s="15" t="s">
        <v>33</v>
      </c>
      <c r="T551" s="13">
        <v>627.61649999999997</v>
      </c>
      <c r="U551" s="16">
        <v>7</v>
      </c>
      <c r="V551" s="16"/>
      <c r="W551" s="16">
        <f t="shared" ca="1" si="14"/>
        <v>104</v>
      </c>
      <c r="X551" s="16" t="str">
        <f ca="1"/>
        <v>699-14-3026</v>
      </c>
      <c r="Y551" s="20">
        <f ca="1"/>
        <v>627.61649999999997</v>
      </c>
      <c r="Z551" s="16">
        <f ca="1"/>
        <v>7</v>
      </c>
      <c r="AA551" s="16"/>
      <c r="AB551" s="16"/>
      <c r="AC551" s="16"/>
      <c r="AE551" s="16"/>
    </row>
    <row r="552" spans="19:31" x14ac:dyDescent="0.3">
      <c r="S552" s="15" t="s">
        <v>168</v>
      </c>
      <c r="T552" s="13">
        <v>138.1275</v>
      </c>
      <c r="U552" s="16">
        <v>5</v>
      </c>
      <c r="V552" s="16"/>
      <c r="W552" s="16">
        <f t="shared" ca="1" si="14"/>
        <v>544</v>
      </c>
      <c r="X552" s="16" t="str">
        <f ca="1"/>
        <v>700-81-1757</v>
      </c>
      <c r="Y552" s="20">
        <f ca="1"/>
        <v>138.1275</v>
      </c>
      <c r="Z552" s="16">
        <f ca="1"/>
        <v>5</v>
      </c>
      <c r="AA552" s="16"/>
      <c r="AB552" s="16"/>
      <c r="AC552" s="16"/>
      <c r="AE552" s="16"/>
    </row>
    <row r="553" spans="19:31" x14ac:dyDescent="0.3">
      <c r="S553" s="15" t="s">
        <v>578</v>
      </c>
      <c r="T553" s="13">
        <v>163.00200000000001</v>
      </c>
      <c r="U553" s="16">
        <v>4</v>
      </c>
      <c r="V553" s="16"/>
      <c r="W553" s="16">
        <f t="shared" ca="1" si="14"/>
        <v>501</v>
      </c>
      <c r="X553" s="16" t="str">
        <f ca="1"/>
        <v>701-23-5550</v>
      </c>
      <c r="Y553" s="20">
        <f ca="1"/>
        <v>163.00200000000001</v>
      </c>
      <c r="Z553" s="16">
        <f ca="1"/>
        <v>4</v>
      </c>
      <c r="AA553" s="16"/>
      <c r="AB553" s="16"/>
      <c r="AC553" s="16"/>
      <c r="AE553" s="16"/>
    </row>
    <row r="554" spans="19:31" x14ac:dyDescent="0.3">
      <c r="S554" s="15" t="s">
        <v>511</v>
      </c>
      <c r="T554" s="13">
        <v>360.88499999999999</v>
      </c>
      <c r="U554" s="16">
        <v>10</v>
      </c>
      <c r="V554" s="16"/>
      <c r="W554" s="16">
        <f t="shared" ca="1" si="14"/>
        <v>266</v>
      </c>
      <c r="X554" s="16" t="str">
        <f ca="1"/>
        <v>701-69-8742</v>
      </c>
      <c r="Y554" s="20">
        <f ca="1"/>
        <v>360.88499999999999</v>
      </c>
      <c r="Z554" s="16">
        <f ca="1"/>
        <v>10</v>
      </c>
      <c r="AA554" s="16"/>
      <c r="AB554" s="16"/>
      <c r="AC554" s="16"/>
      <c r="AE554" s="16"/>
    </row>
    <row r="555" spans="19:31" x14ac:dyDescent="0.3">
      <c r="S555" s="15" t="s">
        <v>287</v>
      </c>
      <c r="T555" s="13">
        <v>494.76</v>
      </c>
      <c r="U555" s="16">
        <v>8</v>
      </c>
      <c r="V555" s="16"/>
      <c r="W555" s="16">
        <f t="shared" ca="1" si="14"/>
        <v>170</v>
      </c>
      <c r="X555" s="16" t="str">
        <f ca="1"/>
        <v>704-11-6354</v>
      </c>
      <c r="Y555" s="20">
        <f ca="1"/>
        <v>494.76</v>
      </c>
      <c r="Z555" s="16">
        <f ca="1"/>
        <v>8</v>
      </c>
      <c r="AA555" s="16"/>
      <c r="AB555" s="16"/>
      <c r="AC555" s="16"/>
      <c r="AE555" s="16"/>
    </row>
    <row r="556" spans="19:31" x14ac:dyDescent="0.3">
      <c r="S556" s="15" t="s">
        <v>351</v>
      </c>
      <c r="T556" s="13">
        <v>218.0745</v>
      </c>
      <c r="U556" s="16">
        <v>7</v>
      </c>
      <c r="V556" s="16"/>
      <c r="W556" s="16">
        <f t="shared" ca="1" si="14"/>
        <v>408</v>
      </c>
      <c r="X556" s="16" t="str">
        <f ca="1"/>
        <v>704-20-4138</v>
      </c>
      <c r="Y556" s="20">
        <f ca="1"/>
        <v>218.0745</v>
      </c>
      <c r="Z556" s="16">
        <f ca="1"/>
        <v>7</v>
      </c>
      <c r="AA556" s="16"/>
      <c r="AB556" s="16"/>
      <c r="AC556" s="16"/>
      <c r="AE556" s="16"/>
    </row>
    <row r="557" spans="19:31" x14ac:dyDescent="0.3">
      <c r="S557" s="15" t="s">
        <v>137</v>
      </c>
      <c r="T557" s="13">
        <v>931.03499999999997</v>
      </c>
      <c r="U557" s="16">
        <v>10</v>
      </c>
      <c r="V557" s="16"/>
      <c r="W557" s="16">
        <f t="shared" ca="1" si="14"/>
        <v>18</v>
      </c>
      <c r="X557" s="16" t="str">
        <f ca="1"/>
        <v>704-48-3927</v>
      </c>
      <c r="Y557" s="20">
        <f ca="1"/>
        <v>931.03499999999997</v>
      </c>
      <c r="Z557" s="16">
        <f ca="1"/>
        <v>10</v>
      </c>
      <c r="AA557" s="16"/>
      <c r="AB557" s="16"/>
      <c r="AC557" s="16"/>
      <c r="AE557" s="16"/>
    </row>
    <row r="558" spans="19:31" x14ac:dyDescent="0.3">
      <c r="S558" s="15" t="s">
        <v>519</v>
      </c>
      <c r="T558" s="13">
        <v>431.44499999999999</v>
      </c>
      <c r="U558" s="16">
        <v>10</v>
      </c>
      <c r="V558" s="16"/>
      <c r="W558" s="16">
        <f t="shared" ca="1" si="14"/>
        <v>214</v>
      </c>
      <c r="X558" s="16" t="str">
        <f ca="1"/>
        <v>709-58-4068</v>
      </c>
      <c r="Y558" s="20">
        <f ca="1"/>
        <v>431.44499999999999</v>
      </c>
      <c r="Z558" s="16">
        <f ca="1"/>
        <v>10</v>
      </c>
      <c r="AA558" s="16"/>
      <c r="AB558" s="16"/>
      <c r="AC558" s="16"/>
      <c r="AE558" s="16"/>
    </row>
    <row r="559" spans="19:31" x14ac:dyDescent="0.3">
      <c r="S559" s="15" t="s">
        <v>489</v>
      </c>
      <c r="T559" s="13">
        <v>731.43</v>
      </c>
      <c r="U559" s="16">
        <v>9</v>
      </c>
      <c r="V559" s="16"/>
      <c r="W559" s="16">
        <f t="shared" ca="1" si="14"/>
        <v>72</v>
      </c>
      <c r="X559" s="16" t="str">
        <f ca="1"/>
        <v>710-46-4433</v>
      </c>
      <c r="Y559" s="20">
        <f ca="1"/>
        <v>731.43</v>
      </c>
      <c r="Z559" s="16">
        <f ca="1"/>
        <v>9</v>
      </c>
      <c r="AA559" s="16"/>
      <c r="AB559" s="16"/>
      <c r="AC559" s="16"/>
      <c r="AE559" s="16"/>
    </row>
    <row r="560" spans="19:31" x14ac:dyDescent="0.3">
      <c r="S560" s="15" t="s">
        <v>591</v>
      </c>
      <c r="T560" s="13">
        <v>262.45800000000003</v>
      </c>
      <c r="U560" s="16">
        <v>6</v>
      </c>
      <c r="V560" s="16"/>
      <c r="W560" s="16">
        <f t="shared" ca="1" si="14"/>
        <v>367</v>
      </c>
      <c r="X560" s="16" t="str">
        <f ca="1"/>
        <v>712-39-0363</v>
      </c>
      <c r="Y560" s="20">
        <f ca="1"/>
        <v>262.45800000000003</v>
      </c>
      <c r="Z560" s="16">
        <f ca="1"/>
        <v>6</v>
      </c>
      <c r="AA560" s="16"/>
      <c r="AB560" s="16"/>
      <c r="AC560" s="16"/>
      <c r="AE560" s="16"/>
    </row>
    <row r="561" spans="19:31" x14ac:dyDescent="0.3">
      <c r="S561" s="15" t="s">
        <v>722</v>
      </c>
      <c r="T561" s="13">
        <v>148.995</v>
      </c>
      <c r="U561" s="16">
        <v>5</v>
      </c>
      <c r="V561" s="16"/>
      <c r="W561" s="16">
        <f t="shared" ca="1" si="14"/>
        <v>523</v>
      </c>
      <c r="X561" s="16" t="str">
        <f ca="1"/>
        <v>715-20-1673</v>
      </c>
      <c r="Y561" s="20">
        <f ca="1"/>
        <v>148.995</v>
      </c>
      <c r="Z561" s="16">
        <f ca="1"/>
        <v>5</v>
      </c>
      <c r="AA561" s="16"/>
      <c r="AB561" s="16"/>
      <c r="AC561" s="16"/>
      <c r="AE561" s="16"/>
    </row>
    <row r="562" spans="19:31" x14ac:dyDescent="0.3">
      <c r="S562" s="15" t="s">
        <v>136</v>
      </c>
      <c r="T562" s="13">
        <v>223.07249999999999</v>
      </c>
      <c r="U562" s="16">
        <v>7</v>
      </c>
      <c r="V562" s="16"/>
      <c r="W562" s="16">
        <f t="shared" ca="1" si="14"/>
        <v>407</v>
      </c>
      <c r="X562" s="16" t="str">
        <f ca="1"/>
        <v>716-39-1409</v>
      </c>
      <c r="Y562" s="20">
        <f ca="1"/>
        <v>223.07249999999999</v>
      </c>
      <c r="Z562" s="16">
        <f ca="1"/>
        <v>7</v>
      </c>
      <c r="AA562" s="16"/>
      <c r="AB562" s="16"/>
      <c r="AC562" s="16"/>
      <c r="AE562" s="16"/>
    </row>
    <row r="563" spans="19:31" x14ac:dyDescent="0.3">
      <c r="S563" s="15" t="s">
        <v>730</v>
      </c>
      <c r="T563" s="13">
        <v>223.58699999999999</v>
      </c>
      <c r="U563" s="16">
        <v>6</v>
      </c>
      <c r="V563" s="16"/>
      <c r="W563" s="16">
        <f t="shared" ca="1" si="14"/>
        <v>406</v>
      </c>
      <c r="X563" s="16" t="str">
        <f ca="1"/>
        <v>717-96-4189</v>
      </c>
      <c r="Y563" s="20">
        <f ca="1"/>
        <v>223.58699999999999</v>
      </c>
      <c r="Z563" s="16">
        <f ca="1"/>
        <v>6</v>
      </c>
      <c r="AA563" s="16"/>
      <c r="AB563" s="16"/>
      <c r="AC563" s="16"/>
      <c r="AE563" s="16"/>
    </row>
    <row r="564" spans="19:31" x14ac:dyDescent="0.3">
      <c r="S564" s="15" t="s">
        <v>599</v>
      </c>
      <c r="T564" s="13">
        <v>517.96500000000003</v>
      </c>
      <c r="U564" s="16">
        <v>10</v>
      </c>
      <c r="V564" s="16"/>
      <c r="W564" s="16">
        <f t="shared" ca="1" si="14"/>
        <v>158</v>
      </c>
      <c r="X564" s="16" t="str">
        <f ca="1"/>
        <v>718-57-9773</v>
      </c>
      <c r="Y564" s="20">
        <f ca="1"/>
        <v>517.96500000000003</v>
      </c>
      <c r="Z564" s="16">
        <f ca="1"/>
        <v>10</v>
      </c>
      <c r="AA564" s="16"/>
      <c r="AB564" s="16"/>
      <c r="AC564" s="16"/>
      <c r="AE564" s="16"/>
    </row>
    <row r="565" spans="19:31" x14ac:dyDescent="0.3">
      <c r="S565" s="15" t="s">
        <v>360</v>
      </c>
      <c r="T565" s="13">
        <v>395.892</v>
      </c>
      <c r="U565" s="16">
        <v>4</v>
      </c>
      <c r="V565" s="16"/>
      <c r="W565" s="16">
        <f t="shared" ca="1" si="14"/>
        <v>241</v>
      </c>
      <c r="X565" s="16" t="str">
        <f ca="1"/>
        <v>719-76-3868</v>
      </c>
      <c r="Y565" s="20">
        <f ca="1"/>
        <v>395.892</v>
      </c>
      <c r="Z565" s="16">
        <f ca="1"/>
        <v>4</v>
      </c>
      <c r="AA565" s="16"/>
      <c r="AB565" s="16"/>
      <c r="AC565" s="16"/>
      <c r="AE565" s="16"/>
    </row>
    <row r="566" spans="19:31" x14ac:dyDescent="0.3">
      <c r="S566" s="15" t="s">
        <v>558</v>
      </c>
      <c r="T566" s="13">
        <v>479.90249999999997</v>
      </c>
      <c r="U566" s="16">
        <v>5</v>
      </c>
      <c r="V566" s="16"/>
      <c r="W566" s="16">
        <f t="shared" ca="1" si="14"/>
        <v>183</v>
      </c>
      <c r="X566" s="16" t="str">
        <f ca="1"/>
        <v>719-89-8991</v>
      </c>
      <c r="Y566" s="20">
        <f ca="1"/>
        <v>479.90249999999997</v>
      </c>
      <c r="Z566" s="16">
        <f ca="1"/>
        <v>5</v>
      </c>
      <c r="AA566" s="16"/>
      <c r="AB566" s="16"/>
      <c r="AC566" s="16"/>
      <c r="AE566" s="16"/>
    </row>
    <row r="567" spans="19:31" x14ac:dyDescent="0.3">
      <c r="S567" s="15" t="s">
        <v>741</v>
      </c>
      <c r="T567" s="13">
        <v>279.38400000000001</v>
      </c>
      <c r="U567" s="16">
        <v>4</v>
      </c>
      <c r="V567" s="16"/>
      <c r="W567" s="16">
        <f t="shared" ca="1" si="14"/>
        <v>344</v>
      </c>
      <c r="X567" s="16" t="str">
        <f ca="1"/>
        <v>720-72-2436</v>
      </c>
      <c r="Y567" s="20">
        <f ca="1"/>
        <v>279.38400000000001</v>
      </c>
      <c r="Z567" s="16">
        <f ca="1"/>
        <v>4</v>
      </c>
      <c r="AA567" s="16"/>
      <c r="AB567" s="16"/>
      <c r="AC567" s="16"/>
      <c r="AE567" s="16"/>
    </row>
    <row r="568" spans="19:31" x14ac:dyDescent="0.3">
      <c r="S568" s="15" t="s">
        <v>262</v>
      </c>
      <c r="T568" s="13">
        <v>532.72799999999995</v>
      </c>
      <c r="U568" s="16">
        <v>8</v>
      </c>
      <c r="V568" s="16"/>
      <c r="W568" s="16">
        <f t="shared" ca="1" si="14"/>
        <v>148</v>
      </c>
      <c r="X568" s="16" t="str">
        <f ca="1"/>
        <v>721-86-6247</v>
      </c>
      <c r="Y568" s="20">
        <f ca="1"/>
        <v>532.72799999999995</v>
      </c>
      <c r="Z568" s="16">
        <f ca="1"/>
        <v>8</v>
      </c>
      <c r="AA568" s="16"/>
      <c r="AB568" s="16"/>
      <c r="AC568" s="16"/>
      <c r="AE568" s="16"/>
    </row>
    <row r="569" spans="19:31" x14ac:dyDescent="0.3">
      <c r="S569" s="15" t="s">
        <v>440</v>
      </c>
      <c r="T569" s="13">
        <v>288.58199999999999</v>
      </c>
      <c r="U569" s="16">
        <v>4</v>
      </c>
      <c r="V569" s="16"/>
      <c r="W569" s="16">
        <f t="shared" ca="1" si="14"/>
        <v>335</v>
      </c>
      <c r="X569" s="16" t="str">
        <f ca="1"/>
        <v>725-32-9708</v>
      </c>
      <c r="Y569" s="20">
        <f ca="1"/>
        <v>288.58199999999999</v>
      </c>
      <c r="Z569" s="16">
        <f ca="1"/>
        <v>4</v>
      </c>
      <c r="AA569" s="16"/>
      <c r="AB569" s="16"/>
      <c r="AC569" s="16"/>
      <c r="AE569" s="16"/>
    </row>
    <row r="570" spans="19:31" x14ac:dyDescent="0.3">
      <c r="S570" s="15" t="s">
        <v>725</v>
      </c>
      <c r="T570" s="13">
        <v>629.16</v>
      </c>
      <c r="U570" s="16">
        <v>7</v>
      </c>
      <c r="V570" s="16"/>
      <c r="W570" s="16">
        <f t="shared" ca="1" si="14"/>
        <v>101</v>
      </c>
      <c r="X570" s="16" t="str">
        <f ca="1"/>
        <v>725-54-0677</v>
      </c>
      <c r="Y570" s="20">
        <f ca="1"/>
        <v>629.16</v>
      </c>
      <c r="Z570" s="16">
        <f ca="1"/>
        <v>7</v>
      </c>
      <c r="AA570" s="16"/>
      <c r="AB570" s="16"/>
      <c r="AC570" s="16"/>
      <c r="AE570" s="16"/>
    </row>
    <row r="571" spans="19:31" x14ac:dyDescent="0.3">
      <c r="S571" s="15" t="s">
        <v>420</v>
      </c>
      <c r="T571" s="13">
        <v>339.36</v>
      </c>
      <c r="U571" s="16">
        <v>10</v>
      </c>
      <c r="V571" s="16"/>
      <c r="W571" s="16">
        <f t="shared" ca="1" si="14"/>
        <v>287</v>
      </c>
      <c r="X571" s="16" t="str">
        <f ca="1"/>
        <v>725-56-0833</v>
      </c>
      <c r="Y571" s="20">
        <f ca="1"/>
        <v>339.36</v>
      </c>
      <c r="Z571" s="16">
        <f ca="1"/>
        <v>10</v>
      </c>
      <c r="AA571" s="16"/>
      <c r="AB571" s="16"/>
      <c r="AC571" s="16"/>
      <c r="AE571" s="16"/>
    </row>
    <row r="572" spans="19:31" x14ac:dyDescent="0.3">
      <c r="S572" s="15" t="s">
        <v>380</v>
      </c>
      <c r="T572" s="13">
        <v>749.7</v>
      </c>
      <c r="U572" s="16">
        <v>8</v>
      </c>
      <c r="V572" s="16"/>
      <c r="W572" s="16">
        <f t="shared" ca="1" si="14"/>
        <v>61</v>
      </c>
      <c r="X572" s="16" t="str">
        <f ca="1"/>
        <v>725-96-3778</v>
      </c>
      <c r="Y572" s="20">
        <f ca="1"/>
        <v>749.7</v>
      </c>
      <c r="Z572" s="16">
        <f ca="1"/>
        <v>8</v>
      </c>
      <c r="AA572" s="16"/>
      <c r="AB572" s="16"/>
      <c r="AC572" s="16"/>
      <c r="AE572" s="16"/>
    </row>
    <row r="573" spans="19:31" x14ac:dyDescent="0.3">
      <c r="S573" s="15" t="s">
        <v>428</v>
      </c>
      <c r="T573" s="13">
        <v>406.875</v>
      </c>
      <c r="U573" s="16">
        <v>5</v>
      </c>
      <c r="V573" s="16"/>
      <c r="W573" s="16">
        <f t="shared" ca="1" si="14"/>
        <v>228</v>
      </c>
      <c r="X573" s="16" t="str">
        <f ca="1"/>
        <v>726-27-2396</v>
      </c>
      <c r="Y573" s="20">
        <f ca="1"/>
        <v>406.875</v>
      </c>
      <c r="Z573" s="16">
        <f ca="1"/>
        <v>5</v>
      </c>
      <c r="AA573" s="16"/>
      <c r="AB573" s="16"/>
      <c r="AC573" s="16"/>
      <c r="AE573" s="16"/>
    </row>
    <row r="574" spans="19:31" x14ac:dyDescent="0.3">
      <c r="S574" s="15" t="s">
        <v>538</v>
      </c>
      <c r="T574" s="13">
        <v>203.11199999999999</v>
      </c>
      <c r="U574" s="16">
        <v>8</v>
      </c>
      <c r="V574" s="16"/>
      <c r="W574" s="16">
        <f t="shared" ca="1" si="14"/>
        <v>441</v>
      </c>
      <c r="X574" s="16" t="str">
        <f ca="1"/>
        <v>726-29-6793</v>
      </c>
      <c r="Y574" s="20">
        <f ca="1"/>
        <v>203.11199999999999</v>
      </c>
      <c r="Z574" s="16">
        <f ca="1"/>
        <v>8</v>
      </c>
      <c r="AA574" s="16"/>
      <c r="AB574" s="16"/>
      <c r="AC574" s="16"/>
      <c r="AE574" s="16"/>
    </row>
    <row r="575" spans="19:31" x14ac:dyDescent="0.3">
      <c r="S575" s="15" t="s">
        <v>768</v>
      </c>
      <c r="T575" s="13">
        <v>33.432000000000002</v>
      </c>
      <c r="U575" s="16">
        <v>1</v>
      </c>
      <c r="V575" s="16"/>
      <c r="W575" s="16">
        <f t="shared" ca="1" si="14"/>
        <v>709</v>
      </c>
      <c r="X575" s="16" t="str">
        <f ca="1"/>
        <v>727-02-1313</v>
      </c>
      <c r="Y575" s="20">
        <f ca="1"/>
        <v>33.432000000000002</v>
      </c>
      <c r="Z575" s="16">
        <f ca="1"/>
        <v>1</v>
      </c>
      <c r="AA575" s="16"/>
      <c r="AB575" s="16"/>
      <c r="AC575" s="16"/>
      <c r="AE575" s="16"/>
    </row>
    <row r="576" spans="19:31" x14ac:dyDescent="0.3">
      <c r="S576" s="15" t="s">
        <v>485</v>
      </c>
      <c r="T576" s="13">
        <v>333.95249999999999</v>
      </c>
      <c r="U576" s="16">
        <v>5</v>
      </c>
      <c r="V576" s="16"/>
      <c r="W576" s="16">
        <f t="shared" ca="1" si="14"/>
        <v>294</v>
      </c>
      <c r="X576" s="16" t="str">
        <f ca="1"/>
        <v>727-17-0390</v>
      </c>
      <c r="Y576" s="20">
        <f ca="1"/>
        <v>333.95249999999999</v>
      </c>
      <c r="Z576" s="16">
        <f ca="1"/>
        <v>5</v>
      </c>
      <c r="AA576" s="16"/>
      <c r="AB576" s="16"/>
      <c r="AC576" s="16"/>
      <c r="AE576" s="16"/>
    </row>
    <row r="577" spans="19:31" x14ac:dyDescent="0.3">
      <c r="S577" s="15" t="s">
        <v>79</v>
      </c>
      <c r="T577" s="13">
        <v>189.09450000000001</v>
      </c>
      <c r="U577" s="16">
        <v>9</v>
      </c>
      <c r="V577" s="16"/>
      <c r="W577" s="16">
        <f t="shared" ca="1" si="14"/>
        <v>460</v>
      </c>
      <c r="X577" s="16" t="str">
        <f ca="1"/>
        <v>727-46-3608</v>
      </c>
      <c r="Y577" s="20">
        <f ca="1"/>
        <v>189.09450000000001</v>
      </c>
      <c r="Z577" s="16">
        <f ca="1"/>
        <v>9</v>
      </c>
      <c r="AA577" s="16"/>
      <c r="AB577" s="16"/>
      <c r="AC577" s="16"/>
      <c r="AE577" s="16"/>
    </row>
    <row r="578" spans="19:31" x14ac:dyDescent="0.3">
      <c r="S578" s="15" t="s">
        <v>329</v>
      </c>
      <c r="T578" s="13">
        <v>121.128</v>
      </c>
      <c r="U578" s="16">
        <v>4</v>
      </c>
      <c r="V578" s="16"/>
      <c r="W578" s="16">
        <f t="shared" ca="1" si="14"/>
        <v>568</v>
      </c>
      <c r="X578" s="16" t="str">
        <f ca="1"/>
        <v>727-75-6477</v>
      </c>
      <c r="Y578" s="20">
        <f ca="1"/>
        <v>121.128</v>
      </c>
      <c r="Z578" s="16">
        <f ca="1"/>
        <v>4</v>
      </c>
      <c r="AA578" s="16"/>
      <c r="AB578" s="16"/>
      <c r="AC578" s="16"/>
      <c r="AE578" s="16"/>
    </row>
    <row r="579" spans="19:31" x14ac:dyDescent="0.3">
      <c r="S579" s="15" t="s">
        <v>659</v>
      </c>
      <c r="T579" s="13">
        <v>760.44150000000002</v>
      </c>
      <c r="U579" s="16">
        <v>9</v>
      </c>
      <c r="V579" s="16"/>
      <c r="W579" s="16">
        <f t="shared" ref="W579:W642" ca="1" si="15">RANK(Y:Y,Y:Y)</f>
        <v>58</v>
      </c>
      <c r="X579" s="16" t="str">
        <f ca="1"/>
        <v>729-06-2010</v>
      </c>
      <c r="Y579" s="20">
        <f ca="1"/>
        <v>760.44150000000002</v>
      </c>
      <c r="Z579" s="16">
        <f ca="1"/>
        <v>9</v>
      </c>
      <c r="AA579" s="16"/>
      <c r="AB579" s="16"/>
      <c r="AC579" s="16"/>
      <c r="AE579" s="16"/>
    </row>
    <row r="580" spans="19:31" x14ac:dyDescent="0.3">
      <c r="S580" s="15" t="s">
        <v>290</v>
      </c>
      <c r="T580" s="13">
        <v>163.233</v>
      </c>
      <c r="U580" s="16">
        <v>6</v>
      </c>
      <c r="V580" s="16"/>
      <c r="W580" s="16">
        <f t="shared" ca="1" si="15"/>
        <v>500</v>
      </c>
      <c r="X580" s="16" t="str">
        <f ca="1"/>
        <v>729-09-9681</v>
      </c>
      <c r="Y580" s="20">
        <f ca="1"/>
        <v>163.233</v>
      </c>
      <c r="Z580" s="16">
        <f ca="1"/>
        <v>6</v>
      </c>
      <c r="AA580" s="16"/>
      <c r="AB580" s="16"/>
      <c r="AC580" s="16"/>
      <c r="AE580" s="16"/>
    </row>
    <row r="581" spans="19:31" x14ac:dyDescent="0.3">
      <c r="S581" s="15" t="s">
        <v>492</v>
      </c>
      <c r="T581" s="13">
        <v>37.6845</v>
      </c>
      <c r="U581" s="16">
        <v>1</v>
      </c>
      <c r="V581" s="16"/>
      <c r="W581" s="16">
        <f t="shared" ca="1" si="15"/>
        <v>704</v>
      </c>
      <c r="X581" s="16" t="str">
        <f ca="1"/>
        <v>729-46-7422</v>
      </c>
      <c r="Y581" s="20">
        <f ca="1"/>
        <v>37.6845</v>
      </c>
      <c r="Z581" s="16">
        <f ca="1"/>
        <v>1</v>
      </c>
      <c r="AA581" s="16"/>
      <c r="AB581" s="16"/>
      <c r="AC581" s="16"/>
      <c r="AE581" s="16"/>
    </row>
    <row r="582" spans="19:31" x14ac:dyDescent="0.3">
      <c r="S582" s="15" t="s">
        <v>117</v>
      </c>
      <c r="T582" s="13">
        <v>610.49099999999999</v>
      </c>
      <c r="U582" s="16">
        <v>7</v>
      </c>
      <c r="V582" s="16"/>
      <c r="W582" s="16">
        <f t="shared" ca="1" si="15"/>
        <v>111</v>
      </c>
      <c r="X582" s="16" t="str">
        <f ca="1"/>
        <v>730-50-9884</v>
      </c>
      <c r="Y582" s="20">
        <f ca="1"/>
        <v>610.49099999999999</v>
      </c>
      <c r="Z582" s="16">
        <f ca="1"/>
        <v>7</v>
      </c>
      <c r="AA582" s="16"/>
      <c r="AB582" s="16"/>
      <c r="AC582" s="16"/>
      <c r="AE582" s="16"/>
    </row>
    <row r="583" spans="19:31" x14ac:dyDescent="0.3">
      <c r="S583" s="15" t="s">
        <v>361</v>
      </c>
      <c r="T583" s="13">
        <v>214.74600000000001</v>
      </c>
      <c r="U583" s="16">
        <v>4</v>
      </c>
      <c r="V583" s="16"/>
      <c r="W583" s="16">
        <f t="shared" ca="1" si="15"/>
        <v>418</v>
      </c>
      <c r="X583" s="16" t="str">
        <f ca="1"/>
        <v>730-61-8757</v>
      </c>
      <c r="Y583" s="20">
        <f ca="1"/>
        <v>214.74600000000001</v>
      </c>
      <c r="Z583" s="16">
        <f ca="1"/>
        <v>4</v>
      </c>
      <c r="AA583" s="16"/>
      <c r="AB583" s="16"/>
      <c r="AC583" s="16"/>
      <c r="AE583" s="16"/>
    </row>
    <row r="584" spans="19:31" x14ac:dyDescent="0.3">
      <c r="S584" s="15" t="s">
        <v>405</v>
      </c>
      <c r="T584" s="13">
        <v>441.69299999999998</v>
      </c>
      <c r="U584" s="16">
        <v>6</v>
      </c>
      <c r="V584" s="16"/>
      <c r="W584" s="16">
        <f t="shared" ca="1" si="15"/>
        <v>208</v>
      </c>
      <c r="X584" s="16" t="str">
        <f ca="1"/>
        <v>730-70-9830</v>
      </c>
      <c r="Y584" s="20">
        <f ca="1"/>
        <v>441.69299999999998</v>
      </c>
      <c r="Z584" s="16">
        <f ca="1"/>
        <v>6</v>
      </c>
      <c r="AA584" s="16"/>
      <c r="AB584" s="16"/>
      <c r="AC584" s="16"/>
      <c r="AE584" s="16"/>
    </row>
    <row r="585" spans="19:31" x14ac:dyDescent="0.3">
      <c r="S585" s="15" t="s">
        <v>302</v>
      </c>
      <c r="T585" s="13">
        <v>373.17</v>
      </c>
      <c r="U585" s="16">
        <v>10</v>
      </c>
      <c r="V585" s="16"/>
      <c r="W585" s="16">
        <f t="shared" ca="1" si="15"/>
        <v>258</v>
      </c>
      <c r="X585" s="16" t="str">
        <f ca="1"/>
        <v>731-14-2199</v>
      </c>
      <c r="Y585" s="20">
        <f ca="1"/>
        <v>373.17</v>
      </c>
      <c r="Z585" s="16">
        <f ca="1"/>
        <v>10</v>
      </c>
      <c r="AA585" s="16"/>
      <c r="AB585" s="16"/>
      <c r="AC585" s="16"/>
      <c r="AE585" s="16"/>
    </row>
    <row r="586" spans="19:31" x14ac:dyDescent="0.3">
      <c r="S586" s="15" t="s">
        <v>506</v>
      </c>
      <c r="T586" s="13">
        <v>609.58799999999997</v>
      </c>
      <c r="U586" s="16">
        <v>8</v>
      </c>
      <c r="V586" s="16"/>
      <c r="W586" s="16">
        <f t="shared" ca="1" si="15"/>
        <v>112</v>
      </c>
      <c r="X586" s="16" t="str">
        <f ca="1"/>
        <v>731-59-7531</v>
      </c>
      <c r="Y586" s="20">
        <f ca="1"/>
        <v>609.58799999999997</v>
      </c>
      <c r="Z586" s="16">
        <f ca="1"/>
        <v>8</v>
      </c>
      <c r="AA586" s="16"/>
      <c r="AB586" s="16"/>
      <c r="AC586" s="16"/>
      <c r="AE586" s="16"/>
    </row>
    <row r="587" spans="19:31" x14ac:dyDescent="0.3">
      <c r="S587" s="15" t="s">
        <v>172</v>
      </c>
      <c r="T587" s="13">
        <v>942.9</v>
      </c>
      <c r="U587" s="16">
        <v>10</v>
      </c>
      <c r="V587" s="16"/>
      <c r="W587" s="16">
        <f t="shared" ca="1" si="15"/>
        <v>12</v>
      </c>
      <c r="X587" s="16" t="str">
        <f ca="1"/>
        <v>731-81-9469</v>
      </c>
      <c r="Y587" s="20">
        <f ca="1"/>
        <v>942.9</v>
      </c>
      <c r="Z587" s="16">
        <f ca="1"/>
        <v>10</v>
      </c>
      <c r="AA587" s="16"/>
      <c r="AB587" s="16"/>
      <c r="AC587" s="16"/>
      <c r="AE587" s="16"/>
    </row>
    <row r="588" spans="19:31" x14ac:dyDescent="0.3">
      <c r="S588" s="15" t="s">
        <v>220</v>
      </c>
      <c r="T588" s="13">
        <v>195.17400000000001</v>
      </c>
      <c r="U588" s="16">
        <v>4</v>
      </c>
      <c r="V588" s="16"/>
      <c r="W588" s="16">
        <f t="shared" ca="1" si="15"/>
        <v>451</v>
      </c>
      <c r="X588" s="16" t="str">
        <f ca="1"/>
        <v>732-04-5373</v>
      </c>
      <c r="Y588" s="20">
        <f ca="1"/>
        <v>195.17400000000001</v>
      </c>
      <c r="Z588" s="16">
        <f ca="1"/>
        <v>4</v>
      </c>
      <c r="AA588" s="16"/>
      <c r="AB588" s="16"/>
      <c r="AC588" s="16"/>
      <c r="AE588" s="16"/>
    </row>
    <row r="589" spans="19:31" x14ac:dyDescent="0.3">
      <c r="S589" s="15" t="s">
        <v>439</v>
      </c>
      <c r="T589" s="13">
        <v>72.397499999999994</v>
      </c>
      <c r="U589" s="16">
        <v>5</v>
      </c>
      <c r="V589" s="16"/>
      <c r="W589" s="16">
        <f t="shared" ca="1" si="15"/>
        <v>659</v>
      </c>
      <c r="X589" s="16" t="str">
        <f ca="1"/>
        <v>732-67-5346</v>
      </c>
      <c r="Y589" s="20">
        <f ca="1"/>
        <v>72.397499999999994</v>
      </c>
      <c r="Z589" s="16">
        <f ca="1"/>
        <v>5</v>
      </c>
      <c r="AA589" s="16"/>
      <c r="AB589" s="16"/>
      <c r="AC589" s="16"/>
      <c r="AE589" s="16"/>
    </row>
    <row r="590" spans="19:31" x14ac:dyDescent="0.3">
      <c r="S590" s="15" t="s">
        <v>107</v>
      </c>
      <c r="T590" s="13">
        <v>437.32499999999999</v>
      </c>
      <c r="U590" s="16">
        <v>10</v>
      </c>
      <c r="V590" s="16"/>
      <c r="W590" s="16">
        <f t="shared" ca="1" si="15"/>
        <v>210</v>
      </c>
      <c r="X590" s="16" t="str">
        <f ca="1"/>
        <v>732-94-0499</v>
      </c>
      <c r="Y590" s="20">
        <f ca="1"/>
        <v>437.32499999999999</v>
      </c>
      <c r="Z590" s="16">
        <f ca="1"/>
        <v>10</v>
      </c>
      <c r="AA590" s="16"/>
      <c r="AB590" s="16"/>
      <c r="AC590" s="16"/>
      <c r="AE590" s="16"/>
    </row>
    <row r="591" spans="19:31" x14ac:dyDescent="0.3">
      <c r="S591" s="15" t="s">
        <v>131</v>
      </c>
      <c r="T591" s="13">
        <v>521.01</v>
      </c>
      <c r="U591" s="16">
        <v>6</v>
      </c>
      <c r="V591" s="16"/>
      <c r="W591" s="16">
        <f t="shared" ca="1" si="15"/>
        <v>155</v>
      </c>
      <c r="X591" s="16" t="str">
        <f ca="1"/>
        <v>733-01-9107</v>
      </c>
      <c r="Y591" s="20">
        <f ca="1"/>
        <v>521.01</v>
      </c>
      <c r="Z591" s="16">
        <f ca="1"/>
        <v>6</v>
      </c>
      <c r="AA591" s="16"/>
      <c r="AB591" s="16"/>
      <c r="AC591" s="16"/>
      <c r="AE591" s="16"/>
    </row>
    <row r="592" spans="19:31" x14ac:dyDescent="0.3">
      <c r="S592" s="15" t="s">
        <v>205</v>
      </c>
      <c r="T592" s="13">
        <v>175.14</v>
      </c>
      <c r="U592" s="16">
        <v>8</v>
      </c>
      <c r="V592" s="16"/>
      <c r="W592" s="16">
        <f t="shared" ca="1" si="15"/>
        <v>478</v>
      </c>
      <c r="X592" s="16" t="str">
        <f ca="1"/>
        <v>733-33-4967</v>
      </c>
      <c r="Y592" s="20">
        <f ca="1"/>
        <v>175.14</v>
      </c>
      <c r="Z592" s="16">
        <f ca="1"/>
        <v>8</v>
      </c>
      <c r="AA592" s="16"/>
      <c r="AB592" s="16"/>
      <c r="AC592" s="16"/>
      <c r="AE592" s="16"/>
    </row>
    <row r="593" spans="19:31" x14ac:dyDescent="0.3">
      <c r="S593" s="15" t="s">
        <v>553</v>
      </c>
      <c r="T593" s="13">
        <v>143.98650000000001</v>
      </c>
      <c r="U593" s="16">
        <v>3</v>
      </c>
      <c r="V593" s="16"/>
      <c r="W593" s="16">
        <f t="shared" ca="1" si="15"/>
        <v>536</v>
      </c>
      <c r="X593" s="16" t="str">
        <f ca="1"/>
        <v>734-91-1155</v>
      </c>
      <c r="Y593" s="20">
        <f ca="1"/>
        <v>143.98650000000001</v>
      </c>
      <c r="Z593" s="16">
        <f ca="1"/>
        <v>3</v>
      </c>
      <c r="AA593" s="16"/>
      <c r="AB593" s="16"/>
      <c r="AC593" s="16"/>
      <c r="AE593" s="16"/>
    </row>
    <row r="594" spans="19:31" x14ac:dyDescent="0.3">
      <c r="S594" s="15" t="s">
        <v>335</v>
      </c>
      <c r="T594" s="13">
        <v>51.040500000000002</v>
      </c>
      <c r="U594" s="16">
        <v>1</v>
      </c>
      <c r="V594" s="16"/>
      <c r="W594" s="16">
        <f t="shared" ca="1" si="15"/>
        <v>687</v>
      </c>
      <c r="X594" s="16" t="str">
        <f ca="1"/>
        <v>735-06-4124</v>
      </c>
      <c r="Y594" s="20">
        <f ca="1"/>
        <v>51.040500000000002</v>
      </c>
      <c r="Z594" s="16">
        <f ca="1"/>
        <v>1</v>
      </c>
      <c r="AA594" s="16"/>
      <c r="AB594" s="16"/>
      <c r="AC594" s="16"/>
      <c r="AE594" s="16"/>
    </row>
    <row r="595" spans="19:31" x14ac:dyDescent="0.3">
      <c r="S595" s="15" t="s">
        <v>454</v>
      </c>
      <c r="T595" s="13">
        <v>264.75749999999999</v>
      </c>
      <c r="U595" s="16">
        <v>3</v>
      </c>
      <c r="V595" s="16"/>
      <c r="W595" s="16">
        <f t="shared" ca="1" si="15"/>
        <v>364</v>
      </c>
      <c r="X595" s="16" t="str">
        <f ca="1"/>
        <v>740-22-2500</v>
      </c>
      <c r="Y595" s="20">
        <f ca="1"/>
        <v>264.75749999999999</v>
      </c>
      <c r="Z595" s="16">
        <f ca="1"/>
        <v>3</v>
      </c>
      <c r="AA595" s="16"/>
      <c r="AB595" s="16"/>
      <c r="AC595" s="16"/>
      <c r="AE595" s="16"/>
    </row>
    <row r="596" spans="19:31" x14ac:dyDescent="0.3">
      <c r="S596" s="15" t="s">
        <v>461</v>
      </c>
      <c r="T596" s="13">
        <v>353.16750000000002</v>
      </c>
      <c r="U596" s="16">
        <v>5</v>
      </c>
      <c r="V596" s="16"/>
      <c r="W596" s="16">
        <f t="shared" ca="1" si="15"/>
        <v>272</v>
      </c>
      <c r="X596" s="16" t="str">
        <f ca="1"/>
        <v>741-73-3559</v>
      </c>
      <c r="Y596" s="20">
        <f ca="1"/>
        <v>353.16750000000002</v>
      </c>
      <c r="Z596" s="16">
        <f ca="1"/>
        <v>5</v>
      </c>
      <c r="AA596" s="16"/>
      <c r="AB596" s="16"/>
      <c r="AC596" s="16"/>
      <c r="AE596" s="16"/>
    </row>
    <row r="597" spans="19:31" x14ac:dyDescent="0.3">
      <c r="S597" s="15" t="s">
        <v>639</v>
      </c>
      <c r="T597" s="13">
        <v>764.19</v>
      </c>
      <c r="U597" s="16">
        <v>10</v>
      </c>
      <c r="V597" s="16"/>
      <c r="W597" s="16">
        <f t="shared" ca="1" si="15"/>
        <v>56</v>
      </c>
      <c r="X597" s="16" t="str">
        <f ca="1"/>
        <v>742-04-5161</v>
      </c>
      <c r="Y597" s="20">
        <f ca="1"/>
        <v>764.19</v>
      </c>
      <c r="Z597" s="16">
        <f ca="1"/>
        <v>10</v>
      </c>
      <c r="AA597" s="16"/>
      <c r="AB597" s="16"/>
      <c r="AC597" s="16"/>
      <c r="AE597" s="16"/>
    </row>
    <row r="598" spans="19:31" x14ac:dyDescent="0.3">
      <c r="S598" s="15" t="s">
        <v>191</v>
      </c>
      <c r="T598" s="13">
        <v>918.72900000000004</v>
      </c>
      <c r="U598" s="16">
        <v>9</v>
      </c>
      <c r="V598" s="16"/>
      <c r="W598" s="16">
        <f t="shared" ca="1" si="15"/>
        <v>21</v>
      </c>
      <c r="X598" s="16" t="str">
        <f ca="1"/>
        <v>743-04-1105</v>
      </c>
      <c r="Y598" s="20">
        <f ca="1"/>
        <v>918.72900000000004</v>
      </c>
      <c r="Z598" s="16">
        <f ca="1"/>
        <v>9</v>
      </c>
      <c r="AA598" s="16"/>
      <c r="AB598" s="16"/>
      <c r="AC598" s="16"/>
      <c r="AE598" s="16"/>
    </row>
    <row r="599" spans="19:31" x14ac:dyDescent="0.3">
      <c r="S599" s="15" t="s">
        <v>410</v>
      </c>
      <c r="T599" s="13">
        <v>701.85149999999999</v>
      </c>
      <c r="U599" s="16">
        <v>7</v>
      </c>
      <c r="V599" s="16"/>
      <c r="W599" s="16">
        <f t="shared" ca="1" si="15"/>
        <v>85</v>
      </c>
      <c r="X599" s="16" t="str">
        <f ca="1"/>
        <v>743-88-1662</v>
      </c>
      <c r="Y599" s="20">
        <f ca="1"/>
        <v>701.85149999999999</v>
      </c>
      <c r="Z599" s="16">
        <f ca="1"/>
        <v>7</v>
      </c>
      <c r="AA599" s="16"/>
      <c r="AB599" s="16"/>
      <c r="AC599" s="16"/>
      <c r="AE599" s="16"/>
    </row>
    <row r="600" spans="19:31" x14ac:dyDescent="0.3">
      <c r="S600" s="15" t="s">
        <v>330</v>
      </c>
      <c r="T600" s="13">
        <v>493.79399999999998</v>
      </c>
      <c r="U600" s="16">
        <v>6</v>
      </c>
      <c r="V600" s="16"/>
      <c r="W600" s="16">
        <f t="shared" ca="1" si="15"/>
        <v>172</v>
      </c>
      <c r="X600" s="16" t="str">
        <f ca="1"/>
        <v>744-02-5987</v>
      </c>
      <c r="Y600" s="20">
        <f ca="1"/>
        <v>493.79399999999998</v>
      </c>
      <c r="Z600" s="16">
        <f ca="1"/>
        <v>6</v>
      </c>
      <c r="AA600" s="16"/>
      <c r="AB600" s="16"/>
      <c r="AC600" s="16"/>
      <c r="AE600" s="16"/>
    </row>
    <row r="601" spans="19:31" x14ac:dyDescent="0.3">
      <c r="S601" s="15" t="s">
        <v>484</v>
      </c>
      <c r="T601" s="13">
        <v>138.66300000000001</v>
      </c>
      <c r="U601" s="16">
        <v>6</v>
      </c>
      <c r="V601" s="16"/>
      <c r="W601" s="16">
        <f t="shared" ca="1" si="15"/>
        <v>543</v>
      </c>
      <c r="X601" s="16" t="str">
        <f ca="1"/>
        <v>744-09-5786</v>
      </c>
      <c r="Y601" s="20">
        <f ca="1"/>
        <v>138.66300000000001</v>
      </c>
      <c r="Z601" s="16">
        <f ca="1"/>
        <v>6</v>
      </c>
      <c r="AA601" s="16"/>
      <c r="AB601" s="16"/>
      <c r="AC601" s="16"/>
      <c r="AE601" s="16"/>
    </row>
    <row r="602" spans="19:31" x14ac:dyDescent="0.3">
      <c r="S602" s="15" t="s">
        <v>758</v>
      </c>
      <c r="T602" s="13">
        <v>180.87299999999999</v>
      </c>
      <c r="U602" s="16">
        <v>2</v>
      </c>
      <c r="V602" s="16"/>
      <c r="W602" s="16">
        <f t="shared" ca="1" si="15"/>
        <v>474</v>
      </c>
      <c r="X602" s="16" t="str">
        <f ca="1"/>
        <v>744-82-9138</v>
      </c>
      <c r="Y602" s="20">
        <f ca="1"/>
        <v>180.87299999999999</v>
      </c>
      <c r="Z602" s="16">
        <f ca="1"/>
        <v>2</v>
      </c>
      <c r="AA602" s="16"/>
      <c r="AB602" s="16"/>
      <c r="AC602" s="16"/>
      <c r="AE602" s="16"/>
    </row>
    <row r="603" spans="19:31" x14ac:dyDescent="0.3">
      <c r="S603" s="15" t="s">
        <v>452</v>
      </c>
      <c r="T603" s="13">
        <v>185.36699999999999</v>
      </c>
      <c r="U603" s="16">
        <v>7</v>
      </c>
      <c r="V603" s="16"/>
      <c r="W603" s="16">
        <f t="shared" ca="1" si="15"/>
        <v>466</v>
      </c>
      <c r="X603" s="16" t="str">
        <f ca="1"/>
        <v>745-71-3520</v>
      </c>
      <c r="Y603" s="20">
        <f ca="1"/>
        <v>185.36699999999999</v>
      </c>
      <c r="Z603" s="16">
        <f ca="1"/>
        <v>7</v>
      </c>
      <c r="AA603" s="16"/>
      <c r="AB603" s="16"/>
      <c r="AC603" s="16"/>
      <c r="AE603" s="16"/>
    </row>
    <row r="604" spans="19:31" x14ac:dyDescent="0.3">
      <c r="S604" s="15" t="s">
        <v>766</v>
      </c>
      <c r="T604" s="13">
        <v>121.863</v>
      </c>
      <c r="U604" s="16">
        <v>2</v>
      </c>
      <c r="V604" s="16"/>
      <c r="W604" s="16">
        <f t="shared" ca="1" si="15"/>
        <v>566</v>
      </c>
      <c r="X604" s="16" t="str">
        <f ca="1"/>
        <v>745-74-0715</v>
      </c>
      <c r="Y604" s="20">
        <f ca="1"/>
        <v>121.863</v>
      </c>
      <c r="Z604" s="16">
        <f ca="1"/>
        <v>2</v>
      </c>
      <c r="AA604" s="16"/>
      <c r="AB604" s="16"/>
      <c r="AC604" s="16"/>
      <c r="AE604" s="16"/>
    </row>
    <row r="605" spans="19:31" x14ac:dyDescent="0.3">
      <c r="S605" s="15" t="s">
        <v>755</v>
      </c>
      <c r="T605" s="13">
        <v>888.61500000000001</v>
      </c>
      <c r="U605" s="16">
        <v>10</v>
      </c>
      <c r="V605" s="16"/>
      <c r="W605" s="16">
        <f t="shared" ca="1" si="15"/>
        <v>23</v>
      </c>
      <c r="X605" s="16" t="str">
        <f ca="1"/>
        <v>746-04-1077</v>
      </c>
      <c r="Y605" s="20">
        <f ca="1"/>
        <v>888.61500000000001</v>
      </c>
      <c r="Z605" s="16">
        <f ca="1"/>
        <v>10</v>
      </c>
      <c r="AA605" s="16"/>
      <c r="AB605" s="16"/>
      <c r="AC605" s="16"/>
      <c r="AE605" s="16"/>
    </row>
    <row r="606" spans="19:31" x14ac:dyDescent="0.3">
      <c r="S606" s="15" t="s">
        <v>501</v>
      </c>
      <c r="T606" s="13">
        <v>22.658999999999999</v>
      </c>
      <c r="U606" s="16">
        <v>1</v>
      </c>
      <c r="V606" s="16"/>
      <c r="W606" s="16">
        <f t="shared" ca="1" si="15"/>
        <v>725</v>
      </c>
      <c r="X606" s="16" t="str">
        <f ca="1"/>
        <v>746-19-0921</v>
      </c>
      <c r="Y606" s="20">
        <f ca="1"/>
        <v>22.658999999999999</v>
      </c>
      <c r="Z606" s="16">
        <f ca="1"/>
        <v>1</v>
      </c>
      <c r="AA606" s="16"/>
      <c r="AB606" s="16"/>
      <c r="AC606" s="16"/>
      <c r="AE606" s="16"/>
    </row>
    <row r="607" spans="19:31" x14ac:dyDescent="0.3">
      <c r="S607" s="15" t="s">
        <v>357</v>
      </c>
      <c r="T607" s="13">
        <v>135.57599999999999</v>
      </c>
      <c r="U607" s="16">
        <v>6</v>
      </c>
      <c r="V607" s="16"/>
      <c r="W607" s="16">
        <f t="shared" ca="1" si="15"/>
        <v>547</v>
      </c>
      <c r="X607" s="16" t="str">
        <f ca="1"/>
        <v>746-54-5508</v>
      </c>
      <c r="Y607" s="20">
        <f ca="1"/>
        <v>135.57599999999999</v>
      </c>
      <c r="Z607" s="16">
        <f ca="1"/>
        <v>6</v>
      </c>
      <c r="AA607" s="16"/>
      <c r="AB607" s="16"/>
      <c r="AC607" s="16"/>
      <c r="AE607" s="16"/>
    </row>
    <row r="608" spans="19:31" x14ac:dyDescent="0.3">
      <c r="S608" s="15" t="s">
        <v>258</v>
      </c>
      <c r="T608" s="13">
        <v>183.036</v>
      </c>
      <c r="U608" s="16">
        <v>2</v>
      </c>
      <c r="V608" s="16"/>
      <c r="W608" s="16">
        <f t="shared" ca="1" si="15"/>
        <v>470</v>
      </c>
      <c r="X608" s="16" t="str">
        <f ca="1"/>
        <v>746-68-6593</v>
      </c>
      <c r="Y608" s="20">
        <f ca="1"/>
        <v>183.036</v>
      </c>
      <c r="Z608" s="16">
        <f ca="1"/>
        <v>2</v>
      </c>
      <c r="AA608" s="16"/>
      <c r="AB608" s="16"/>
      <c r="AC608" s="16"/>
      <c r="AE608" s="16"/>
    </row>
    <row r="609" spans="19:31" x14ac:dyDescent="0.3">
      <c r="S609" s="15" t="s">
        <v>185</v>
      </c>
      <c r="T609" s="13">
        <v>786.61800000000005</v>
      </c>
      <c r="U609" s="16">
        <v>9</v>
      </c>
      <c r="V609" s="16"/>
      <c r="W609" s="16">
        <f t="shared" ca="1" si="15"/>
        <v>49</v>
      </c>
      <c r="X609" s="16" t="str">
        <f ca="1"/>
        <v>746-94-0204</v>
      </c>
      <c r="Y609" s="20">
        <f ca="1"/>
        <v>786.61800000000005</v>
      </c>
      <c r="Z609" s="16">
        <f ca="1"/>
        <v>9</v>
      </c>
      <c r="AA609" s="16"/>
      <c r="AB609" s="16"/>
      <c r="AC609" s="16"/>
      <c r="AE609" s="16"/>
    </row>
    <row r="610" spans="19:31" x14ac:dyDescent="0.3">
      <c r="S610" s="15" t="s">
        <v>583</v>
      </c>
      <c r="T610" s="13">
        <v>180.40049999999999</v>
      </c>
      <c r="U610" s="16">
        <v>3</v>
      </c>
      <c r="V610" s="16"/>
      <c r="W610" s="16">
        <f t="shared" ca="1" si="15"/>
        <v>476</v>
      </c>
      <c r="X610" s="16" t="str">
        <f ca="1"/>
        <v>747-58-7183</v>
      </c>
      <c r="Y610" s="20">
        <f ca="1"/>
        <v>180.40049999999999</v>
      </c>
      <c r="Z610" s="16">
        <f ca="1"/>
        <v>3</v>
      </c>
      <c r="AA610" s="16"/>
      <c r="AB610" s="16"/>
      <c r="AC610" s="16"/>
      <c r="AE610" s="16"/>
    </row>
    <row r="611" spans="19:31" x14ac:dyDescent="0.3">
      <c r="S611" s="15" t="s">
        <v>711</v>
      </c>
      <c r="T611" s="13">
        <v>118.902</v>
      </c>
      <c r="U611" s="16">
        <v>4</v>
      </c>
      <c r="V611" s="16"/>
      <c r="W611" s="16">
        <f t="shared" ca="1" si="15"/>
        <v>572</v>
      </c>
      <c r="X611" s="16" t="str">
        <f ca="1"/>
        <v>748-45-2862</v>
      </c>
      <c r="Y611" s="20">
        <f ca="1"/>
        <v>118.902</v>
      </c>
      <c r="Z611" s="16">
        <f ca="1"/>
        <v>4</v>
      </c>
      <c r="AA611" s="16"/>
      <c r="AB611" s="16"/>
      <c r="AC611" s="16"/>
      <c r="AE611" s="16"/>
    </row>
    <row r="612" spans="19:31" x14ac:dyDescent="0.3">
      <c r="S612" s="15" t="s">
        <v>238</v>
      </c>
      <c r="T612" s="13">
        <v>217.6335</v>
      </c>
      <c r="U612" s="16">
        <v>9</v>
      </c>
      <c r="V612" s="16"/>
      <c r="W612" s="16">
        <f t="shared" ca="1" si="15"/>
        <v>410</v>
      </c>
      <c r="X612" s="16" t="str">
        <f ca="1"/>
        <v>749-24-1565</v>
      </c>
      <c r="Y612" s="20">
        <f ca="1"/>
        <v>217.6335</v>
      </c>
      <c r="Z612" s="16">
        <f ca="1"/>
        <v>9</v>
      </c>
      <c r="AA612" s="16"/>
      <c r="AB612" s="16"/>
      <c r="AC612" s="16"/>
      <c r="AE612" s="16"/>
    </row>
    <row r="613" spans="19:31" x14ac:dyDescent="0.3">
      <c r="S613" s="15" t="s">
        <v>731</v>
      </c>
      <c r="T613" s="13">
        <v>397.61399999999998</v>
      </c>
      <c r="U613" s="16">
        <v>4</v>
      </c>
      <c r="V613" s="16"/>
      <c r="W613" s="16">
        <f t="shared" ca="1" si="15"/>
        <v>240</v>
      </c>
      <c r="X613" s="16" t="str">
        <f ca="1"/>
        <v>749-81-8133</v>
      </c>
      <c r="Y613" s="20">
        <f ca="1"/>
        <v>397.61399999999998</v>
      </c>
      <c r="Z613" s="16">
        <f ca="1"/>
        <v>4</v>
      </c>
      <c r="AA613" s="16"/>
      <c r="AB613" s="16"/>
      <c r="AC613" s="16"/>
      <c r="AE613" s="16"/>
    </row>
    <row r="614" spans="19:31" x14ac:dyDescent="0.3">
      <c r="S614" s="15" t="s">
        <v>449</v>
      </c>
      <c r="T614" s="13">
        <v>190.596</v>
      </c>
      <c r="U614" s="16">
        <v>4</v>
      </c>
      <c r="V614" s="16"/>
      <c r="W614" s="16">
        <f t="shared" ca="1" si="15"/>
        <v>458</v>
      </c>
      <c r="X614" s="16" t="str">
        <f ca="1"/>
        <v>750-57-9686</v>
      </c>
      <c r="Y614" s="20">
        <f ca="1"/>
        <v>190.596</v>
      </c>
      <c r="Z614" s="16">
        <f ca="1"/>
        <v>4</v>
      </c>
      <c r="AA614" s="16"/>
      <c r="AB614" s="16"/>
      <c r="AC614" s="16"/>
      <c r="AE614" s="16"/>
    </row>
    <row r="615" spans="19:31" x14ac:dyDescent="0.3">
      <c r="S615" s="15" t="s">
        <v>14</v>
      </c>
      <c r="T615" s="13">
        <v>548.97149999999999</v>
      </c>
      <c r="U615" s="16">
        <v>7</v>
      </c>
      <c r="V615" s="16"/>
      <c r="W615" s="16">
        <f t="shared" ca="1" si="15"/>
        <v>136</v>
      </c>
      <c r="X615" s="16" t="str">
        <f ca="1"/>
        <v>750-67-8428</v>
      </c>
      <c r="Y615" s="20">
        <f ca="1"/>
        <v>548.97149999999999</v>
      </c>
      <c r="Z615" s="16">
        <f ca="1"/>
        <v>7</v>
      </c>
      <c r="AA615" s="16"/>
      <c r="AB615" s="16"/>
      <c r="AC615" s="16"/>
      <c r="AE615" s="16"/>
    </row>
    <row r="616" spans="19:31" x14ac:dyDescent="0.3">
      <c r="S616" s="15" t="s">
        <v>694</v>
      </c>
      <c r="T616" s="13">
        <v>144.96299999999999</v>
      </c>
      <c r="U616" s="16">
        <v>6</v>
      </c>
      <c r="V616" s="16"/>
      <c r="W616" s="16">
        <f t="shared" ca="1" si="15"/>
        <v>534</v>
      </c>
      <c r="X616" s="16" t="str">
        <f ca="1"/>
        <v>751-15-6198</v>
      </c>
      <c r="Y616" s="20">
        <f ca="1"/>
        <v>144.96299999999999</v>
      </c>
      <c r="Z616" s="16">
        <f ca="1"/>
        <v>6</v>
      </c>
      <c r="AA616" s="16"/>
      <c r="AB616" s="16"/>
      <c r="AC616" s="16"/>
      <c r="AE616" s="16"/>
    </row>
    <row r="617" spans="19:31" x14ac:dyDescent="0.3">
      <c r="S617" s="15" t="s">
        <v>657</v>
      </c>
      <c r="T617" s="13">
        <v>1023.75</v>
      </c>
      <c r="U617" s="16">
        <v>10</v>
      </c>
      <c r="V617" s="16"/>
      <c r="W617" s="16">
        <f t="shared" ca="1" si="15"/>
        <v>4</v>
      </c>
      <c r="X617" s="16" t="str">
        <f ca="1"/>
        <v>751-41-9720</v>
      </c>
      <c r="Y617" s="20">
        <f ca="1"/>
        <v>1023.75</v>
      </c>
      <c r="Z617" s="16">
        <f ca="1"/>
        <v>10</v>
      </c>
      <c r="AA617" s="16"/>
      <c r="AB617" s="16"/>
      <c r="AC617" s="16"/>
      <c r="AE617" s="16"/>
    </row>
    <row r="618" spans="19:31" x14ac:dyDescent="0.3">
      <c r="S618" s="15" t="s">
        <v>468</v>
      </c>
      <c r="T618" s="13">
        <v>937.81799999999998</v>
      </c>
      <c r="U618" s="16">
        <v>9</v>
      </c>
      <c r="V618" s="16"/>
      <c r="W618" s="16">
        <f t="shared" ca="1" si="15"/>
        <v>15</v>
      </c>
      <c r="X618" s="16" t="str">
        <f ca="1"/>
        <v>751-69-0068</v>
      </c>
      <c r="Y618" s="20">
        <f ca="1"/>
        <v>937.81799999999998</v>
      </c>
      <c r="Z618" s="16">
        <f ca="1"/>
        <v>9</v>
      </c>
      <c r="AA618" s="16"/>
      <c r="AB618" s="16"/>
      <c r="AC618" s="16"/>
      <c r="AE618" s="16"/>
    </row>
    <row r="619" spans="19:31" x14ac:dyDescent="0.3">
      <c r="S619" s="15" t="s">
        <v>270</v>
      </c>
      <c r="T619" s="13">
        <v>232.155</v>
      </c>
      <c r="U619" s="16">
        <v>5</v>
      </c>
      <c r="V619" s="16"/>
      <c r="W619" s="16">
        <f t="shared" ca="1" si="15"/>
        <v>399</v>
      </c>
      <c r="X619" s="16" t="str">
        <f ca="1"/>
        <v>755-12-3214</v>
      </c>
      <c r="Y619" s="20">
        <f ca="1"/>
        <v>232.155</v>
      </c>
      <c r="Z619" s="16">
        <f ca="1"/>
        <v>5</v>
      </c>
      <c r="AA619" s="16"/>
      <c r="AB619" s="16"/>
      <c r="AC619" s="16"/>
      <c r="AE619" s="16"/>
    </row>
    <row r="620" spans="19:31" x14ac:dyDescent="0.3">
      <c r="S620" s="15" t="s">
        <v>111</v>
      </c>
      <c r="T620" s="13">
        <v>106.995</v>
      </c>
      <c r="U620" s="16">
        <v>5</v>
      </c>
      <c r="V620" s="16"/>
      <c r="W620" s="16">
        <f t="shared" ca="1" si="15"/>
        <v>583</v>
      </c>
      <c r="X620" s="16" t="str">
        <f ca="1"/>
        <v>756-01-7507</v>
      </c>
      <c r="Y620" s="20">
        <f ca="1"/>
        <v>106.995</v>
      </c>
      <c r="Z620" s="16">
        <f ca="1"/>
        <v>5</v>
      </c>
      <c r="AA620" s="16"/>
      <c r="AB620" s="16"/>
      <c r="AC620" s="16"/>
      <c r="AE620" s="16"/>
    </row>
    <row r="621" spans="19:31" x14ac:dyDescent="0.3">
      <c r="S621" s="15" t="s">
        <v>671</v>
      </c>
      <c r="T621" s="13">
        <v>20.684999999999999</v>
      </c>
      <c r="U621" s="16">
        <v>1</v>
      </c>
      <c r="V621" s="16"/>
      <c r="W621" s="16">
        <f t="shared" ca="1" si="15"/>
        <v>726</v>
      </c>
      <c r="X621" s="16" t="str">
        <f ca="1"/>
        <v>756-49-0168</v>
      </c>
      <c r="Y621" s="20">
        <f ca="1"/>
        <v>20.684999999999999</v>
      </c>
      <c r="Z621" s="16">
        <f ca="1"/>
        <v>1</v>
      </c>
      <c r="AA621" s="16"/>
      <c r="AB621" s="16"/>
      <c r="AC621" s="16"/>
      <c r="AE621" s="16"/>
    </row>
    <row r="622" spans="19:31" x14ac:dyDescent="0.3">
      <c r="S622" s="15" t="s">
        <v>738</v>
      </c>
      <c r="T622" s="13">
        <v>175.035</v>
      </c>
      <c r="U622" s="16">
        <v>2</v>
      </c>
      <c r="V622" s="16"/>
      <c r="W622" s="16">
        <f t="shared" ca="1" si="15"/>
        <v>480</v>
      </c>
      <c r="X622" s="16" t="str">
        <f ca="1"/>
        <v>756-93-1854</v>
      </c>
      <c r="Y622" s="20">
        <f ca="1"/>
        <v>175.035</v>
      </c>
      <c r="Z622" s="16">
        <f ca="1"/>
        <v>2</v>
      </c>
      <c r="AA622" s="16"/>
      <c r="AB622" s="16"/>
      <c r="AC622" s="16"/>
      <c r="AE622" s="16"/>
    </row>
    <row r="623" spans="19:31" x14ac:dyDescent="0.3">
      <c r="S623" s="15" t="s">
        <v>696</v>
      </c>
      <c r="T623" s="13">
        <v>462.67200000000003</v>
      </c>
      <c r="U623" s="16">
        <v>9</v>
      </c>
      <c r="V623" s="16"/>
      <c r="W623" s="16">
        <f t="shared" ca="1" si="15"/>
        <v>195</v>
      </c>
      <c r="X623" s="16" t="str">
        <f ca="1"/>
        <v>759-29-9521</v>
      </c>
      <c r="Y623" s="20">
        <f ca="1"/>
        <v>462.67200000000003</v>
      </c>
      <c r="Z623" s="16">
        <f ca="1"/>
        <v>9</v>
      </c>
      <c r="AA623" s="16"/>
      <c r="AB623" s="16"/>
      <c r="AC623" s="16"/>
      <c r="AE623" s="16"/>
    </row>
    <row r="624" spans="19:31" x14ac:dyDescent="0.3">
      <c r="S624" s="15" t="s">
        <v>430</v>
      </c>
      <c r="T624" s="13">
        <v>128.4255</v>
      </c>
      <c r="U624" s="16">
        <v>9</v>
      </c>
      <c r="V624" s="16"/>
      <c r="W624" s="16">
        <f t="shared" ca="1" si="15"/>
        <v>557</v>
      </c>
      <c r="X624" s="16" t="str">
        <f ca="1"/>
        <v>760-54-1821</v>
      </c>
      <c r="Y624" s="20">
        <f ca="1"/>
        <v>128.4255</v>
      </c>
      <c r="Z624" s="16">
        <f ca="1"/>
        <v>9</v>
      </c>
      <c r="AA624" s="16"/>
      <c r="AB624" s="16"/>
      <c r="AC624" s="16"/>
      <c r="AE624" s="16"/>
    </row>
    <row r="625" spans="19:31" x14ac:dyDescent="0.3">
      <c r="S625" s="15" t="s">
        <v>596</v>
      </c>
      <c r="T625" s="13">
        <v>469.41300000000001</v>
      </c>
      <c r="U625" s="16">
        <v>6</v>
      </c>
      <c r="V625" s="16"/>
      <c r="W625" s="16">
        <f t="shared" ca="1" si="15"/>
        <v>191</v>
      </c>
      <c r="X625" s="16" t="str">
        <f ca="1"/>
        <v>760-90-2357</v>
      </c>
      <c r="Y625" s="20">
        <f ca="1"/>
        <v>469.41300000000001</v>
      </c>
      <c r="Z625" s="16">
        <f ca="1"/>
        <v>6</v>
      </c>
      <c r="AA625" s="16"/>
      <c r="AB625" s="16"/>
      <c r="AC625" s="16"/>
      <c r="AE625" s="16"/>
    </row>
    <row r="626" spans="19:31" x14ac:dyDescent="0.3">
      <c r="S626" s="15" t="s">
        <v>49</v>
      </c>
      <c r="T626" s="13">
        <v>457.44299999999998</v>
      </c>
      <c r="U626" s="16">
        <v>6</v>
      </c>
      <c r="V626" s="16"/>
      <c r="W626" s="16">
        <f t="shared" ca="1" si="15"/>
        <v>199</v>
      </c>
      <c r="X626" s="16" t="str">
        <f ca="1"/>
        <v>765-26-6951</v>
      </c>
      <c r="Y626" s="20">
        <f ca="1"/>
        <v>457.44299999999998</v>
      </c>
      <c r="Z626" s="16">
        <f ca="1"/>
        <v>6</v>
      </c>
      <c r="AA626" s="16"/>
      <c r="AB626" s="16"/>
      <c r="AC626" s="16"/>
      <c r="AE626" s="16"/>
    </row>
    <row r="627" spans="19:31" x14ac:dyDescent="0.3">
      <c r="S627" s="15" t="s">
        <v>128</v>
      </c>
      <c r="T627" s="13">
        <v>922.63499999999999</v>
      </c>
      <c r="U627" s="16">
        <v>10</v>
      </c>
      <c r="V627" s="16"/>
      <c r="W627" s="16">
        <f t="shared" ca="1" si="15"/>
        <v>20</v>
      </c>
      <c r="X627" s="16" t="str">
        <f ca="1"/>
        <v>766-85-7061</v>
      </c>
      <c r="Y627" s="20">
        <f ca="1"/>
        <v>922.63499999999999</v>
      </c>
      <c r="Z627" s="16">
        <f ca="1"/>
        <v>10</v>
      </c>
      <c r="AA627" s="16"/>
      <c r="AB627" s="16"/>
      <c r="AC627" s="16"/>
      <c r="AE627" s="16"/>
    </row>
    <row r="628" spans="19:31" x14ac:dyDescent="0.3">
      <c r="S628" s="15" t="s">
        <v>503</v>
      </c>
      <c r="T628" s="13">
        <v>527.75099999999998</v>
      </c>
      <c r="U628" s="16">
        <v>6</v>
      </c>
      <c r="V628" s="16"/>
      <c r="W628" s="16">
        <f t="shared" ca="1" si="15"/>
        <v>151</v>
      </c>
      <c r="X628" s="16" t="str">
        <f ca="1"/>
        <v>767-05-1286</v>
      </c>
      <c r="Y628" s="20">
        <f ca="1"/>
        <v>527.75099999999998</v>
      </c>
      <c r="Z628" s="16">
        <f ca="1"/>
        <v>6</v>
      </c>
      <c r="AA628" s="16"/>
      <c r="AB628" s="16"/>
      <c r="AC628" s="16"/>
      <c r="AE628" s="16"/>
    </row>
    <row r="629" spans="19:31" x14ac:dyDescent="0.3">
      <c r="S629" s="15" t="s">
        <v>488</v>
      </c>
      <c r="T629" s="13">
        <v>155.19</v>
      </c>
      <c r="U629" s="16">
        <v>5</v>
      </c>
      <c r="V629" s="16"/>
      <c r="W629" s="16">
        <f t="shared" ca="1" si="15"/>
        <v>510</v>
      </c>
      <c r="X629" s="16" t="str">
        <f ca="1"/>
        <v>767-54-1907</v>
      </c>
      <c r="Y629" s="20">
        <f ca="1"/>
        <v>155.19</v>
      </c>
      <c r="Z629" s="16">
        <f ca="1"/>
        <v>5</v>
      </c>
      <c r="AA629" s="16"/>
      <c r="AB629" s="16"/>
      <c r="AC629" s="16"/>
      <c r="AE629" s="16"/>
    </row>
    <row r="630" spans="19:31" x14ac:dyDescent="0.3">
      <c r="S630" s="15" t="s">
        <v>651</v>
      </c>
      <c r="T630" s="13">
        <v>136.143</v>
      </c>
      <c r="U630" s="16">
        <v>2</v>
      </c>
      <c r="V630" s="16"/>
      <c r="W630" s="16">
        <f t="shared" ca="1" si="15"/>
        <v>546</v>
      </c>
      <c r="X630" s="16" t="str">
        <f ca="1"/>
        <v>767-97-4650</v>
      </c>
      <c r="Y630" s="20">
        <f ca="1"/>
        <v>136.143</v>
      </c>
      <c r="Z630" s="16">
        <f ca="1"/>
        <v>2</v>
      </c>
      <c r="AA630" s="16"/>
      <c r="AB630" s="16"/>
      <c r="AC630" s="16"/>
      <c r="AE630" s="16"/>
    </row>
    <row r="631" spans="19:31" x14ac:dyDescent="0.3">
      <c r="S631" s="15" t="s">
        <v>710</v>
      </c>
      <c r="T631" s="13">
        <v>177.40799999999999</v>
      </c>
      <c r="U631" s="16">
        <v>8</v>
      </c>
      <c r="V631" s="16"/>
      <c r="W631" s="16">
        <f t="shared" ca="1" si="15"/>
        <v>477</v>
      </c>
      <c r="X631" s="16" t="str">
        <f ca="1"/>
        <v>770-42-8960</v>
      </c>
      <c r="Y631" s="20">
        <f ca="1"/>
        <v>177.40799999999999</v>
      </c>
      <c r="Z631" s="16">
        <f ca="1"/>
        <v>8</v>
      </c>
      <c r="AA631" s="16"/>
      <c r="AB631" s="16"/>
      <c r="AC631" s="16"/>
      <c r="AE631" s="16"/>
    </row>
    <row r="632" spans="19:31" x14ac:dyDescent="0.3">
      <c r="S632" s="15" t="s">
        <v>71</v>
      </c>
      <c r="T632" s="13">
        <v>253.00800000000001</v>
      </c>
      <c r="U632" s="16">
        <v>8</v>
      </c>
      <c r="V632" s="16"/>
      <c r="W632" s="16">
        <f t="shared" ca="1" si="15"/>
        <v>377</v>
      </c>
      <c r="X632" s="16" t="str">
        <f ca="1"/>
        <v>777-82-7220</v>
      </c>
      <c r="Y632" s="20">
        <f ca="1"/>
        <v>253.00800000000001</v>
      </c>
      <c r="Z632" s="16">
        <f ca="1"/>
        <v>8</v>
      </c>
      <c r="AA632" s="16"/>
      <c r="AB632" s="16"/>
      <c r="AC632" s="16"/>
      <c r="AE632" s="16"/>
    </row>
    <row r="633" spans="19:31" x14ac:dyDescent="0.3">
      <c r="S633" s="15" t="s">
        <v>85</v>
      </c>
      <c r="T633" s="13">
        <v>16.201499999999999</v>
      </c>
      <c r="U633" s="16">
        <v>1</v>
      </c>
      <c r="V633" s="16"/>
      <c r="W633" s="16">
        <f t="shared" ca="1" si="15"/>
        <v>731</v>
      </c>
      <c r="X633" s="16" t="str">
        <f ca="1"/>
        <v>778-71-5554</v>
      </c>
      <c r="Y633" s="20">
        <f ca="1"/>
        <v>16.201499999999999</v>
      </c>
      <c r="Z633" s="16">
        <f ca="1"/>
        <v>1</v>
      </c>
      <c r="AA633" s="16"/>
      <c r="AB633" s="16"/>
      <c r="AC633" s="16"/>
      <c r="AE633" s="16"/>
    </row>
    <row r="634" spans="19:31" x14ac:dyDescent="0.3">
      <c r="S634" s="15" t="s">
        <v>332</v>
      </c>
      <c r="T634" s="13">
        <v>93.040499999999994</v>
      </c>
      <c r="U634" s="16">
        <v>1</v>
      </c>
      <c r="V634" s="16"/>
      <c r="W634" s="16">
        <f t="shared" ca="1" si="15"/>
        <v>609</v>
      </c>
      <c r="X634" s="16" t="str">
        <f ca="1"/>
        <v>779-06-0012</v>
      </c>
      <c r="Y634" s="20">
        <f ca="1"/>
        <v>93.040499999999994</v>
      </c>
      <c r="Z634" s="16">
        <f ca="1"/>
        <v>1</v>
      </c>
      <c r="AA634" s="16"/>
      <c r="AB634" s="16"/>
      <c r="AC634" s="16"/>
      <c r="AE634" s="16"/>
    </row>
    <row r="635" spans="19:31" x14ac:dyDescent="0.3">
      <c r="S635" s="15" t="s">
        <v>188</v>
      </c>
      <c r="T635" s="13">
        <v>484.52249999999998</v>
      </c>
      <c r="U635" s="16">
        <v>5</v>
      </c>
      <c r="V635" s="16"/>
      <c r="W635" s="16">
        <f t="shared" ca="1" si="15"/>
        <v>181</v>
      </c>
      <c r="X635" s="16" t="str">
        <f ca="1"/>
        <v>782-95-9291</v>
      </c>
      <c r="Y635" s="20">
        <f ca="1"/>
        <v>484.52249999999998</v>
      </c>
      <c r="Z635" s="16">
        <f ca="1"/>
        <v>5</v>
      </c>
      <c r="AA635" s="16"/>
      <c r="AB635" s="16"/>
      <c r="AC635" s="16"/>
      <c r="AE635" s="16"/>
    </row>
    <row r="636" spans="19:31" x14ac:dyDescent="0.3">
      <c r="S636" s="15" t="s">
        <v>303</v>
      </c>
      <c r="T636" s="13">
        <v>354.00749999999999</v>
      </c>
      <c r="U636" s="16">
        <v>5</v>
      </c>
      <c r="V636" s="16"/>
      <c r="W636" s="16">
        <f t="shared" ca="1" si="15"/>
        <v>271</v>
      </c>
      <c r="X636" s="16" t="str">
        <f ca="1"/>
        <v>783-09-1637</v>
      </c>
      <c r="Y636" s="20">
        <f ca="1"/>
        <v>354.00749999999999</v>
      </c>
      <c r="Z636" s="16">
        <f ca="1"/>
        <v>5</v>
      </c>
      <c r="AA636" s="16"/>
      <c r="AB636" s="16"/>
      <c r="AC636" s="16"/>
      <c r="AE636" s="16"/>
    </row>
    <row r="637" spans="19:31" x14ac:dyDescent="0.3">
      <c r="S637" s="15" t="s">
        <v>700</v>
      </c>
      <c r="T637" s="13">
        <v>10.6785</v>
      </c>
      <c r="U637" s="16">
        <v>1</v>
      </c>
      <c r="V637" s="16"/>
      <c r="W637" s="16">
        <f t="shared" ca="1" si="15"/>
        <v>736</v>
      </c>
      <c r="X637" s="16" t="str">
        <f ca="1"/>
        <v>784-21-9238</v>
      </c>
      <c r="Y637" s="20">
        <f ca="1"/>
        <v>10.6785</v>
      </c>
      <c r="Z637" s="16">
        <f ca="1"/>
        <v>1</v>
      </c>
      <c r="AA637" s="16"/>
      <c r="AB637" s="16"/>
      <c r="AC637" s="16"/>
      <c r="AE637" s="16"/>
    </row>
    <row r="638" spans="19:31" x14ac:dyDescent="0.3">
      <c r="S638" s="15" t="s">
        <v>282</v>
      </c>
      <c r="T638" s="13">
        <v>536.99099999999999</v>
      </c>
      <c r="U638" s="16">
        <v>7</v>
      </c>
      <c r="V638" s="16"/>
      <c r="W638" s="16">
        <f t="shared" ca="1" si="15"/>
        <v>144</v>
      </c>
      <c r="X638" s="16" t="str">
        <f ca="1"/>
        <v>785-13-7708</v>
      </c>
      <c r="Y638" s="20">
        <f ca="1"/>
        <v>536.99099999999999</v>
      </c>
      <c r="Z638" s="16">
        <f ca="1"/>
        <v>7</v>
      </c>
      <c r="AA638" s="16"/>
      <c r="AB638" s="16"/>
      <c r="AC638" s="16"/>
      <c r="AE638" s="16"/>
    </row>
    <row r="639" spans="19:31" x14ac:dyDescent="0.3">
      <c r="S639" s="15" t="s">
        <v>352</v>
      </c>
      <c r="T639" s="13">
        <v>185.09399999999999</v>
      </c>
      <c r="U639" s="16">
        <v>4</v>
      </c>
      <c r="V639" s="16"/>
      <c r="W639" s="16">
        <f t="shared" ca="1" si="15"/>
        <v>467</v>
      </c>
      <c r="X639" s="16" t="str">
        <f ca="1"/>
        <v>787-15-1757</v>
      </c>
      <c r="Y639" s="20">
        <f ca="1"/>
        <v>185.09399999999999</v>
      </c>
      <c r="Z639" s="16">
        <f ca="1"/>
        <v>4</v>
      </c>
      <c r="AA639" s="16"/>
      <c r="AB639" s="16"/>
      <c r="AC639" s="16"/>
      <c r="AE639" s="16"/>
    </row>
    <row r="640" spans="19:31" x14ac:dyDescent="0.3">
      <c r="S640" s="15" t="s">
        <v>115</v>
      </c>
      <c r="T640" s="13">
        <v>337.512</v>
      </c>
      <c r="U640" s="16">
        <v>4</v>
      </c>
      <c r="V640" s="16"/>
      <c r="W640" s="16">
        <f t="shared" ca="1" si="15"/>
        <v>290</v>
      </c>
      <c r="X640" s="16" t="str">
        <f ca="1"/>
        <v>787-56-0757</v>
      </c>
      <c r="Y640" s="20">
        <f ca="1"/>
        <v>337.512</v>
      </c>
      <c r="Z640" s="16">
        <f ca="1"/>
        <v>4</v>
      </c>
      <c r="AA640" s="16"/>
      <c r="AB640" s="16"/>
      <c r="AC640" s="16"/>
      <c r="AE640" s="16"/>
    </row>
    <row r="641" spans="19:31" x14ac:dyDescent="0.3">
      <c r="S641" s="15" t="s">
        <v>252</v>
      </c>
      <c r="T641" s="13">
        <v>180.62100000000001</v>
      </c>
      <c r="U641" s="16">
        <v>3</v>
      </c>
      <c r="V641" s="16"/>
      <c r="W641" s="16">
        <f t="shared" ca="1" si="15"/>
        <v>475</v>
      </c>
      <c r="X641" s="16" t="str">
        <f ca="1"/>
        <v>790-29-1172</v>
      </c>
      <c r="Y641" s="20">
        <f ca="1"/>
        <v>180.62100000000001</v>
      </c>
      <c r="Z641" s="16">
        <f ca="1"/>
        <v>3</v>
      </c>
      <c r="AA641" s="16"/>
      <c r="AB641" s="16"/>
      <c r="AC641" s="16"/>
      <c r="AE641" s="16"/>
    </row>
    <row r="642" spans="19:31" x14ac:dyDescent="0.3">
      <c r="S642" s="15" t="s">
        <v>431</v>
      </c>
      <c r="T642" s="13">
        <v>258.678</v>
      </c>
      <c r="U642" s="16">
        <v>6</v>
      </c>
      <c r="V642" s="16"/>
      <c r="W642" s="16">
        <f t="shared" ca="1" si="15"/>
        <v>369</v>
      </c>
      <c r="X642" s="16" t="str">
        <f ca="1"/>
        <v>793-10-3222</v>
      </c>
      <c r="Y642" s="20">
        <f ca="1"/>
        <v>258.678</v>
      </c>
      <c r="Z642" s="16">
        <f ca="1"/>
        <v>6</v>
      </c>
      <c r="AA642" s="16"/>
      <c r="AB642" s="16"/>
      <c r="AC642" s="16"/>
      <c r="AE642" s="16"/>
    </row>
    <row r="643" spans="19:31" x14ac:dyDescent="0.3">
      <c r="S643" s="15" t="s">
        <v>520</v>
      </c>
      <c r="T643" s="13">
        <v>156.03</v>
      </c>
      <c r="U643" s="16">
        <v>4</v>
      </c>
      <c r="V643" s="16"/>
      <c r="W643" s="16">
        <f t="shared" ref="W643:W706" ca="1" si="16">RANK(Y:Y,Y:Y)</f>
        <v>508</v>
      </c>
      <c r="X643" s="16" t="str">
        <f ca="1"/>
        <v>795-49-7276</v>
      </c>
      <c r="Y643" s="20">
        <f ca="1"/>
        <v>156.03</v>
      </c>
      <c r="Z643" s="16">
        <f ca="1"/>
        <v>4</v>
      </c>
      <c r="AA643" s="16"/>
      <c r="AB643" s="16"/>
      <c r="AC643" s="16"/>
      <c r="AE643" s="16"/>
    </row>
    <row r="644" spans="19:31" x14ac:dyDescent="0.3">
      <c r="S644" s="15" t="s">
        <v>103</v>
      </c>
      <c r="T644" s="13">
        <v>652.26</v>
      </c>
      <c r="U644" s="16">
        <v>10</v>
      </c>
      <c r="V644" s="16"/>
      <c r="W644" s="16">
        <f t="shared" ca="1" si="16"/>
        <v>96</v>
      </c>
      <c r="X644" s="16" t="str">
        <f ca="1"/>
        <v>796-12-2025</v>
      </c>
      <c r="Y644" s="20">
        <f ca="1"/>
        <v>652.26</v>
      </c>
      <c r="Z644" s="16">
        <f ca="1"/>
        <v>10</v>
      </c>
      <c r="AA644" s="16"/>
      <c r="AB644" s="16"/>
      <c r="AC644" s="16"/>
      <c r="AE644" s="16"/>
    </row>
    <row r="645" spans="19:31" x14ac:dyDescent="0.3">
      <c r="S645" s="15" t="s">
        <v>201</v>
      </c>
      <c r="T645" s="13">
        <v>323.06400000000002</v>
      </c>
      <c r="U645" s="16">
        <v>6</v>
      </c>
      <c r="V645" s="16"/>
      <c r="W645" s="16">
        <f t="shared" ca="1" si="16"/>
        <v>302</v>
      </c>
      <c r="X645" s="16" t="str">
        <f ca="1"/>
        <v>796-32-9050</v>
      </c>
      <c r="Y645" s="20">
        <f ca="1"/>
        <v>323.06400000000002</v>
      </c>
      <c r="Z645" s="16">
        <f ca="1"/>
        <v>6</v>
      </c>
      <c r="AA645" s="16"/>
      <c r="AB645" s="16"/>
      <c r="AC645" s="16"/>
      <c r="AE645" s="16"/>
    </row>
    <row r="646" spans="19:31" x14ac:dyDescent="0.3">
      <c r="S646" s="15" t="s">
        <v>611</v>
      </c>
      <c r="T646" s="13">
        <v>269.93400000000003</v>
      </c>
      <c r="U646" s="16">
        <v>4</v>
      </c>
      <c r="V646" s="16"/>
      <c r="W646" s="16">
        <f t="shared" ca="1" si="16"/>
        <v>360</v>
      </c>
      <c r="X646" s="16" t="str">
        <f ca="1"/>
        <v>797-88-0493</v>
      </c>
      <c r="Y646" s="20">
        <f ca="1"/>
        <v>269.93400000000003</v>
      </c>
      <c r="Z646" s="16">
        <f ca="1"/>
        <v>4</v>
      </c>
      <c r="AA646" s="16"/>
      <c r="AB646" s="16"/>
      <c r="AC646" s="16"/>
      <c r="AE646" s="16"/>
    </row>
    <row r="647" spans="19:31" x14ac:dyDescent="0.3">
      <c r="S647" s="15" t="s">
        <v>281</v>
      </c>
      <c r="T647" s="13">
        <v>326.42399999999998</v>
      </c>
      <c r="U647" s="16">
        <v>4</v>
      </c>
      <c r="V647" s="16"/>
      <c r="W647" s="16">
        <f t="shared" ca="1" si="16"/>
        <v>298</v>
      </c>
      <c r="X647" s="16" t="str">
        <f ca="1"/>
        <v>799-71-1548</v>
      </c>
      <c r="Y647" s="20">
        <f ca="1"/>
        <v>326.42399999999998</v>
      </c>
      <c r="Z647" s="16">
        <f ca="1"/>
        <v>4</v>
      </c>
      <c r="AA647" s="16"/>
      <c r="AB647" s="16"/>
      <c r="AC647" s="16"/>
      <c r="AE647" s="16"/>
    </row>
    <row r="648" spans="19:31" x14ac:dyDescent="0.3">
      <c r="S648" s="15" t="s">
        <v>684</v>
      </c>
      <c r="T648" s="13">
        <v>239.589</v>
      </c>
      <c r="U648" s="16">
        <v>3</v>
      </c>
      <c r="V648" s="16"/>
      <c r="W648" s="16">
        <f t="shared" ca="1" si="16"/>
        <v>389</v>
      </c>
      <c r="X648" s="16" t="str">
        <f ca="1"/>
        <v>801-88-0346</v>
      </c>
      <c r="Y648" s="20">
        <f ca="1"/>
        <v>239.589</v>
      </c>
      <c r="Z648" s="16">
        <f ca="1"/>
        <v>3</v>
      </c>
      <c r="AA648" s="16"/>
      <c r="AB648" s="16"/>
      <c r="AC648" s="16"/>
      <c r="AE648" s="16"/>
    </row>
    <row r="649" spans="19:31" x14ac:dyDescent="0.3">
      <c r="S649" s="15" t="s">
        <v>248</v>
      </c>
      <c r="T649" s="13">
        <v>19.193999999999999</v>
      </c>
      <c r="U649" s="16">
        <v>1</v>
      </c>
      <c r="V649" s="16"/>
      <c r="W649" s="16">
        <f t="shared" ca="1" si="16"/>
        <v>729</v>
      </c>
      <c r="X649" s="16" t="str">
        <f ca="1"/>
        <v>802-43-8934</v>
      </c>
      <c r="Y649" s="20">
        <f ca="1"/>
        <v>19.193999999999999</v>
      </c>
      <c r="Z649" s="16">
        <f ca="1"/>
        <v>1</v>
      </c>
      <c r="AA649" s="16"/>
      <c r="AB649" s="16"/>
      <c r="AC649" s="16"/>
      <c r="AE649" s="16"/>
    </row>
    <row r="650" spans="19:31" x14ac:dyDescent="0.3">
      <c r="S650" s="15" t="s">
        <v>163</v>
      </c>
      <c r="T650" s="13">
        <v>580.41899999999998</v>
      </c>
      <c r="U650" s="16">
        <v>6</v>
      </c>
      <c r="V650" s="16"/>
      <c r="W650" s="16">
        <f t="shared" ca="1" si="16"/>
        <v>122</v>
      </c>
      <c r="X650" s="16" t="str">
        <f ca="1"/>
        <v>802-70-5316</v>
      </c>
      <c r="Y650" s="20">
        <f ca="1"/>
        <v>580.41899999999998</v>
      </c>
      <c r="Z650" s="16">
        <f ca="1"/>
        <v>6</v>
      </c>
      <c r="AA650" s="16"/>
      <c r="AB650" s="16"/>
      <c r="AC650" s="16"/>
      <c r="AE650" s="16"/>
    </row>
    <row r="651" spans="19:31" x14ac:dyDescent="0.3">
      <c r="S651" s="15" t="s">
        <v>340</v>
      </c>
      <c r="T651" s="13">
        <v>745.83600000000001</v>
      </c>
      <c r="U651" s="16">
        <v>8</v>
      </c>
      <c r="V651" s="16"/>
      <c r="W651" s="16">
        <f t="shared" ca="1" si="16"/>
        <v>63</v>
      </c>
      <c r="X651" s="16" t="str">
        <f ca="1"/>
        <v>803-17-8013</v>
      </c>
      <c r="Y651" s="20">
        <f ca="1"/>
        <v>745.83600000000001</v>
      </c>
      <c r="Z651" s="16">
        <f ca="1"/>
        <v>8</v>
      </c>
      <c r="AA651" s="16"/>
      <c r="AB651" s="16"/>
      <c r="AC651" s="16"/>
      <c r="AE651" s="16"/>
    </row>
    <row r="652" spans="19:31" x14ac:dyDescent="0.3">
      <c r="S652" s="15" t="s">
        <v>93</v>
      </c>
      <c r="T652" s="13">
        <v>351.09899999999999</v>
      </c>
      <c r="U652" s="16">
        <v>6</v>
      </c>
      <c r="V652" s="16"/>
      <c r="W652" s="16">
        <f t="shared" ca="1" si="16"/>
        <v>277</v>
      </c>
      <c r="X652" s="16" t="str">
        <f ca="1"/>
        <v>803-83-5989</v>
      </c>
      <c r="Y652" s="20">
        <f ca="1"/>
        <v>351.09899999999999</v>
      </c>
      <c r="Z652" s="16">
        <f ca="1"/>
        <v>6</v>
      </c>
      <c r="AA652" s="16"/>
      <c r="AB652" s="16"/>
      <c r="AC652" s="16"/>
      <c r="AE652" s="16"/>
    </row>
    <row r="653" spans="19:31" x14ac:dyDescent="0.3">
      <c r="S653" s="15" t="s">
        <v>299</v>
      </c>
      <c r="T653" s="13">
        <v>148.97399999999999</v>
      </c>
      <c r="U653" s="16">
        <v>4</v>
      </c>
      <c r="V653" s="16"/>
      <c r="W653" s="16">
        <f t="shared" ca="1" si="16"/>
        <v>524</v>
      </c>
      <c r="X653" s="16" t="str">
        <f ca="1"/>
        <v>808-65-0703</v>
      </c>
      <c r="Y653" s="20">
        <f ca="1"/>
        <v>148.97399999999999</v>
      </c>
      <c r="Z653" s="16">
        <f ca="1"/>
        <v>4</v>
      </c>
      <c r="AA653" s="16"/>
      <c r="AB653" s="16"/>
      <c r="AC653" s="16"/>
      <c r="AE653" s="16"/>
    </row>
    <row r="654" spans="19:31" x14ac:dyDescent="0.3">
      <c r="S654" s="15" t="s">
        <v>472</v>
      </c>
      <c r="T654" s="13">
        <v>343.22399999999999</v>
      </c>
      <c r="U654" s="16">
        <v>8</v>
      </c>
      <c r="V654" s="16"/>
      <c r="W654" s="16">
        <f t="shared" ca="1" si="16"/>
        <v>283</v>
      </c>
      <c r="X654" s="16" t="str">
        <f ca="1"/>
        <v>810-60-6344</v>
      </c>
      <c r="Y654" s="20">
        <f ca="1"/>
        <v>343.22399999999999</v>
      </c>
      <c r="Z654" s="16">
        <f ca="1"/>
        <v>8</v>
      </c>
      <c r="AA654" s="16"/>
      <c r="AB654" s="16"/>
      <c r="AC654" s="16"/>
      <c r="AE654" s="16"/>
    </row>
    <row r="655" spans="19:31" x14ac:dyDescent="0.3">
      <c r="S655" s="15" t="s">
        <v>645</v>
      </c>
      <c r="T655" s="13">
        <v>477.54</v>
      </c>
      <c r="U655" s="16">
        <v>10</v>
      </c>
      <c r="V655" s="16"/>
      <c r="W655" s="16">
        <f t="shared" ca="1" si="16"/>
        <v>185</v>
      </c>
      <c r="X655" s="16" t="str">
        <f ca="1"/>
        <v>811-03-8790</v>
      </c>
      <c r="Y655" s="20">
        <f ca="1"/>
        <v>477.54</v>
      </c>
      <c r="Z655" s="16">
        <f ca="1"/>
        <v>10</v>
      </c>
      <c r="AA655" s="16"/>
      <c r="AB655" s="16"/>
      <c r="AC655" s="16"/>
      <c r="AE655" s="16"/>
    </row>
    <row r="656" spans="19:31" x14ac:dyDescent="0.3">
      <c r="S656" s="15" t="s">
        <v>723</v>
      </c>
      <c r="T656" s="13">
        <v>317.83499999999998</v>
      </c>
      <c r="U656" s="16">
        <v>6</v>
      </c>
      <c r="V656" s="16"/>
      <c r="W656" s="16">
        <f t="shared" ca="1" si="16"/>
        <v>307</v>
      </c>
      <c r="X656" s="16" t="str">
        <f ca="1"/>
        <v>811-35-1094</v>
      </c>
      <c r="Y656" s="20">
        <f ca="1"/>
        <v>317.83499999999998</v>
      </c>
      <c r="Z656" s="16">
        <f ca="1"/>
        <v>6</v>
      </c>
      <c r="AA656" s="16"/>
      <c r="AB656" s="16"/>
      <c r="AC656" s="16"/>
      <c r="AE656" s="16"/>
    </row>
    <row r="657" spans="19:31" x14ac:dyDescent="0.3">
      <c r="S657" s="15" t="s">
        <v>698</v>
      </c>
      <c r="T657" s="13">
        <v>341.09249999999997</v>
      </c>
      <c r="U657" s="16">
        <v>5</v>
      </c>
      <c r="V657" s="16"/>
      <c r="W657" s="16">
        <f t="shared" ca="1" si="16"/>
        <v>285</v>
      </c>
      <c r="X657" s="16" t="str">
        <f ca="1"/>
        <v>815-04-6282</v>
      </c>
      <c r="Y657" s="20">
        <f ca="1"/>
        <v>341.09249999999997</v>
      </c>
      <c r="Z657" s="16">
        <f ca="1"/>
        <v>5</v>
      </c>
      <c r="AA657" s="16"/>
      <c r="AB657" s="16"/>
      <c r="AC657" s="16"/>
      <c r="AE657" s="16"/>
    </row>
    <row r="658" spans="19:31" x14ac:dyDescent="0.3">
      <c r="S658" s="15" t="s">
        <v>359</v>
      </c>
      <c r="T658" s="13">
        <v>523.84500000000003</v>
      </c>
      <c r="U658" s="16">
        <v>5</v>
      </c>
      <c r="V658" s="16"/>
      <c r="W658" s="16">
        <f t="shared" ca="1" si="16"/>
        <v>153</v>
      </c>
      <c r="X658" s="16" t="str">
        <f ca="1"/>
        <v>815-11-1168</v>
      </c>
      <c r="Y658" s="20">
        <f ca="1"/>
        <v>523.84500000000003</v>
      </c>
      <c r="Z658" s="16">
        <f ca="1"/>
        <v>5</v>
      </c>
      <c r="AA658" s="16"/>
      <c r="AB658" s="16"/>
      <c r="AC658" s="16"/>
      <c r="AE658" s="16"/>
    </row>
    <row r="659" spans="19:31" x14ac:dyDescent="0.3">
      <c r="S659" s="15" t="s">
        <v>635</v>
      </c>
      <c r="T659" s="13">
        <v>127.827</v>
      </c>
      <c r="U659" s="16">
        <v>2</v>
      </c>
      <c r="V659" s="16"/>
      <c r="W659" s="16">
        <f t="shared" ca="1" si="16"/>
        <v>559</v>
      </c>
      <c r="X659" s="16" t="str">
        <f ca="1"/>
        <v>816-57-2053</v>
      </c>
      <c r="Y659" s="20">
        <f ca="1"/>
        <v>127.827</v>
      </c>
      <c r="Z659" s="16">
        <f ca="1"/>
        <v>2</v>
      </c>
      <c r="AA659" s="16"/>
      <c r="AB659" s="16"/>
      <c r="AC659" s="16"/>
      <c r="AE659" s="16"/>
    </row>
    <row r="660" spans="19:31" x14ac:dyDescent="0.3">
      <c r="S660" s="15" t="s">
        <v>90</v>
      </c>
      <c r="T660" s="13">
        <v>759.67499999999995</v>
      </c>
      <c r="U660" s="16">
        <v>10</v>
      </c>
      <c r="V660" s="16"/>
      <c r="W660" s="16">
        <f t="shared" ca="1" si="16"/>
        <v>59</v>
      </c>
      <c r="X660" s="16" t="str">
        <f ca="1"/>
        <v>817-48-8732</v>
      </c>
      <c r="Y660" s="20">
        <f ca="1"/>
        <v>759.67499999999995</v>
      </c>
      <c r="Z660" s="16">
        <f ca="1"/>
        <v>10</v>
      </c>
      <c r="AA660" s="16"/>
      <c r="AB660" s="16"/>
      <c r="AC660" s="16"/>
      <c r="AE660" s="16"/>
    </row>
    <row r="661" spans="19:31" x14ac:dyDescent="0.3">
      <c r="S661" s="15" t="s">
        <v>242</v>
      </c>
      <c r="T661" s="13">
        <v>942.44849999999997</v>
      </c>
      <c r="U661" s="16">
        <v>9</v>
      </c>
      <c r="V661" s="16"/>
      <c r="W661" s="16">
        <f t="shared" ca="1" si="16"/>
        <v>13</v>
      </c>
      <c r="X661" s="16" t="str">
        <f ca="1"/>
        <v>817-69-8206</v>
      </c>
      <c r="Y661" s="20">
        <f ca="1"/>
        <v>942.44849999999997</v>
      </c>
      <c r="Z661" s="16">
        <f ca="1"/>
        <v>9</v>
      </c>
      <c r="AA661" s="16"/>
      <c r="AB661" s="16"/>
      <c r="AC661" s="16"/>
      <c r="AE661" s="16"/>
    </row>
    <row r="662" spans="19:31" x14ac:dyDescent="0.3">
      <c r="S662" s="15" t="s">
        <v>294</v>
      </c>
      <c r="T662" s="13">
        <v>69.09</v>
      </c>
      <c r="U662" s="16">
        <v>4</v>
      </c>
      <c r="V662" s="16"/>
      <c r="W662" s="16">
        <f t="shared" ca="1" si="16"/>
        <v>667</v>
      </c>
      <c r="X662" s="16" t="str">
        <f ca="1"/>
        <v>821-07-3596</v>
      </c>
      <c r="Y662" s="20">
        <f ca="1"/>
        <v>69.09</v>
      </c>
      <c r="Z662" s="16">
        <f ca="1"/>
        <v>4</v>
      </c>
      <c r="AA662" s="16"/>
      <c r="AB662" s="16"/>
      <c r="AC662" s="16"/>
      <c r="AE662" s="16"/>
    </row>
    <row r="663" spans="19:31" x14ac:dyDescent="0.3">
      <c r="S663" s="15" t="s">
        <v>216</v>
      </c>
      <c r="T663" s="13">
        <v>288.20400000000001</v>
      </c>
      <c r="U663" s="16">
        <v>8</v>
      </c>
      <c r="V663" s="16"/>
      <c r="W663" s="16">
        <f t="shared" ca="1" si="16"/>
        <v>336</v>
      </c>
      <c r="X663" s="16" t="str">
        <f ca="1"/>
        <v>824-88-3614</v>
      </c>
      <c r="Y663" s="20">
        <f ca="1"/>
        <v>288.20400000000001</v>
      </c>
      <c r="Z663" s="16">
        <f ca="1"/>
        <v>8</v>
      </c>
      <c r="AA663" s="16"/>
      <c r="AB663" s="16"/>
      <c r="AC663" s="16"/>
      <c r="AE663" s="16"/>
    </row>
    <row r="664" spans="19:31" x14ac:dyDescent="0.3">
      <c r="S664" s="15" t="s">
        <v>737</v>
      </c>
      <c r="T664" s="13">
        <v>53.151000000000003</v>
      </c>
      <c r="U664" s="16">
        <v>2</v>
      </c>
      <c r="V664" s="16"/>
      <c r="W664" s="16">
        <f t="shared" ca="1" si="16"/>
        <v>685</v>
      </c>
      <c r="X664" s="16" t="str">
        <f ca="1"/>
        <v>825-94-5922</v>
      </c>
      <c r="Y664" s="20">
        <f ca="1"/>
        <v>53.151000000000003</v>
      </c>
      <c r="Z664" s="16">
        <f ca="1"/>
        <v>2</v>
      </c>
      <c r="AA664" s="16"/>
      <c r="AB664" s="16"/>
      <c r="AC664" s="16"/>
      <c r="AE664" s="16"/>
    </row>
    <row r="665" spans="19:31" x14ac:dyDescent="0.3">
      <c r="S665" s="15" t="s">
        <v>656</v>
      </c>
      <c r="T665" s="13">
        <v>261.19799999999998</v>
      </c>
      <c r="U665" s="16">
        <v>4</v>
      </c>
      <c r="V665" s="16"/>
      <c r="W665" s="16">
        <f t="shared" ca="1" si="16"/>
        <v>368</v>
      </c>
      <c r="X665" s="16" t="str">
        <f ca="1"/>
        <v>826-58-8051</v>
      </c>
      <c r="Y665" s="20">
        <f ca="1"/>
        <v>261.19799999999998</v>
      </c>
      <c r="Z665" s="16">
        <f ca="1"/>
        <v>4</v>
      </c>
      <c r="AA665" s="16"/>
      <c r="AB665" s="16"/>
      <c r="AC665" s="16"/>
      <c r="AE665" s="16"/>
    </row>
    <row r="666" spans="19:31" x14ac:dyDescent="0.3">
      <c r="S666" s="15" t="s">
        <v>208</v>
      </c>
      <c r="T666" s="13">
        <v>319.78800000000001</v>
      </c>
      <c r="U666" s="16">
        <v>9</v>
      </c>
      <c r="V666" s="16"/>
      <c r="W666" s="16">
        <f t="shared" ca="1" si="16"/>
        <v>305</v>
      </c>
      <c r="X666" s="16" t="str">
        <f ca="1"/>
        <v>827-26-2100</v>
      </c>
      <c r="Y666" s="20">
        <f ca="1"/>
        <v>319.78800000000001</v>
      </c>
      <c r="Z666" s="16">
        <f ca="1"/>
        <v>9</v>
      </c>
      <c r="AA666" s="16"/>
      <c r="AB666" s="16"/>
      <c r="AC666" s="16"/>
      <c r="AE666" s="16"/>
    </row>
    <row r="667" spans="19:31" x14ac:dyDescent="0.3">
      <c r="S667" s="15" t="s">
        <v>561</v>
      </c>
      <c r="T667" s="13">
        <v>570.78</v>
      </c>
      <c r="U667" s="16">
        <v>10</v>
      </c>
      <c r="V667" s="16"/>
      <c r="W667" s="16">
        <f t="shared" ca="1" si="16"/>
        <v>129</v>
      </c>
      <c r="X667" s="16" t="str">
        <f ca="1"/>
        <v>827-44-5872</v>
      </c>
      <c r="Y667" s="20">
        <f ca="1"/>
        <v>570.78</v>
      </c>
      <c r="Z667" s="16">
        <f ca="1"/>
        <v>10</v>
      </c>
      <c r="AA667" s="16"/>
      <c r="AB667" s="16"/>
      <c r="AC667" s="16"/>
      <c r="AE667" s="16"/>
    </row>
    <row r="668" spans="19:31" x14ac:dyDescent="0.3">
      <c r="S668" s="15" t="s">
        <v>562</v>
      </c>
      <c r="T668" s="13">
        <v>926.95050000000003</v>
      </c>
      <c r="U668" s="16">
        <v>9</v>
      </c>
      <c r="V668" s="16"/>
      <c r="W668" s="16">
        <f t="shared" ca="1" si="16"/>
        <v>19</v>
      </c>
      <c r="X668" s="16" t="str">
        <f ca="1"/>
        <v>827-77-7633</v>
      </c>
      <c r="Y668" s="20">
        <f ca="1"/>
        <v>926.95050000000003</v>
      </c>
      <c r="Z668" s="16">
        <f ca="1"/>
        <v>9</v>
      </c>
      <c r="AA668" s="16"/>
      <c r="AB668" s="16"/>
      <c r="AC668" s="16"/>
      <c r="AE668" s="16"/>
    </row>
    <row r="669" spans="19:31" x14ac:dyDescent="0.3">
      <c r="S669" s="15" t="s">
        <v>312</v>
      </c>
      <c r="T669" s="13">
        <v>462.21</v>
      </c>
      <c r="U669" s="16">
        <v>10</v>
      </c>
      <c r="V669" s="16"/>
      <c r="W669" s="16">
        <f t="shared" ca="1" si="16"/>
        <v>196</v>
      </c>
      <c r="X669" s="16" t="str">
        <f ca="1"/>
        <v>828-61-5674</v>
      </c>
      <c r="Y669" s="20">
        <f ca="1"/>
        <v>462.21</v>
      </c>
      <c r="Z669" s="16">
        <f ca="1"/>
        <v>10</v>
      </c>
      <c r="AA669" s="16"/>
      <c r="AB669" s="16"/>
      <c r="AC669" s="16"/>
      <c r="AE669" s="16"/>
    </row>
    <row r="670" spans="19:31" x14ac:dyDescent="0.3">
      <c r="S670" s="15" t="s">
        <v>46</v>
      </c>
      <c r="T670" s="13">
        <v>749.49</v>
      </c>
      <c r="U670" s="16">
        <v>10</v>
      </c>
      <c r="V670" s="16"/>
      <c r="W670" s="16">
        <f t="shared" ca="1" si="16"/>
        <v>62</v>
      </c>
      <c r="X670" s="16" t="str">
        <f ca="1"/>
        <v>829-34-3910</v>
      </c>
      <c r="Y670" s="20">
        <f ca="1"/>
        <v>749.49</v>
      </c>
      <c r="Z670" s="16">
        <f ca="1"/>
        <v>10</v>
      </c>
      <c r="AA670" s="16"/>
      <c r="AB670" s="16"/>
      <c r="AC670" s="16"/>
      <c r="AE670" s="16"/>
    </row>
    <row r="671" spans="19:31" x14ac:dyDescent="0.3">
      <c r="S671" s="15" t="s">
        <v>110</v>
      </c>
      <c r="T671" s="13">
        <v>822.255</v>
      </c>
      <c r="U671" s="16">
        <v>10</v>
      </c>
      <c r="V671" s="16"/>
      <c r="W671" s="16">
        <f t="shared" ca="1" si="16"/>
        <v>39</v>
      </c>
      <c r="X671" s="16" t="str">
        <f ca="1"/>
        <v>829-49-1914</v>
      </c>
      <c r="Y671" s="20">
        <f ca="1"/>
        <v>822.255</v>
      </c>
      <c r="Z671" s="16">
        <f ca="1"/>
        <v>10</v>
      </c>
      <c r="AA671" s="16"/>
      <c r="AB671" s="16"/>
      <c r="AC671" s="16"/>
      <c r="AE671" s="16"/>
    </row>
    <row r="672" spans="19:31" x14ac:dyDescent="0.3">
      <c r="S672" s="15" t="s">
        <v>628</v>
      </c>
      <c r="T672" s="13">
        <v>133.35</v>
      </c>
      <c r="U672" s="16">
        <v>4</v>
      </c>
      <c r="V672" s="16"/>
      <c r="W672" s="16">
        <f t="shared" ca="1" si="16"/>
        <v>552</v>
      </c>
      <c r="X672" s="16" t="str">
        <f ca="1"/>
        <v>830-58-2383</v>
      </c>
      <c r="Y672" s="20">
        <f ca="1"/>
        <v>133.35</v>
      </c>
      <c r="Z672" s="16">
        <f ca="1"/>
        <v>4</v>
      </c>
      <c r="AA672" s="16"/>
      <c r="AB672" s="16"/>
      <c r="AC672" s="16"/>
      <c r="AE672" s="16"/>
    </row>
    <row r="673" spans="19:31" x14ac:dyDescent="0.3">
      <c r="S673" s="15" t="s">
        <v>227</v>
      </c>
      <c r="T673" s="13">
        <v>171.72749999999999</v>
      </c>
      <c r="U673" s="16">
        <v>5</v>
      </c>
      <c r="V673" s="16"/>
      <c r="W673" s="16">
        <f t="shared" ca="1" si="16"/>
        <v>488</v>
      </c>
      <c r="X673" s="16" t="str">
        <f ca="1"/>
        <v>831-07-6050</v>
      </c>
      <c r="Y673" s="20">
        <f ca="1"/>
        <v>171.72749999999999</v>
      </c>
      <c r="Z673" s="16">
        <f ca="1"/>
        <v>5</v>
      </c>
      <c r="AA673" s="16"/>
      <c r="AB673" s="16"/>
      <c r="AC673" s="16"/>
      <c r="AE673" s="16"/>
    </row>
    <row r="674" spans="19:31" x14ac:dyDescent="0.3">
      <c r="S674" s="15" t="s">
        <v>436</v>
      </c>
      <c r="T674" s="13">
        <v>208.6875</v>
      </c>
      <c r="U674" s="16">
        <v>5</v>
      </c>
      <c r="V674" s="16"/>
      <c r="W674" s="16">
        <f t="shared" ca="1" si="16"/>
        <v>428</v>
      </c>
      <c r="X674" s="16" t="str">
        <f ca="1"/>
        <v>831-64-0259</v>
      </c>
      <c r="Y674" s="20">
        <f ca="1"/>
        <v>208.6875</v>
      </c>
      <c r="Z674" s="16">
        <f ca="1"/>
        <v>5</v>
      </c>
      <c r="AA674" s="16"/>
      <c r="AB674" s="16"/>
      <c r="AC674" s="16"/>
      <c r="AE674" s="16"/>
    </row>
    <row r="675" spans="19:31" x14ac:dyDescent="0.3">
      <c r="S675" s="15" t="s">
        <v>398</v>
      </c>
      <c r="T675" s="13">
        <v>343.05599999999998</v>
      </c>
      <c r="U675" s="16">
        <v>4</v>
      </c>
      <c r="V675" s="16"/>
      <c r="W675" s="16">
        <f t="shared" ca="1" si="16"/>
        <v>284</v>
      </c>
      <c r="X675" s="16" t="str">
        <f ca="1"/>
        <v>834-25-9262</v>
      </c>
      <c r="Y675" s="20">
        <f ca="1"/>
        <v>343.05599999999998</v>
      </c>
      <c r="Z675" s="16">
        <f ca="1"/>
        <v>4</v>
      </c>
      <c r="AA675" s="16"/>
      <c r="AB675" s="16"/>
      <c r="AC675" s="16"/>
      <c r="AE675" s="16"/>
    </row>
    <row r="676" spans="19:31" x14ac:dyDescent="0.3">
      <c r="S676" s="15" t="s">
        <v>384</v>
      </c>
      <c r="T676" s="13">
        <v>379.92149999999998</v>
      </c>
      <c r="U676" s="16">
        <v>7</v>
      </c>
      <c r="V676" s="16"/>
      <c r="W676" s="16">
        <f t="shared" ca="1" si="16"/>
        <v>253</v>
      </c>
      <c r="X676" s="16" t="str">
        <f ca="1"/>
        <v>834-61-8124</v>
      </c>
      <c r="Y676" s="20">
        <f ca="1"/>
        <v>379.92149999999998</v>
      </c>
      <c r="Z676" s="16">
        <f ca="1"/>
        <v>7</v>
      </c>
      <c r="AA676" s="16"/>
      <c r="AB676" s="16"/>
      <c r="AC676" s="16"/>
      <c r="AE676" s="16"/>
    </row>
    <row r="677" spans="19:31" x14ac:dyDescent="0.3">
      <c r="S677" s="15" t="s">
        <v>603</v>
      </c>
      <c r="T677" s="13">
        <v>430.71</v>
      </c>
      <c r="U677" s="16">
        <v>5</v>
      </c>
      <c r="V677" s="16"/>
      <c r="W677" s="16">
        <f t="shared" ca="1" si="16"/>
        <v>215</v>
      </c>
      <c r="X677" s="16" t="str">
        <f ca="1"/>
        <v>834-83-1826</v>
      </c>
      <c r="Y677" s="20">
        <f ca="1"/>
        <v>430.71</v>
      </c>
      <c r="Z677" s="16">
        <f ca="1"/>
        <v>5</v>
      </c>
      <c r="AA677" s="16"/>
      <c r="AB677" s="16"/>
      <c r="AC677" s="16"/>
      <c r="AE677" s="16"/>
    </row>
    <row r="678" spans="19:31" x14ac:dyDescent="0.3">
      <c r="S678" s="15" t="s">
        <v>367</v>
      </c>
      <c r="T678" s="13">
        <v>77.174999999999997</v>
      </c>
      <c r="U678" s="16">
        <v>5</v>
      </c>
      <c r="V678" s="16"/>
      <c r="W678" s="16">
        <f t="shared" ca="1" si="16"/>
        <v>645</v>
      </c>
      <c r="X678" s="16" t="str">
        <f ca="1"/>
        <v>835-16-0096</v>
      </c>
      <c r="Y678" s="20">
        <f ca="1"/>
        <v>77.174999999999997</v>
      </c>
      <c r="Z678" s="16">
        <f ca="1"/>
        <v>5</v>
      </c>
      <c r="AA678" s="16"/>
      <c r="AB678" s="16"/>
      <c r="AC678" s="16"/>
      <c r="AE678" s="16"/>
    </row>
    <row r="679" spans="19:31" x14ac:dyDescent="0.3">
      <c r="S679" s="15" t="s">
        <v>259</v>
      </c>
      <c r="T679" s="13">
        <v>655.54650000000004</v>
      </c>
      <c r="U679" s="16">
        <v>9</v>
      </c>
      <c r="V679" s="16"/>
      <c r="W679" s="16">
        <f t="shared" ca="1" si="16"/>
        <v>95</v>
      </c>
      <c r="X679" s="16" t="str">
        <f ca="1"/>
        <v>836-82-5858</v>
      </c>
      <c r="Y679" s="20">
        <f ca="1"/>
        <v>655.54650000000004</v>
      </c>
      <c r="Z679" s="16">
        <f ca="1"/>
        <v>9</v>
      </c>
      <c r="AA679" s="16"/>
      <c r="AB679" s="16"/>
      <c r="AC679" s="16"/>
      <c r="AE679" s="16"/>
    </row>
    <row r="680" spans="19:31" x14ac:dyDescent="0.3">
      <c r="S680" s="15" t="s">
        <v>467</v>
      </c>
      <c r="T680" s="13">
        <v>49.811999999999998</v>
      </c>
      <c r="U680" s="16">
        <v>1</v>
      </c>
      <c r="V680" s="16"/>
      <c r="W680" s="16">
        <f t="shared" ca="1" si="16"/>
        <v>688</v>
      </c>
      <c r="X680" s="16" t="str">
        <f ca="1"/>
        <v>837-55-7229</v>
      </c>
      <c r="Y680" s="20">
        <f ca="1"/>
        <v>49.811999999999998</v>
      </c>
      <c r="Z680" s="16">
        <f ca="1"/>
        <v>1</v>
      </c>
      <c r="AA680" s="16"/>
      <c r="AB680" s="16"/>
      <c r="AC680" s="16"/>
      <c r="AE680" s="16"/>
    </row>
    <row r="681" spans="19:31" x14ac:dyDescent="0.3">
      <c r="S681" s="15" t="s">
        <v>98</v>
      </c>
      <c r="T681" s="13">
        <v>70.287000000000006</v>
      </c>
      <c r="U681" s="16">
        <v>2</v>
      </c>
      <c r="V681" s="16"/>
      <c r="W681" s="16">
        <f t="shared" ca="1" si="16"/>
        <v>663</v>
      </c>
      <c r="X681" s="16" t="str">
        <f ca="1"/>
        <v>838-78-4295</v>
      </c>
      <c r="Y681" s="20">
        <f ca="1"/>
        <v>70.287000000000006</v>
      </c>
      <c r="Z681" s="16">
        <f ca="1"/>
        <v>2</v>
      </c>
      <c r="AA681" s="16"/>
      <c r="AB681" s="16"/>
      <c r="AC681" s="16"/>
      <c r="AE681" s="16"/>
    </row>
    <row r="682" spans="19:31" x14ac:dyDescent="0.3">
      <c r="S682" s="15" t="s">
        <v>712</v>
      </c>
      <c r="T682" s="13">
        <v>26.795999999999999</v>
      </c>
      <c r="U682" s="16">
        <v>2</v>
      </c>
      <c r="V682" s="16"/>
      <c r="W682" s="16">
        <f t="shared" ca="1" si="16"/>
        <v>718</v>
      </c>
      <c r="X682" s="16" t="str">
        <f ca="1"/>
        <v>840-76-5966</v>
      </c>
      <c r="Y682" s="20">
        <f ca="1"/>
        <v>26.795999999999999</v>
      </c>
      <c r="Z682" s="16">
        <f ca="1"/>
        <v>2</v>
      </c>
      <c r="AA682" s="16"/>
      <c r="AB682" s="16"/>
      <c r="AC682" s="16"/>
      <c r="AE682" s="16"/>
    </row>
    <row r="683" spans="19:31" x14ac:dyDescent="0.3">
      <c r="S683" s="15" t="s">
        <v>577</v>
      </c>
      <c r="T683" s="13">
        <v>74.760000000000005</v>
      </c>
      <c r="U683" s="16">
        <v>1</v>
      </c>
      <c r="V683" s="16"/>
      <c r="W683" s="16">
        <f t="shared" ca="1" si="16"/>
        <v>654</v>
      </c>
      <c r="X683" s="16" t="str">
        <f ca="1"/>
        <v>841-18-8232</v>
      </c>
      <c r="Y683" s="20">
        <f ca="1"/>
        <v>74.760000000000005</v>
      </c>
      <c r="Z683" s="16">
        <f ca="1"/>
        <v>1</v>
      </c>
      <c r="AA683" s="16"/>
      <c r="AB683" s="16"/>
      <c r="AC683" s="16"/>
      <c r="AE683" s="16"/>
    </row>
    <row r="684" spans="19:31" x14ac:dyDescent="0.3">
      <c r="S684" s="15" t="s">
        <v>105</v>
      </c>
      <c r="T684" s="13">
        <v>478.233</v>
      </c>
      <c r="U684" s="16">
        <v>6</v>
      </c>
      <c r="V684" s="16"/>
      <c r="W684" s="16">
        <f t="shared" ca="1" si="16"/>
        <v>184</v>
      </c>
      <c r="X684" s="16" t="str">
        <f ca="1"/>
        <v>841-35-6630</v>
      </c>
      <c r="Y684" s="20">
        <f ca="1"/>
        <v>478.233</v>
      </c>
      <c r="Z684" s="16">
        <f ca="1"/>
        <v>6</v>
      </c>
      <c r="AA684" s="16"/>
      <c r="AB684" s="16"/>
      <c r="AC684" s="16"/>
      <c r="AE684" s="16"/>
    </row>
    <row r="685" spans="19:31" x14ac:dyDescent="0.3">
      <c r="S685" s="15" t="s">
        <v>682</v>
      </c>
      <c r="T685" s="13">
        <v>810.6</v>
      </c>
      <c r="U685" s="16">
        <v>10</v>
      </c>
      <c r="V685" s="16"/>
      <c r="W685" s="16">
        <f t="shared" ca="1" si="16"/>
        <v>42</v>
      </c>
      <c r="X685" s="16" t="str">
        <f ca="1"/>
        <v>842-40-8179</v>
      </c>
      <c r="Y685" s="20">
        <f ca="1"/>
        <v>810.6</v>
      </c>
      <c r="Z685" s="16">
        <f ca="1"/>
        <v>10</v>
      </c>
      <c r="AA685" s="16"/>
      <c r="AB685" s="16"/>
      <c r="AC685" s="16"/>
      <c r="AE685" s="16"/>
    </row>
    <row r="686" spans="19:31" x14ac:dyDescent="0.3">
      <c r="S686" s="15" t="s">
        <v>409</v>
      </c>
      <c r="T686" s="13">
        <v>334.34100000000001</v>
      </c>
      <c r="U686" s="16">
        <v>9</v>
      </c>
      <c r="V686" s="16"/>
      <c r="W686" s="16">
        <f t="shared" ca="1" si="16"/>
        <v>293</v>
      </c>
      <c r="X686" s="16" t="str">
        <f ca="1"/>
        <v>843-01-4703</v>
      </c>
      <c r="Y686" s="20">
        <f ca="1"/>
        <v>334.34100000000001</v>
      </c>
      <c r="Z686" s="16">
        <f ca="1"/>
        <v>9</v>
      </c>
      <c r="AA686" s="16"/>
      <c r="AB686" s="16"/>
      <c r="AC686" s="16"/>
      <c r="AE686" s="16"/>
    </row>
    <row r="687" spans="19:31" x14ac:dyDescent="0.3">
      <c r="S687" s="15" t="s">
        <v>283</v>
      </c>
      <c r="T687" s="13">
        <v>439.89749999999998</v>
      </c>
      <c r="U687" s="16">
        <v>9</v>
      </c>
      <c r="V687" s="16"/>
      <c r="W687" s="16">
        <f t="shared" ca="1" si="16"/>
        <v>209</v>
      </c>
      <c r="X687" s="16" t="str">
        <f ca="1"/>
        <v>845-51-0542</v>
      </c>
      <c r="Y687" s="20">
        <f ca="1"/>
        <v>439.89749999999998</v>
      </c>
      <c r="Z687" s="16">
        <f ca="1"/>
        <v>9</v>
      </c>
      <c r="AA687" s="16"/>
      <c r="AB687" s="16"/>
      <c r="AC687" s="16"/>
      <c r="AE687" s="16"/>
    </row>
    <row r="688" spans="19:31" x14ac:dyDescent="0.3">
      <c r="S688" s="15" t="s">
        <v>709</v>
      </c>
      <c r="T688" s="13">
        <v>688.71600000000001</v>
      </c>
      <c r="U688" s="16">
        <v>9</v>
      </c>
      <c r="V688" s="16"/>
      <c r="W688" s="16">
        <f t="shared" ca="1" si="16"/>
        <v>88</v>
      </c>
      <c r="X688" s="16" t="str">
        <f ca="1"/>
        <v>845-94-6841</v>
      </c>
      <c r="Y688" s="20">
        <f ca="1"/>
        <v>688.71600000000001</v>
      </c>
      <c r="Z688" s="16">
        <f ca="1"/>
        <v>9</v>
      </c>
      <c r="AA688" s="16"/>
      <c r="AB688" s="16"/>
      <c r="AC688" s="16"/>
      <c r="AE688" s="16"/>
    </row>
    <row r="689" spans="19:31" x14ac:dyDescent="0.3">
      <c r="S689" s="15" t="s">
        <v>747</v>
      </c>
      <c r="T689" s="13">
        <v>312.8895</v>
      </c>
      <c r="U689" s="16">
        <v>7</v>
      </c>
      <c r="V689" s="16"/>
      <c r="W689" s="16">
        <f t="shared" ca="1" si="16"/>
        <v>312</v>
      </c>
      <c r="X689" s="16" t="str">
        <f ca="1"/>
        <v>846-10-0341</v>
      </c>
      <c r="Y689" s="20">
        <f ca="1"/>
        <v>312.8895</v>
      </c>
      <c r="Z689" s="16">
        <f ca="1"/>
        <v>7</v>
      </c>
      <c r="AA689" s="16"/>
      <c r="AB689" s="16"/>
      <c r="AC689" s="16"/>
      <c r="AE689" s="16"/>
    </row>
    <row r="690" spans="19:31" x14ac:dyDescent="0.3">
      <c r="S690" s="15" t="s">
        <v>113</v>
      </c>
      <c r="T690" s="13">
        <v>304.54199999999997</v>
      </c>
      <c r="U690" s="16">
        <v>3</v>
      </c>
      <c r="V690" s="16"/>
      <c r="W690" s="16">
        <f t="shared" ca="1" si="16"/>
        <v>320</v>
      </c>
      <c r="X690" s="16" t="str">
        <f ca="1"/>
        <v>847-38-7188</v>
      </c>
      <c r="Y690" s="20">
        <f ca="1"/>
        <v>304.54199999999997</v>
      </c>
      <c r="Z690" s="16">
        <f ca="1"/>
        <v>3</v>
      </c>
      <c r="AA690" s="16"/>
      <c r="AB690" s="16"/>
      <c r="AC690" s="16"/>
      <c r="AE690" s="16"/>
    </row>
    <row r="691" spans="19:31" x14ac:dyDescent="0.3">
      <c r="S691" s="15" t="s">
        <v>451</v>
      </c>
      <c r="T691" s="13">
        <v>120.16200000000001</v>
      </c>
      <c r="U691" s="16">
        <v>2</v>
      </c>
      <c r="V691" s="16"/>
      <c r="W691" s="16">
        <f t="shared" ca="1" si="16"/>
        <v>570</v>
      </c>
      <c r="X691" s="16" t="str">
        <f ca="1"/>
        <v>848-07-1692</v>
      </c>
      <c r="Y691" s="20">
        <f ca="1"/>
        <v>120.16200000000001</v>
      </c>
      <c r="Z691" s="16">
        <f ca="1"/>
        <v>2</v>
      </c>
      <c r="AA691" s="16"/>
      <c r="AB691" s="16"/>
      <c r="AC691" s="16"/>
      <c r="AE691" s="16"/>
    </row>
    <row r="692" spans="19:31" x14ac:dyDescent="0.3">
      <c r="S692" s="15" t="s">
        <v>229</v>
      </c>
      <c r="T692" s="13">
        <v>91.77</v>
      </c>
      <c r="U692" s="16">
        <v>2</v>
      </c>
      <c r="V692" s="16"/>
      <c r="W692" s="16">
        <f t="shared" ca="1" si="16"/>
        <v>613</v>
      </c>
      <c r="X692" s="16" t="str">
        <f ca="1"/>
        <v>848-24-9445</v>
      </c>
      <c r="Y692" s="20">
        <f ca="1"/>
        <v>91.77</v>
      </c>
      <c r="Z692" s="16">
        <f ca="1"/>
        <v>2</v>
      </c>
      <c r="AA692" s="16"/>
      <c r="AB692" s="16"/>
      <c r="AC692" s="16"/>
      <c r="AE692" s="16"/>
    </row>
    <row r="693" spans="19:31" x14ac:dyDescent="0.3">
      <c r="S693" s="15" t="s">
        <v>342</v>
      </c>
      <c r="T693" s="13">
        <v>172.011</v>
      </c>
      <c r="U693" s="16">
        <v>2</v>
      </c>
      <c r="V693" s="16"/>
      <c r="W693" s="16">
        <f t="shared" ca="1" si="16"/>
        <v>487</v>
      </c>
      <c r="X693" s="16" t="str">
        <f ca="1"/>
        <v>848-42-2560</v>
      </c>
      <c r="Y693" s="20">
        <f ca="1"/>
        <v>172.011</v>
      </c>
      <c r="Z693" s="16">
        <f ca="1"/>
        <v>2</v>
      </c>
      <c r="AA693" s="16"/>
      <c r="AB693" s="16"/>
      <c r="AC693" s="16"/>
      <c r="AE693" s="16"/>
    </row>
    <row r="694" spans="19:31" x14ac:dyDescent="0.3">
      <c r="S694" s="15" t="s">
        <v>61</v>
      </c>
      <c r="T694" s="13">
        <v>235.2105</v>
      </c>
      <c r="U694" s="16">
        <v>9</v>
      </c>
      <c r="V694" s="16"/>
      <c r="W694" s="16">
        <f t="shared" ca="1" si="16"/>
        <v>395</v>
      </c>
      <c r="X694" s="16" t="str">
        <f ca="1"/>
        <v>848-62-7243</v>
      </c>
      <c r="Y694" s="20">
        <f ca="1"/>
        <v>235.2105</v>
      </c>
      <c r="Z694" s="16">
        <f ca="1"/>
        <v>9</v>
      </c>
      <c r="AA694" s="16"/>
      <c r="AB694" s="16"/>
      <c r="AC694" s="16"/>
      <c r="AE694" s="16"/>
    </row>
    <row r="695" spans="19:31" x14ac:dyDescent="0.3">
      <c r="S695" s="15" t="s">
        <v>293</v>
      </c>
      <c r="T695" s="13">
        <v>709.31700000000001</v>
      </c>
      <c r="U695" s="16">
        <v>9</v>
      </c>
      <c r="V695" s="16"/>
      <c r="W695" s="16">
        <f t="shared" ca="1" si="16"/>
        <v>79</v>
      </c>
      <c r="X695" s="16" t="str">
        <f ca="1"/>
        <v>850-41-9669</v>
      </c>
      <c r="Y695" s="20">
        <f ca="1"/>
        <v>709.31700000000001</v>
      </c>
      <c r="Z695" s="16">
        <f ca="1"/>
        <v>9</v>
      </c>
      <c r="AA695" s="16"/>
      <c r="AB695" s="16"/>
      <c r="AC695" s="16"/>
      <c r="AE695" s="16"/>
    </row>
    <row r="696" spans="19:31" x14ac:dyDescent="0.3">
      <c r="S696" s="15" t="s">
        <v>215</v>
      </c>
      <c r="T696" s="13">
        <v>162.75</v>
      </c>
      <c r="U696" s="16">
        <v>10</v>
      </c>
      <c r="V696" s="16"/>
      <c r="W696" s="16">
        <f t="shared" ca="1" si="16"/>
        <v>502</v>
      </c>
      <c r="X696" s="16" t="str">
        <f ca="1"/>
        <v>851-28-6367</v>
      </c>
      <c r="Y696" s="20">
        <f ca="1"/>
        <v>162.75</v>
      </c>
      <c r="Z696" s="16">
        <f ca="1"/>
        <v>10</v>
      </c>
      <c r="AA696" s="16"/>
      <c r="AB696" s="16"/>
      <c r="AC696" s="16"/>
      <c r="AE696" s="16"/>
    </row>
    <row r="697" spans="19:31" x14ac:dyDescent="0.3">
      <c r="S697" s="15" t="s">
        <v>634</v>
      </c>
      <c r="T697" s="13">
        <v>874.125</v>
      </c>
      <c r="U697" s="16">
        <v>10</v>
      </c>
      <c r="V697" s="16"/>
      <c r="W697" s="16">
        <f t="shared" ca="1" si="16"/>
        <v>26</v>
      </c>
      <c r="X697" s="16" t="str">
        <f ca="1"/>
        <v>852-62-7105</v>
      </c>
      <c r="Y697" s="20">
        <f ca="1"/>
        <v>874.125</v>
      </c>
      <c r="Z697" s="16">
        <f ca="1"/>
        <v>10</v>
      </c>
      <c r="AA697" s="16"/>
      <c r="AB697" s="16"/>
      <c r="AC697" s="16"/>
      <c r="AE697" s="16"/>
    </row>
    <row r="698" spans="19:31" x14ac:dyDescent="0.3">
      <c r="S698" s="15" t="s">
        <v>716</v>
      </c>
      <c r="T698" s="13">
        <v>271.27800000000002</v>
      </c>
      <c r="U698" s="16">
        <v>4</v>
      </c>
      <c r="V698" s="16"/>
      <c r="W698" s="16">
        <f t="shared" ca="1" si="16"/>
        <v>357</v>
      </c>
      <c r="X698" s="16" t="str">
        <f ca="1"/>
        <v>852-82-2749</v>
      </c>
      <c r="Y698" s="20">
        <f ca="1"/>
        <v>271.27800000000002</v>
      </c>
      <c r="Z698" s="16">
        <f ca="1"/>
        <v>4</v>
      </c>
      <c r="AA698" s="16"/>
      <c r="AB698" s="16"/>
      <c r="AC698" s="16"/>
      <c r="AE698" s="16"/>
    </row>
    <row r="699" spans="19:31" x14ac:dyDescent="0.3">
      <c r="S699" s="15" t="s">
        <v>96</v>
      </c>
      <c r="T699" s="13">
        <v>318.108</v>
      </c>
      <c r="U699" s="16">
        <v>4</v>
      </c>
      <c r="V699" s="16"/>
      <c r="W699" s="16">
        <f t="shared" ca="1" si="16"/>
        <v>306</v>
      </c>
      <c r="X699" s="16" t="str">
        <f ca="1"/>
        <v>853-23-2453</v>
      </c>
      <c r="Y699" s="20">
        <f ca="1"/>
        <v>318.108</v>
      </c>
      <c r="Z699" s="16">
        <f ca="1"/>
        <v>4</v>
      </c>
      <c r="AA699" s="16"/>
      <c r="AB699" s="16"/>
      <c r="AC699" s="16"/>
      <c r="AE699" s="16"/>
    </row>
    <row r="700" spans="19:31" x14ac:dyDescent="0.3">
      <c r="S700" s="15" t="s">
        <v>230</v>
      </c>
      <c r="T700" s="13">
        <v>26.554500000000001</v>
      </c>
      <c r="U700" s="16">
        <v>1</v>
      </c>
      <c r="V700" s="16"/>
      <c r="W700" s="16">
        <f t="shared" ca="1" si="16"/>
        <v>720</v>
      </c>
      <c r="X700" s="16" t="str">
        <f ca="1"/>
        <v>856-22-8149</v>
      </c>
      <c r="Y700" s="20">
        <f ca="1"/>
        <v>26.554500000000001</v>
      </c>
      <c r="Z700" s="16">
        <f ca="1"/>
        <v>1</v>
      </c>
      <c r="AA700" s="16"/>
      <c r="AB700" s="16"/>
      <c r="AC700" s="16"/>
      <c r="AE700" s="16"/>
    </row>
    <row r="701" spans="19:31" x14ac:dyDescent="0.3">
      <c r="S701" s="15" t="s">
        <v>565</v>
      </c>
      <c r="T701" s="13">
        <v>240.97499999999999</v>
      </c>
      <c r="U701" s="16">
        <v>10</v>
      </c>
      <c r="V701" s="16"/>
      <c r="W701" s="16">
        <f t="shared" ca="1" si="16"/>
        <v>388</v>
      </c>
      <c r="X701" s="16" t="str">
        <f ca="1"/>
        <v>857-67-9057</v>
      </c>
      <c r="Y701" s="20">
        <f ca="1"/>
        <v>240.97499999999999</v>
      </c>
      <c r="Z701" s="16">
        <f ca="1"/>
        <v>10</v>
      </c>
      <c r="AA701" s="16"/>
      <c r="AB701" s="16"/>
      <c r="AC701" s="16"/>
      <c r="AE701" s="16"/>
    </row>
    <row r="702" spans="19:31" x14ac:dyDescent="0.3">
      <c r="S702" s="15" t="s">
        <v>708</v>
      </c>
      <c r="T702" s="13">
        <v>82.887</v>
      </c>
      <c r="U702" s="16">
        <v>2</v>
      </c>
      <c r="V702" s="16"/>
      <c r="W702" s="16">
        <f t="shared" ca="1" si="16"/>
        <v>629</v>
      </c>
      <c r="X702" s="16" t="str">
        <f ca="1"/>
        <v>860-73-6466</v>
      </c>
      <c r="Y702" s="20">
        <f ca="1"/>
        <v>82.887</v>
      </c>
      <c r="Z702" s="16">
        <f ca="1"/>
        <v>2</v>
      </c>
      <c r="AA702" s="16"/>
      <c r="AB702" s="16"/>
      <c r="AC702" s="16"/>
      <c r="AE702" s="16"/>
    </row>
    <row r="703" spans="19:31" x14ac:dyDescent="0.3">
      <c r="S703" s="15" t="s">
        <v>383</v>
      </c>
      <c r="T703" s="13">
        <v>1042.6500000000001</v>
      </c>
      <c r="U703" s="16">
        <v>10</v>
      </c>
      <c r="V703" s="16"/>
      <c r="W703" s="16">
        <f t="shared" ca="1" si="16"/>
        <v>1</v>
      </c>
      <c r="X703" s="16" t="str">
        <f ca="1"/>
        <v>860-79-0874</v>
      </c>
      <c r="Y703" s="20">
        <f ca="1"/>
        <v>1042.6500000000001</v>
      </c>
      <c r="Z703" s="16">
        <f ca="1"/>
        <v>10</v>
      </c>
      <c r="AA703" s="16"/>
      <c r="AB703" s="16"/>
      <c r="AC703" s="16"/>
      <c r="AE703" s="16"/>
    </row>
    <row r="704" spans="19:31" x14ac:dyDescent="0.3">
      <c r="S704" s="15" t="s">
        <v>141</v>
      </c>
      <c r="T704" s="13">
        <v>860.68499999999995</v>
      </c>
      <c r="U704" s="16">
        <v>10</v>
      </c>
      <c r="V704" s="16"/>
      <c r="W704" s="16">
        <f t="shared" ca="1" si="16"/>
        <v>28</v>
      </c>
      <c r="X704" s="16" t="str">
        <f ca="1"/>
        <v>861-77-0145</v>
      </c>
      <c r="Y704" s="20">
        <f ca="1"/>
        <v>860.68499999999995</v>
      </c>
      <c r="Z704" s="16">
        <f ca="1"/>
        <v>10</v>
      </c>
      <c r="AA704" s="16"/>
      <c r="AB704" s="16"/>
      <c r="AC704" s="16"/>
      <c r="AE704" s="16"/>
    </row>
    <row r="705" spans="19:31" x14ac:dyDescent="0.3">
      <c r="S705" s="15" t="s">
        <v>540</v>
      </c>
      <c r="T705" s="13">
        <v>529.51499999999999</v>
      </c>
      <c r="U705" s="16">
        <v>6</v>
      </c>
      <c r="V705" s="16"/>
      <c r="W705" s="16">
        <f t="shared" ca="1" si="16"/>
        <v>150</v>
      </c>
      <c r="X705" s="16" t="str">
        <f ca="1"/>
        <v>862-17-9201</v>
      </c>
      <c r="Y705" s="20">
        <f ca="1"/>
        <v>529.51499999999999</v>
      </c>
      <c r="Z705" s="16">
        <f ca="1"/>
        <v>6</v>
      </c>
      <c r="AA705" s="16"/>
      <c r="AB705" s="16"/>
      <c r="AC705" s="16"/>
      <c r="AE705" s="16"/>
    </row>
    <row r="706" spans="19:31" x14ac:dyDescent="0.3">
      <c r="S706" s="15" t="s">
        <v>530</v>
      </c>
      <c r="T706" s="13">
        <v>568.51199999999994</v>
      </c>
      <c r="U706" s="16">
        <v>6</v>
      </c>
      <c r="V706" s="16"/>
      <c r="W706" s="16">
        <f t="shared" ca="1" si="16"/>
        <v>130</v>
      </c>
      <c r="X706" s="16" t="str">
        <f ca="1"/>
        <v>862-59-8517</v>
      </c>
      <c r="Y706" s="20">
        <f ca="1"/>
        <v>568.51199999999994</v>
      </c>
      <c r="Z706" s="16">
        <f ca="1"/>
        <v>6</v>
      </c>
      <c r="AA706" s="16"/>
      <c r="AB706" s="16"/>
      <c r="AC706" s="16"/>
      <c r="AE706" s="16"/>
    </row>
    <row r="707" spans="19:31" x14ac:dyDescent="0.3">
      <c r="S707" s="15" t="s">
        <v>130</v>
      </c>
      <c r="T707" s="13">
        <v>166.16249999999999</v>
      </c>
      <c r="U707" s="16">
        <v>3</v>
      </c>
      <c r="V707" s="16"/>
      <c r="W707" s="16">
        <f t="shared" ref="W707:W738" ca="1" si="17">RANK(Y:Y,Y:Y)</f>
        <v>494</v>
      </c>
      <c r="X707" s="16" t="str">
        <f ca="1"/>
        <v>865-92-6136</v>
      </c>
      <c r="Y707" s="20">
        <f ca="1"/>
        <v>166.16249999999999</v>
      </c>
      <c r="Z707" s="16">
        <f ca="1"/>
        <v>3</v>
      </c>
      <c r="AA707" s="16"/>
      <c r="AB707" s="16"/>
      <c r="AC707" s="16"/>
      <c r="AE707" s="16"/>
    </row>
    <row r="708" spans="19:31" x14ac:dyDescent="0.3">
      <c r="S708" s="15" t="s">
        <v>279</v>
      </c>
      <c r="T708" s="13">
        <v>256.41000000000003</v>
      </c>
      <c r="U708" s="16">
        <v>3</v>
      </c>
      <c r="V708" s="16"/>
      <c r="W708" s="16">
        <f t="shared" ca="1" si="17"/>
        <v>371</v>
      </c>
      <c r="X708" s="16" t="str">
        <f ca="1"/>
        <v>866-05-7563</v>
      </c>
      <c r="Y708" s="20">
        <f ca="1"/>
        <v>256.41000000000003</v>
      </c>
      <c r="Z708" s="16">
        <f ca="1"/>
        <v>3</v>
      </c>
      <c r="AA708" s="16"/>
      <c r="AB708" s="16"/>
      <c r="AC708" s="16"/>
      <c r="AE708" s="16"/>
    </row>
    <row r="709" spans="19:31" x14ac:dyDescent="0.3">
      <c r="S709" s="15" t="s">
        <v>594</v>
      </c>
      <c r="T709" s="13">
        <v>936.6</v>
      </c>
      <c r="U709" s="16">
        <v>10</v>
      </c>
      <c r="V709" s="16"/>
      <c r="W709" s="16">
        <f t="shared" ca="1" si="17"/>
        <v>16</v>
      </c>
      <c r="X709" s="16" t="str">
        <f ca="1"/>
        <v>866-99-7614</v>
      </c>
      <c r="Y709" s="20">
        <f ca="1"/>
        <v>936.6</v>
      </c>
      <c r="Z709" s="16">
        <f ca="1"/>
        <v>10</v>
      </c>
      <c r="AA709" s="16"/>
      <c r="AB709" s="16"/>
      <c r="AC709" s="16"/>
      <c r="AE709" s="16"/>
    </row>
    <row r="710" spans="19:31" x14ac:dyDescent="0.3">
      <c r="S710" s="15" t="s">
        <v>750</v>
      </c>
      <c r="T710" s="13">
        <v>165.9</v>
      </c>
      <c r="U710" s="16">
        <v>10</v>
      </c>
      <c r="V710" s="16"/>
      <c r="W710" s="16">
        <f t="shared" ca="1" si="17"/>
        <v>496</v>
      </c>
      <c r="X710" s="16" t="str">
        <f ca="1"/>
        <v>867-47-1948</v>
      </c>
      <c r="Y710" s="20">
        <f ca="1"/>
        <v>165.9</v>
      </c>
      <c r="Z710" s="16">
        <f ca="1"/>
        <v>10</v>
      </c>
      <c r="AA710" s="16"/>
      <c r="AB710" s="16"/>
      <c r="AC710" s="16"/>
      <c r="AE710" s="16"/>
    </row>
    <row r="711" spans="19:31" x14ac:dyDescent="0.3">
      <c r="S711" s="15" t="s">
        <v>415</v>
      </c>
      <c r="T711" s="13">
        <v>523.37249999999995</v>
      </c>
      <c r="U711" s="16">
        <v>5</v>
      </c>
      <c r="V711" s="16"/>
      <c r="W711" s="16">
        <f t="shared" ca="1" si="17"/>
        <v>154</v>
      </c>
      <c r="X711" s="16" t="str">
        <f ca="1"/>
        <v>868-52-7573</v>
      </c>
      <c r="Y711" s="20">
        <f ca="1"/>
        <v>523.37249999999995</v>
      </c>
      <c r="Z711" s="16">
        <f ca="1"/>
        <v>5</v>
      </c>
      <c r="AA711" s="16"/>
      <c r="AB711" s="16"/>
      <c r="AC711" s="16"/>
      <c r="AE711" s="16"/>
    </row>
    <row r="712" spans="19:31" x14ac:dyDescent="0.3">
      <c r="S712" s="15" t="s">
        <v>363</v>
      </c>
      <c r="T712" s="13">
        <v>208.089</v>
      </c>
      <c r="U712" s="16">
        <v>9</v>
      </c>
      <c r="V712" s="16"/>
      <c r="W712" s="16">
        <f t="shared" ca="1" si="17"/>
        <v>431</v>
      </c>
      <c r="X712" s="16" t="str">
        <f ca="1"/>
        <v>868-81-1752</v>
      </c>
      <c r="Y712" s="20">
        <f ca="1"/>
        <v>208.089</v>
      </c>
      <c r="Z712" s="16">
        <f ca="1"/>
        <v>9</v>
      </c>
      <c r="AA712" s="16"/>
      <c r="AB712" s="16"/>
      <c r="AC712" s="16"/>
      <c r="AE712" s="16"/>
    </row>
    <row r="713" spans="19:31" x14ac:dyDescent="0.3">
      <c r="S713" s="15" t="s">
        <v>158</v>
      </c>
      <c r="T713" s="13">
        <v>169.3125</v>
      </c>
      <c r="U713" s="16">
        <v>5</v>
      </c>
      <c r="V713" s="16"/>
      <c r="W713" s="16">
        <f t="shared" ca="1" si="17"/>
        <v>490</v>
      </c>
      <c r="X713" s="16" t="str">
        <f ca="1"/>
        <v>870-54-3162</v>
      </c>
      <c r="Y713" s="20">
        <f ca="1"/>
        <v>169.3125</v>
      </c>
      <c r="Z713" s="16">
        <f ca="1"/>
        <v>5</v>
      </c>
      <c r="AA713" s="16"/>
      <c r="AB713" s="16"/>
      <c r="AC713" s="16"/>
      <c r="AE713" s="16"/>
    </row>
    <row r="714" spans="19:31" x14ac:dyDescent="0.3">
      <c r="S714" s="15" t="s">
        <v>112</v>
      </c>
      <c r="T714" s="13">
        <v>624.89700000000005</v>
      </c>
      <c r="U714" s="16">
        <v>6</v>
      </c>
      <c r="V714" s="16"/>
      <c r="W714" s="16">
        <f t="shared" ca="1" si="17"/>
        <v>106</v>
      </c>
      <c r="X714" s="16" t="str">
        <f ca="1"/>
        <v>870-72-4431</v>
      </c>
      <c r="Y714" s="20">
        <f ca="1"/>
        <v>624.89700000000005</v>
      </c>
      <c r="Z714" s="16">
        <f ca="1"/>
        <v>6</v>
      </c>
      <c r="AA714" s="16"/>
      <c r="AB714" s="16"/>
      <c r="AC714" s="16"/>
      <c r="AE714" s="16"/>
    </row>
    <row r="715" spans="19:31" x14ac:dyDescent="0.3">
      <c r="S715" s="15" t="s">
        <v>345</v>
      </c>
      <c r="T715" s="13">
        <v>74.707499999999996</v>
      </c>
      <c r="U715" s="16">
        <v>5</v>
      </c>
      <c r="V715" s="16"/>
      <c r="W715" s="16">
        <f t="shared" ca="1" si="17"/>
        <v>655</v>
      </c>
      <c r="X715" s="16" t="str">
        <f ca="1"/>
        <v>870-76-1733</v>
      </c>
      <c r="Y715" s="20">
        <f ca="1"/>
        <v>74.707499999999996</v>
      </c>
      <c r="Z715" s="16">
        <f ca="1"/>
        <v>5</v>
      </c>
      <c r="AA715" s="16"/>
      <c r="AB715" s="16"/>
      <c r="AC715" s="16"/>
      <c r="AE715" s="16"/>
    </row>
    <row r="716" spans="19:31" x14ac:dyDescent="0.3">
      <c r="S716" s="15" t="s">
        <v>129</v>
      </c>
      <c r="T716" s="13">
        <v>78.435000000000002</v>
      </c>
      <c r="U716" s="16">
        <v>6</v>
      </c>
      <c r="V716" s="16"/>
      <c r="W716" s="16">
        <f t="shared" ca="1" si="17"/>
        <v>639</v>
      </c>
      <c r="X716" s="16" t="str">
        <f ca="1"/>
        <v>871-39-9221</v>
      </c>
      <c r="Y716" s="20">
        <f ca="1"/>
        <v>78.435000000000002</v>
      </c>
      <c r="Z716" s="16">
        <f ca="1"/>
        <v>6</v>
      </c>
      <c r="AA716" s="16"/>
      <c r="AB716" s="16"/>
      <c r="AC716" s="16"/>
      <c r="AE716" s="16"/>
    </row>
    <row r="717" spans="19:31" x14ac:dyDescent="0.3">
      <c r="S717" s="15" t="s">
        <v>62</v>
      </c>
      <c r="T717" s="13">
        <v>494.1825</v>
      </c>
      <c r="U717" s="16">
        <v>5</v>
      </c>
      <c r="V717" s="16"/>
      <c r="W717" s="16">
        <f t="shared" ca="1" si="17"/>
        <v>171</v>
      </c>
      <c r="X717" s="16" t="str">
        <f ca="1"/>
        <v>871-79-8483</v>
      </c>
      <c r="Y717" s="20">
        <f ca="1"/>
        <v>494.1825</v>
      </c>
      <c r="Z717" s="16">
        <f ca="1"/>
        <v>5</v>
      </c>
      <c r="AA717" s="16"/>
      <c r="AB717" s="16"/>
      <c r="AC717" s="16"/>
      <c r="AE717" s="16"/>
    </row>
    <row r="718" spans="19:31" x14ac:dyDescent="0.3">
      <c r="S718" s="15" t="s">
        <v>124</v>
      </c>
      <c r="T718" s="13">
        <v>161.553</v>
      </c>
      <c r="U718" s="16">
        <v>7</v>
      </c>
      <c r="V718" s="16"/>
      <c r="W718" s="16">
        <f t="shared" ca="1" si="17"/>
        <v>504</v>
      </c>
      <c r="X718" s="16" t="str">
        <f ca="1"/>
        <v>873-51-0671</v>
      </c>
      <c r="Y718" s="20">
        <f ca="1"/>
        <v>161.553</v>
      </c>
      <c r="Z718" s="16">
        <f ca="1"/>
        <v>7</v>
      </c>
      <c r="AA718" s="16"/>
      <c r="AB718" s="16"/>
      <c r="AC718" s="16"/>
      <c r="AE718" s="16"/>
    </row>
    <row r="719" spans="19:31" x14ac:dyDescent="0.3">
      <c r="S719" s="15" t="s">
        <v>375</v>
      </c>
      <c r="T719" s="13">
        <v>565.21500000000003</v>
      </c>
      <c r="U719" s="16">
        <v>7</v>
      </c>
      <c r="V719" s="16"/>
      <c r="W719" s="16">
        <f t="shared" ca="1" si="17"/>
        <v>131</v>
      </c>
      <c r="X719" s="16" t="str">
        <f ca="1"/>
        <v>873-95-4984</v>
      </c>
      <c r="Y719" s="20">
        <f ca="1"/>
        <v>565.21500000000003</v>
      </c>
      <c r="Z719" s="16">
        <f ca="1"/>
        <v>7</v>
      </c>
      <c r="AA719" s="16"/>
      <c r="AB719" s="16"/>
      <c r="AC719" s="16"/>
      <c r="AE719" s="16"/>
    </row>
    <row r="720" spans="19:31" x14ac:dyDescent="0.3">
      <c r="S720" s="15" t="s">
        <v>687</v>
      </c>
      <c r="T720" s="13">
        <v>98.049000000000007</v>
      </c>
      <c r="U720" s="16">
        <v>1</v>
      </c>
      <c r="V720" s="16"/>
      <c r="W720" s="16">
        <f t="shared" ca="1" si="17"/>
        <v>598</v>
      </c>
      <c r="X720" s="16" t="str">
        <f ca="1"/>
        <v>875-31-8302</v>
      </c>
      <c r="Y720" s="20">
        <f ca="1"/>
        <v>98.049000000000007</v>
      </c>
      <c r="Z720" s="16">
        <f ca="1"/>
        <v>1</v>
      </c>
      <c r="AA720" s="16"/>
      <c r="AB720" s="16"/>
      <c r="AC720" s="16"/>
      <c r="AE720" s="16"/>
    </row>
    <row r="721" spans="19:31" x14ac:dyDescent="0.3">
      <c r="S721" s="15" t="s">
        <v>236</v>
      </c>
      <c r="T721" s="13">
        <v>271.95</v>
      </c>
      <c r="U721" s="16">
        <v>10</v>
      </c>
      <c r="V721" s="16"/>
      <c r="W721" s="16">
        <f t="shared" ca="1" si="17"/>
        <v>355</v>
      </c>
      <c r="X721" s="16" t="str">
        <f ca="1"/>
        <v>875-46-5808</v>
      </c>
      <c r="Y721" s="20">
        <f ca="1"/>
        <v>271.95</v>
      </c>
      <c r="Z721" s="16">
        <f ca="1"/>
        <v>10</v>
      </c>
      <c r="AA721" s="16"/>
      <c r="AB721" s="16"/>
      <c r="AC721" s="16"/>
      <c r="AE721" s="16"/>
    </row>
    <row r="722" spans="19:31" x14ac:dyDescent="0.3">
      <c r="S722" s="15" t="s">
        <v>97</v>
      </c>
      <c r="T722" s="13">
        <v>166.63499999999999</v>
      </c>
      <c r="U722" s="16">
        <v>10</v>
      </c>
      <c r="V722" s="16"/>
      <c r="W722" s="16">
        <f t="shared" ca="1" si="17"/>
        <v>492</v>
      </c>
      <c r="X722" s="16" t="str">
        <f ca="1"/>
        <v>877-22-3308</v>
      </c>
      <c r="Y722" s="20">
        <f ca="1"/>
        <v>166.63499999999999</v>
      </c>
      <c r="Z722" s="16">
        <f ca="1"/>
        <v>10</v>
      </c>
      <c r="AA722" s="16"/>
      <c r="AB722" s="16"/>
      <c r="AC722" s="16"/>
      <c r="AE722" s="16"/>
    </row>
    <row r="723" spans="19:31" x14ac:dyDescent="0.3">
      <c r="S723" s="15" t="s">
        <v>498</v>
      </c>
      <c r="T723" s="13">
        <v>572.77499999999998</v>
      </c>
      <c r="U723" s="16">
        <v>10</v>
      </c>
      <c r="V723" s="16"/>
      <c r="W723" s="16">
        <f t="shared" ca="1" si="17"/>
        <v>127</v>
      </c>
      <c r="X723" s="16" t="str">
        <f ca="1"/>
        <v>878-30-2331</v>
      </c>
      <c r="Y723" s="20">
        <f ca="1"/>
        <v>572.77499999999998</v>
      </c>
      <c r="Z723" s="16">
        <f ca="1"/>
        <v>10</v>
      </c>
      <c r="AA723" s="16"/>
      <c r="AB723" s="16"/>
      <c r="AC723" s="16"/>
      <c r="AE723" s="16"/>
    </row>
    <row r="724" spans="19:31" x14ac:dyDescent="0.3">
      <c r="S724" s="15" t="s">
        <v>625</v>
      </c>
      <c r="T724" s="13">
        <v>236.88</v>
      </c>
      <c r="U724" s="16">
        <v>3</v>
      </c>
      <c r="V724" s="16"/>
      <c r="W724" s="16">
        <f t="shared" ca="1" si="17"/>
        <v>392</v>
      </c>
      <c r="X724" s="16" t="str">
        <f ca="1"/>
        <v>880-35-0356</v>
      </c>
      <c r="Y724" s="20">
        <f ca="1"/>
        <v>236.88</v>
      </c>
      <c r="Z724" s="16">
        <f ca="1"/>
        <v>3</v>
      </c>
      <c r="AA724" s="16"/>
      <c r="AB724" s="16"/>
      <c r="AC724" s="16"/>
      <c r="AE724" s="16"/>
    </row>
    <row r="725" spans="19:31" x14ac:dyDescent="0.3">
      <c r="S725" s="15" t="s">
        <v>438</v>
      </c>
      <c r="T725" s="13">
        <v>282.49200000000002</v>
      </c>
      <c r="U725" s="16">
        <v>4</v>
      </c>
      <c r="V725" s="16"/>
      <c r="W725" s="16">
        <f t="shared" ca="1" si="17"/>
        <v>341</v>
      </c>
      <c r="X725" s="16" t="str">
        <f ca="1"/>
        <v>882-40-4577</v>
      </c>
      <c r="Y725" s="20">
        <f ca="1"/>
        <v>282.49200000000002</v>
      </c>
      <c r="Z725" s="16">
        <f ca="1"/>
        <v>4</v>
      </c>
      <c r="AA725" s="16"/>
      <c r="AB725" s="16"/>
      <c r="AC725" s="16"/>
      <c r="AE725" s="16"/>
    </row>
    <row r="726" spans="19:31" x14ac:dyDescent="0.3">
      <c r="S726" s="15" t="s">
        <v>285</v>
      </c>
      <c r="T726" s="13">
        <v>30.219000000000001</v>
      </c>
      <c r="U726" s="16">
        <v>2</v>
      </c>
      <c r="V726" s="16"/>
      <c r="W726" s="16">
        <f t="shared" ca="1" si="17"/>
        <v>716</v>
      </c>
      <c r="X726" s="16" t="str">
        <f ca="1"/>
        <v>883-17-4236</v>
      </c>
      <c r="Y726" s="20">
        <f ca="1"/>
        <v>30.219000000000001</v>
      </c>
      <c r="Z726" s="16">
        <f ca="1"/>
        <v>2</v>
      </c>
      <c r="AA726" s="16"/>
      <c r="AB726" s="16"/>
      <c r="AC726" s="16"/>
      <c r="AE726" s="16"/>
    </row>
    <row r="727" spans="19:31" x14ac:dyDescent="0.3">
      <c r="S727" s="15" t="s">
        <v>759</v>
      </c>
      <c r="T727" s="13">
        <v>104.83199999999999</v>
      </c>
      <c r="U727" s="16">
        <v>2</v>
      </c>
      <c r="V727" s="16"/>
      <c r="W727" s="16">
        <f t="shared" ca="1" si="17"/>
        <v>584</v>
      </c>
      <c r="X727" s="16" t="str">
        <f ca="1"/>
        <v>883-69-1285</v>
      </c>
      <c r="Y727" s="20">
        <f ca="1"/>
        <v>104.83199999999999</v>
      </c>
      <c r="Z727" s="16">
        <f ca="1"/>
        <v>2</v>
      </c>
      <c r="AA727" s="16"/>
      <c r="AB727" s="16"/>
      <c r="AC727" s="16"/>
      <c r="AE727" s="16"/>
    </row>
    <row r="728" spans="19:31" x14ac:dyDescent="0.3">
      <c r="S728" s="15" t="s">
        <v>427</v>
      </c>
      <c r="T728" s="13">
        <v>83.727000000000004</v>
      </c>
      <c r="U728" s="16">
        <v>1</v>
      </c>
      <c r="V728" s="16"/>
      <c r="W728" s="16">
        <f t="shared" ca="1" si="17"/>
        <v>627</v>
      </c>
      <c r="X728" s="16" t="str">
        <f ca="1"/>
        <v>885-17-6250</v>
      </c>
      <c r="Y728" s="20">
        <f ca="1"/>
        <v>83.727000000000004</v>
      </c>
      <c r="Z728" s="16">
        <f ca="1"/>
        <v>1</v>
      </c>
      <c r="AA728" s="16"/>
      <c r="AB728" s="16"/>
      <c r="AC728" s="16"/>
      <c r="AE728" s="16"/>
    </row>
    <row r="729" spans="19:31" x14ac:dyDescent="0.3">
      <c r="S729" s="15" t="s">
        <v>717</v>
      </c>
      <c r="T729" s="13">
        <v>54.967500000000001</v>
      </c>
      <c r="U729" s="16">
        <v>1</v>
      </c>
      <c r="V729" s="16"/>
      <c r="W729" s="16">
        <f t="shared" ca="1" si="17"/>
        <v>682</v>
      </c>
      <c r="X729" s="16" t="str">
        <f ca="1"/>
        <v>885-56-0389</v>
      </c>
      <c r="Y729" s="20">
        <f ca="1"/>
        <v>54.967500000000001</v>
      </c>
      <c r="Z729" s="16">
        <f ca="1"/>
        <v>1</v>
      </c>
      <c r="AA729" s="16"/>
      <c r="AB729" s="16"/>
      <c r="AC729" s="16"/>
      <c r="AE729" s="16"/>
    </row>
    <row r="730" spans="19:31" x14ac:dyDescent="0.3">
      <c r="S730" s="15" t="s">
        <v>735</v>
      </c>
      <c r="T730" s="13">
        <v>611.07899999999995</v>
      </c>
      <c r="U730" s="16">
        <v>7</v>
      </c>
      <c r="V730" s="16"/>
      <c r="W730" s="16">
        <f t="shared" ca="1" si="17"/>
        <v>110</v>
      </c>
      <c r="X730" s="16" t="str">
        <f ca="1"/>
        <v>887-42-0517</v>
      </c>
      <c r="Y730" s="20">
        <f ca="1"/>
        <v>611.07899999999995</v>
      </c>
      <c r="Z730" s="16">
        <f ca="1"/>
        <v>7</v>
      </c>
      <c r="AA730" s="16"/>
      <c r="AB730" s="16"/>
      <c r="AC730" s="16"/>
      <c r="AE730" s="16"/>
    </row>
    <row r="731" spans="19:31" x14ac:dyDescent="0.3">
      <c r="S731" s="15" t="s">
        <v>243</v>
      </c>
      <c r="T731" s="13">
        <v>247.87350000000001</v>
      </c>
      <c r="U731" s="16">
        <v>9</v>
      </c>
      <c r="V731" s="16"/>
      <c r="W731" s="16">
        <f t="shared" ca="1" si="17"/>
        <v>382</v>
      </c>
      <c r="X731" s="16" t="str">
        <f ca="1"/>
        <v>888-02-0338</v>
      </c>
      <c r="Y731" s="20">
        <f ca="1"/>
        <v>247.87350000000001</v>
      </c>
      <c r="Z731" s="16">
        <f ca="1"/>
        <v>9</v>
      </c>
      <c r="AA731" s="16"/>
      <c r="AB731" s="16"/>
      <c r="AC731" s="16"/>
      <c r="AE731" s="16"/>
    </row>
    <row r="732" spans="19:31" x14ac:dyDescent="0.3">
      <c r="S732" s="15" t="s">
        <v>388</v>
      </c>
      <c r="T732" s="13">
        <v>374.38799999999998</v>
      </c>
      <c r="U732" s="16">
        <v>4</v>
      </c>
      <c r="V732" s="16"/>
      <c r="W732" s="16">
        <f t="shared" ca="1" si="17"/>
        <v>257</v>
      </c>
      <c r="X732" s="16" t="str">
        <f ca="1"/>
        <v>889-04-9723</v>
      </c>
      <c r="Y732" s="20">
        <f ca="1"/>
        <v>374.38799999999998</v>
      </c>
      <c r="Z732" s="16">
        <f ca="1"/>
        <v>4</v>
      </c>
      <c r="AA732" s="16"/>
      <c r="AB732" s="16"/>
      <c r="AC732" s="16"/>
      <c r="AE732" s="16"/>
    </row>
    <row r="733" spans="19:31" x14ac:dyDescent="0.3">
      <c r="S733" s="15" t="s">
        <v>483</v>
      </c>
      <c r="T733" s="13">
        <v>470.673</v>
      </c>
      <c r="U733" s="16">
        <v>6</v>
      </c>
      <c r="V733" s="16"/>
      <c r="W733" s="16">
        <f t="shared" ca="1" si="17"/>
        <v>190</v>
      </c>
      <c r="X733" s="16" t="str">
        <f ca="1"/>
        <v>891-01-7034</v>
      </c>
      <c r="Y733" s="20">
        <f ca="1"/>
        <v>470.673</v>
      </c>
      <c r="Z733" s="16">
        <f ca="1"/>
        <v>6</v>
      </c>
      <c r="AA733" s="16"/>
      <c r="AB733" s="16"/>
      <c r="AC733" s="16"/>
      <c r="AE733" s="16"/>
    </row>
    <row r="734" spans="19:31" x14ac:dyDescent="0.3">
      <c r="S734" s="15" t="s">
        <v>247</v>
      </c>
      <c r="T734" s="13">
        <v>217.6335</v>
      </c>
      <c r="U734" s="16">
        <v>7</v>
      </c>
      <c r="V734" s="16"/>
      <c r="W734" s="16">
        <f t="shared" ca="1" si="17"/>
        <v>410</v>
      </c>
      <c r="X734" s="16" t="str">
        <f ca="1"/>
        <v>891-58-8335</v>
      </c>
      <c r="Y734" s="20">
        <f ca="1"/>
        <v>217.6335</v>
      </c>
      <c r="Z734" s="16">
        <f ca="1"/>
        <v>7</v>
      </c>
      <c r="AA734" s="16"/>
      <c r="AB734" s="16"/>
      <c r="AC734" s="16"/>
      <c r="AE734" s="16"/>
    </row>
    <row r="735" spans="19:31" x14ac:dyDescent="0.3">
      <c r="S735" s="15" t="s">
        <v>567</v>
      </c>
      <c r="T735" s="13">
        <v>148.68</v>
      </c>
      <c r="U735" s="16">
        <v>5</v>
      </c>
      <c r="V735" s="16"/>
      <c r="W735" s="16">
        <f t="shared" ca="1" si="17"/>
        <v>525</v>
      </c>
      <c r="X735" s="16" t="str">
        <f ca="1"/>
        <v>892-05-6689</v>
      </c>
      <c r="Y735" s="20">
        <f ca="1"/>
        <v>148.68</v>
      </c>
      <c r="Z735" s="16">
        <f ca="1"/>
        <v>5</v>
      </c>
      <c r="AA735" s="16"/>
      <c r="AB735" s="16"/>
      <c r="AC735" s="16"/>
      <c r="AE735" s="16"/>
    </row>
    <row r="736" spans="19:31" x14ac:dyDescent="0.3">
      <c r="S736" s="15" t="s">
        <v>193</v>
      </c>
      <c r="T736" s="13">
        <v>362.71199999999999</v>
      </c>
      <c r="U736" s="16">
        <v>8</v>
      </c>
      <c r="V736" s="16"/>
      <c r="W736" s="16">
        <f t="shared" ca="1" si="17"/>
        <v>265</v>
      </c>
      <c r="X736" s="16" t="str">
        <f ca="1"/>
        <v>894-41-5205</v>
      </c>
      <c r="Y736" s="20">
        <f ca="1"/>
        <v>362.71199999999999</v>
      </c>
      <c r="Z736" s="16">
        <f ca="1"/>
        <v>8</v>
      </c>
      <c r="AA736" s="16"/>
      <c r="AB736" s="16"/>
      <c r="AC736" s="16"/>
      <c r="AE736" s="16"/>
    </row>
    <row r="737" spans="19:31" x14ac:dyDescent="0.3">
      <c r="S737" s="15" t="s">
        <v>218</v>
      </c>
      <c r="T737" s="13">
        <v>56.951999999999998</v>
      </c>
      <c r="U737" s="16">
        <v>3</v>
      </c>
      <c r="V737" s="16"/>
      <c r="W737" s="16">
        <f t="shared" ca="1" si="17"/>
        <v>677</v>
      </c>
      <c r="X737" s="16" t="str">
        <f ca="1"/>
        <v>895-66-0685</v>
      </c>
      <c r="Y737" s="20">
        <f ca="1"/>
        <v>56.951999999999998</v>
      </c>
      <c r="Z737" s="16">
        <f ca="1"/>
        <v>3</v>
      </c>
      <c r="AA737" s="16"/>
      <c r="AB737" s="16"/>
      <c r="AC737" s="16"/>
      <c r="AE737" s="16"/>
    </row>
    <row r="738" spans="19:31" x14ac:dyDescent="0.3">
      <c r="S738" s="15" t="s">
        <v>369</v>
      </c>
      <c r="T738" s="13">
        <v>721.98</v>
      </c>
      <c r="U738" s="16">
        <v>9</v>
      </c>
      <c r="V738" s="16"/>
      <c r="W738" s="16">
        <f t="shared" ca="1" si="17"/>
        <v>76</v>
      </c>
      <c r="X738" s="16" t="str">
        <f ca="1"/>
        <v>898-04-2717</v>
      </c>
      <c r="Y738" s="20">
        <f ca="1"/>
        <v>721.98</v>
      </c>
      <c r="Z738" s="16">
        <f ca="1"/>
        <v>9</v>
      </c>
      <c r="AA738" s="16"/>
      <c r="AB738" s="16"/>
      <c r="AC738" s="16"/>
      <c r="AE738"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4A8A-82B0-4FFD-875E-C0A2FC12FD52}">
  <dimension ref="O1:AC1"/>
  <sheetViews>
    <sheetView showGridLines="0" tabSelected="1" topLeftCell="B1" zoomScaleNormal="100" workbookViewId="0">
      <selection activeCell="P54" sqref="P54"/>
    </sheetView>
  </sheetViews>
  <sheetFormatPr defaultRowHeight="13.5" x14ac:dyDescent="0.3"/>
  <cols>
    <col min="1" max="16384" width="9.33203125" style="23"/>
  </cols>
  <sheetData>
    <row r="1" spans="15:29" s="23" customFormat="1" x14ac:dyDescent="0.3">
      <c r="O1" s="23" t="b">
        <v>0</v>
      </c>
      <c r="P1" s="23" t="b">
        <v>0</v>
      </c>
      <c r="Q1" s="23" t="b">
        <v>0</v>
      </c>
      <c r="AC1" s="23">
        <v>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1" r:id="rId3" name="Check Box 5">
              <controlPr defaultSize="0" autoFill="0" autoLine="0" autoPict="0">
                <anchor moveWithCells="1">
                  <from>
                    <xdr:col>6</xdr:col>
                    <xdr:colOff>504825</xdr:colOff>
                    <xdr:row>13</xdr:row>
                    <xdr:rowOff>152400</xdr:rowOff>
                  </from>
                  <to>
                    <xdr:col>7</xdr:col>
                    <xdr:colOff>152400</xdr:colOff>
                    <xdr:row>14</xdr:row>
                    <xdr:rowOff>161925</xdr:rowOff>
                  </to>
                </anchor>
              </controlPr>
            </control>
          </mc:Choice>
        </mc:AlternateContent>
        <mc:AlternateContent xmlns:mc="http://schemas.openxmlformats.org/markup-compatibility/2006">
          <mc:Choice Requires="x14">
            <control shapeId="4102" r:id="rId4" name="Check Box 6">
              <controlPr defaultSize="0" autoFill="0" autoLine="0" autoPict="0">
                <anchor moveWithCells="1">
                  <from>
                    <xdr:col>7</xdr:col>
                    <xdr:colOff>533400</xdr:colOff>
                    <xdr:row>13</xdr:row>
                    <xdr:rowOff>152400</xdr:rowOff>
                  </from>
                  <to>
                    <xdr:col>8</xdr:col>
                    <xdr:colOff>171450</xdr:colOff>
                    <xdr:row>14</xdr:row>
                    <xdr:rowOff>161925</xdr:rowOff>
                  </to>
                </anchor>
              </controlPr>
            </control>
          </mc:Choice>
        </mc:AlternateContent>
        <mc:AlternateContent xmlns:mc="http://schemas.openxmlformats.org/markup-compatibility/2006">
          <mc:Choice Requires="x14">
            <control shapeId="4104" r:id="rId5" name="Check Box 8">
              <controlPr defaultSize="0" autoFill="0" autoLine="0" autoPict="0">
                <anchor moveWithCells="1">
                  <from>
                    <xdr:col>9</xdr:col>
                    <xdr:colOff>19050</xdr:colOff>
                    <xdr:row>13</xdr:row>
                    <xdr:rowOff>152400</xdr:rowOff>
                  </from>
                  <to>
                    <xdr:col>9</xdr:col>
                    <xdr:colOff>200025</xdr:colOff>
                    <xdr:row>14</xdr:row>
                    <xdr:rowOff>161925</xdr:rowOff>
                  </to>
                </anchor>
              </controlPr>
            </control>
          </mc:Choice>
        </mc:AlternateContent>
        <mc:AlternateContent xmlns:mc="http://schemas.openxmlformats.org/markup-compatibility/2006">
          <mc:Choice Requires="x14">
            <control shapeId="4105" r:id="rId6" name="Scroll Bar 9">
              <controlPr defaultSize="0" autoPict="0">
                <anchor moveWithCells="1">
                  <from>
                    <xdr:col>10</xdr:col>
                    <xdr:colOff>257175</xdr:colOff>
                    <xdr:row>16</xdr:row>
                    <xdr:rowOff>28575</xdr:rowOff>
                  </from>
                  <to>
                    <xdr:col>10</xdr:col>
                    <xdr:colOff>438150</xdr:colOff>
                    <xdr:row>26</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F93EA2-90BB-4808-B315-4B9C8EE9E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Analysis</vt:lpstr>
      <vt:lpstr>Input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Inyanya Mzungu</dc:creator>
  <cp:lastModifiedBy>Nelson Inyanya Mzungu</cp:lastModifiedBy>
  <dcterms:created xsi:type="dcterms:W3CDTF">2024-11-19T06:31:25Z</dcterms:created>
  <dcterms:modified xsi:type="dcterms:W3CDTF">2025-02-06T05:07:13Z</dcterms:modified>
</cp:coreProperties>
</file>